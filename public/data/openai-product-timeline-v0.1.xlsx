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6a9b6e1e15b4c9d" /></Relationships>
</file>

<file path=xl/workbook.xml><?xml version="1.0" encoding="utf-8"?>
<x:workbook xmlns:x="http://schemas.openxmlformats.org/spreadsheetml/2006/main">
  <x:sheets>
    <x:sheet xmlns:r="http://schemas.openxmlformats.org/officeDocument/2006/relationships" name="Overview" sheetId="1" r:id="R8ca786c89b4545af"/>
    <x:sheet xmlns:r="http://schemas.openxmlformats.org/officeDocument/2006/relationships" name="Master Timeline" sheetId="2" r:id="Rc648683e4967461f"/>
    <x:sheet xmlns:r="http://schemas.openxmlformats.org/officeDocument/2006/relationships" name="Major Milestones" sheetId="3" r:id="R25dabb6d2969490c"/>
    <x:sheet xmlns:r="http://schemas.openxmlformats.org/officeDocument/2006/relationships" name="ASCII Map" sheetId="4" r:id="R94947b93a8a74d9e"/>
    <x:sheet xmlns:r="http://schemas.openxmlformats.org/officeDocument/2006/relationships" name="Source Registry" sheetId="5" r:id="R83f0a2bea60c4757"/>
    <x:sheet xmlns:r="http://schemas.openxmlformats.org/officeDocument/2006/relationships" name="Taxonomy" sheetId="6" r:id="R4f75475a83414eb8"/>
    <x:sheet xmlns:r="http://schemas.openxmlformats.org/officeDocument/2006/relationships" name="Coverage &amp; QA" sheetId="7" r:id="Re656878260f14d2b"/>
    <x:sheet xmlns:r="http://schemas.openxmlformats.org/officeDocument/2006/relationships" name="Raw Source Entries" sheetId="8" r:id="Rfc49b86205d74ab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yyyy-mm-dd hh:mm"/>
    <x:numFmt numFmtId="203" formatCode="#,##0"/>
  </x:numFmts>
  <x:fonts count="11">
    <x:font>
      <x:sz val="11"/>
      <x:name val="Carlito"/>
    </x:font>
    <x:font>
      <x:b/>
      <x:sz val="19"/>
      <x:color rgb="FFD5F65B"/>
      <x:name val="Aptos Mono"/>
    </x:font>
    <x:font>
      <x:sz val="9"/>
      <x:color rgb="FFA7B6AE"/>
      <x:name val="Aptos Mono"/>
    </x:font>
    <x:font>
      <x:b/>
      <x:sz val="8"/>
      <x:color rgb="FF3ED6B0"/>
      <x:name val="Aptos Mono"/>
    </x:font>
    <x:font>
      <x:b/>
      <x:sz val="26"/>
      <x:color rgb="FFD5F65B"/>
      <x:name val="Aptos Mono"/>
    </x:font>
    <x:font>
      <x:b/>
      <x:sz val="9"/>
      <x:color rgb="FF3ED6B0"/>
      <x:name val="Aptos Mono"/>
    </x:font>
    <x:font>
      <x:sz val="9"/>
      <x:color rgb="FF17211C"/>
      <x:name val="Carlito"/>
    </x:font>
    <x:font>
      <x:sz val="10"/>
      <x:color rgb="FF17211C"/>
      <x:name val="Carlito"/>
    </x:font>
    <x:font>
      <x:sz val="9"/>
      <x:color rgb="FF17211C"/>
      <x:name val="Aptos"/>
    </x:font>
    <x:font>
      <x:sz val="10"/>
      <x:color rgb="FF17211C"/>
      <x:name val="Aptos Mono"/>
    </x:font>
    <x:font>
      <x:b/>
      <x:sz val="15"/>
      <x:color rgb="FFD5F65B"/>
      <x:name val="Aptos Mono"/>
    </x:font>
  </x:fonts>
  <x:fills count="5">
    <x:fill>
      <x:patternFill patternType="none"/>
    </x:fill>
    <x:fill>
      <x:patternFill patternType="gray125"/>
    </x:fill>
    <x:fill>
      <x:patternFill patternType="solid">
        <x:fgColor rgb="FF07100D"/>
      </x:patternFill>
    </x:fill>
    <x:fill>
      <x:patternFill patternType="solid">
        <x:fgColor rgb="FF102019"/>
      </x:patternFill>
    </x:fill>
    <x:fill>
      <x:patternFill patternType="solid">
        <x:fgColor rgb="FFF1F4EE"/>
      </x:patternFill>
    </x:fill>
  </x:fills>
  <x:borders count="17">
    <x:border/>
    <x:border>
      <x:bottom style="medium">
        <x:color rgb="FF3ED6B0"/>
      </x:bottom>
    </x:border>
    <x:border>
      <x:bottom style="thin">
        <x:color rgb="FFC5CEC7"/>
      </x:bottom>
    </x:border>
    <x:border>
      <x:top style="thin">
        <x:color rgb="FFC5CEC7"/>
      </x:top>
      <x:bottom style="thin">
        <x:color rgb="FFC5CEC7"/>
      </x:bottom>
    </x:border>
    <x:border>
      <x:top style="thin">
        <x:color rgb="FFC5CEC7"/>
      </x:top>
    </x:border>
    <x:border>
      <x:bottom style="hair">
        <x:color rgb="FFC5CEC7"/>
      </x:bottom>
    </x:border>
    <x:border>
      <x:top style="hair">
        <x:color rgb="FFC5CEC7"/>
      </x:top>
      <x:bottom style="hair">
        <x:color rgb="FFC5CEC7"/>
      </x:bottom>
    </x:border>
    <x:border>
      <x:top style="hair">
        <x:color rgb="FFC5CEC7"/>
      </x:top>
    </x:border>
    <x:border>
      <x:right style="thin">
        <x:color rgb="FFC5CEC7"/>
      </x:right>
      <x:bottom style="thin">
        <x:color rgb="FFC5CEC7"/>
      </x:bottom>
    </x:border>
    <x:border>
      <x:left style="thin">
        <x:color rgb="FFC5CEC7"/>
      </x:left>
      <x:right style="thin">
        <x:color rgb="FFC5CEC7"/>
      </x:right>
      <x:bottom style="thin">
        <x:color rgb="FFC5CEC7"/>
      </x:bottom>
    </x:border>
    <x:border>
      <x:left style="thin">
        <x:color rgb="FFC5CEC7"/>
      </x:left>
      <x:bottom style="thin">
        <x:color rgb="FFC5CEC7"/>
      </x:bottom>
    </x:border>
    <x:border>
      <x:right style="thin">
        <x:color rgb="FFC5CEC7"/>
      </x:right>
      <x:top style="thin">
        <x:color rgb="FFC5CEC7"/>
      </x:top>
      <x:bottom style="thin">
        <x:color rgb="FFC5CEC7"/>
      </x:bottom>
    </x:border>
    <x:border>
      <x:left style="thin">
        <x:color rgb="FFC5CEC7"/>
      </x:left>
      <x:right style="thin">
        <x:color rgb="FFC5CEC7"/>
      </x:right>
      <x:top style="thin">
        <x:color rgb="FFC5CEC7"/>
      </x:top>
      <x:bottom style="thin">
        <x:color rgb="FFC5CEC7"/>
      </x:bottom>
    </x:border>
    <x:border>
      <x:left style="thin">
        <x:color rgb="FFC5CEC7"/>
      </x:left>
      <x:top style="thin">
        <x:color rgb="FFC5CEC7"/>
      </x:top>
      <x:bottom style="thin">
        <x:color rgb="FFC5CEC7"/>
      </x:bottom>
    </x:border>
    <x:border>
      <x:right style="thin">
        <x:color rgb="FFC5CEC7"/>
      </x:right>
      <x:top style="thin">
        <x:color rgb="FFC5CEC7"/>
      </x:top>
    </x:border>
    <x:border>
      <x:left style="thin">
        <x:color rgb="FFC5CEC7"/>
      </x:left>
      <x:right style="thin">
        <x:color rgb="FFC5CEC7"/>
      </x:right>
      <x:top style="thin">
        <x:color rgb="FFC5CEC7"/>
      </x:top>
    </x:border>
    <x:border>
      <x:left style="thin">
        <x:color rgb="FFC5CEC7"/>
      </x:left>
      <x:top style="thin">
        <x:color rgb="FFC5CEC7"/>
      </x:top>
    </x:border>
  </x:borders>
  <x:cellStyleXfs count="1">
    <x:xf numFmtId="0" fontId="0" fillId="0" borderId="0"/>
  </x:cellStyleXfs>
  <x:cellXfs count="1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2" xfId="0" applyNumberFormat="1" applyFont="1" applyFill="1" applyBorder="1" applyAlignment="1">
      <x:alignment vertical="center"/>
    </x:xf>
    <x:xf numFmtId="0" fontId="6" fillId="4" borderId="3" xfId="0" applyNumberFormat="1" applyFont="1" applyFill="1" applyBorder="1" applyAlignment="1">
      <x:alignment vertical="center"/>
    </x:xf>
    <x:xf numFmtId="0" fontId="6" fillId="4" borderId="4" xfId="0" applyNumberFormat="1" applyFont="1" applyFill="1" applyBorder="1" applyAlignment="1">
      <x:alignment vertical="center"/>
    </x:xf>
    <x:xf numFmtId="200" fontId="6" fillId="4" borderId="2" xfId="0" applyNumberFormat="1" applyFont="1" applyFill="1" applyBorder="1" applyAlignment="1">
      <x:alignment vertical="center"/>
    </x:xf>
    <x:xf numFmtId="0" fontId="7" fillId="4" borderId="0"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7" fillId="4" borderId="4" xfId="0" applyNumberFormat="1" applyFont="1" applyFill="1" applyBorder="1"/>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2" xfId="0" applyNumberFormat="1" applyFont="1" applyFill="1" applyBorder="1" applyAlignment="1">
      <x:alignment vertical="center" wrapText="1"/>
    </x:xf>
    <x:xf numFmtId="0" fontId="7" fillId="4" borderId="3" xfId="0" applyNumberFormat="1" applyFont="1" applyFill="1" applyBorder="1" applyAlignment="1">
      <x:alignment vertical="center" wrapText="1"/>
    </x:xf>
    <x:xf numFmtId="0" fontId="7" fillId="4" borderId="4"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extLst>
        <x:ext uri="{C7286773-470A-42A8-94C5-96B5CB345126}">
          <xfpb:xfComplement xmlns:xfpb="http://schemas.microsoft.com/office/spreadsheetml/2022/featurepropertybag" i="0"/>
        </x:ext>
      </x:extLst>
    </x:xf>
    <x:xf numFmtId="0" fontId="8" fillId="4" borderId="0" xfId="0" applyNumberFormat="1" applyFont="1" applyFill="1" applyBorder="1"/>
    <x:xf numFmtId="0" fontId="8" fillId="4" borderId="0" xfId="0" applyNumberFormat="1" applyFont="1" applyFill="1" applyBorder="1">
      <x:extLst>
        <x:ext uri="{C7286773-470A-42A8-94C5-96B5CB345126}">
          <xfpb:xfComplement xmlns:xfpb="http://schemas.microsoft.com/office/spreadsheetml/2022/featurepropertybag" i="0"/>
        </x:ext>
      </x:extLst>
    </x:xf>
    <x:xf numFmtId="0" fontId="8" fillId="4" borderId="5" xfId="0" applyNumberFormat="1" applyFont="1" applyFill="1" applyBorder="1"/>
    <x:xf numFmtId="0" fontId="8" fillId="4" borderId="5" xfId="0" applyNumberFormat="1" applyFont="1" applyFill="1" applyBorder="1">
      <x:extLst>
        <x:ext uri="{C7286773-470A-42A8-94C5-96B5CB345126}">
          <xfpb:xfComplement xmlns:xfpb="http://schemas.microsoft.com/office/spreadsheetml/2022/featurepropertybag" i="0"/>
        </x:ext>
      </x:extLst>
    </x:xf>
    <x:xf numFmtId="0" fontId="8" fillId="4" borderId="6" xfId="0" applyNumberFormat="1" applyFont="1" applyFill="1" applyBorder="1"/>
    <x:xf numFmtId="0" fontId="8" fillId="4" borderId="6" xfId="0" applyNumberFormat="1" applyFont="1" applyFill="1" applyBorder="1">
      <x:extLst>
        <x:ext uri="{C7286773-470A-42A8-94C5-96B5CB345126}">
          <xfpb:xfComplement xmlns:xfpb="http://schemas.microsoft.com/office/spreadsheetml/2022/featurepropertybag" i="0"/>
        </x:ext>
      </x:extLst>
    </x:xf>
    <x:xf numFmtId="0" fontId="8" fillId="4" borderId="7" xfId="0" applyNumberFormat="1" applyFont="1" applyFill="1" applyBorder="1"/>
    <x:xf numFmtId="0" fontId="8" fillId="4" borderId="7" xfId="0" applyNumberFormat="1" applyFont="1" applyFill="1" applyBorder="1">
      <x:extLst>
        <x:ext uri="{C7286773-470A-42A8-94C5-96B5CB345126}">
          <xfpb:xfComplement xmlns:xfpb="http://schemas.microsoft.com/office/spreadsheetml/2022/featurepropertybag" i="0"/>
        </x:ext>
      </x:extLst>
    </x:xf>
    <x:xf numFmtId="0" fontId="8" fillId="4" borderId="5" xfId="0" applyNumberFormat="1" applyFont="1" applyFill="1" applyBorder="1" applyAlignment="1">
      <x:alignment vertical="top"/>
    </x:xf>
    <x:xf numFmtId="0" fontId="8" fillId="4"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8" fillId="4" borderId="6" xfId="0" applyNumberFormat="1" applyFont="1" applyFill="1" applyBorder="1" applyAlignment="1">
      <x:alignment vertical="top"/>
    </x:xf>
    <x:xf numFmtId="0" fontId="8" fillId="4"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8" fillId="4" borderId="7" xfId="0" applyNumberFormat="1" applyFont="1" applyFill="1" applyBorder="1" applyAlignment="1">
      <x:alignment vertical="top"/>
    </x:xf>
    <x:xf numFmtId="0" fontId="8" fillId="4" borderId="7"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8" fillId="4" borderId="5" xfId="0" applyNumberFormat="1" applyFont="1" applyFill="1" applyBorder="1" applyAlignment="1">
      <x:alignment vertical="top"/>
    </x:xf>
    <x:xf numFmtId="200" fontId="8" fillId="4" borderId="6" xfId="0" applyNumberFormat="1" applyFont="1" applyFill="1" applyBorder="1" applyAlignment="1">
      <x:alignment vertical="top"/>
    </x:xf>
    <x:xf numFmtId="200" fontId="8" fillId="4" borderId="7" xfId="0" applyNumberFormat="1" applyFont="1" applyFill="1" applyBorder="1" applyAlignment="1">
      <x:alignment vertical="top"/>
    </x:xf>
    <x:xf numFmtId="201" fontId="8" fillId="4" borderId="5" xfId="0" applyNumberFormat="1" applyFont="1" applyFill="1" applyBorder="1" applyAlignment="1">
      <x:alignment vertical="top"/>
    </x:xf>
    <x:xf numFmtId="201" fontId="8" fillId="4" borderId="6" xfId="0" applyNumberFormat="1" applyFont="1" applyFill="1" applyBorder="1" applyAlignment="1">
      <x:alignment vertical="top"/>
    </x:xf>
    <x:xf numFmtId="201" fontId="8" fillId="4" borderId="7" xfId="0" applyNumberFormat="1" applyFont="1" applyFill="1" applyBorder="1" applyAlignment="1">
      <x:alignment vertical="top"/>
    </x:xf>
    <x:xf numFmtId="0" fontId="8" fillId="4" borderId="5" xfId="0" applyNumberFormat="1" applyFont="1" applyFill="1" applyBorder="1" applyAlignment="1">
      <x:alignment vertical="top" wrapText="1"/>
    </x:xf>
    <x:xf numFmtId="0" fontId="8" fillId="4" borderId="6" xfId="0" applyNumberFormat="1" applyFont="1" applyFill="1" applyBorder="1" applyAlignment="1">
      <x:alignment vertical="top" wrapText="1"/>
    </x:xf>
    <x:xf numFmtId="0" fontId="8" fillId="4" borderId="7" xfId="0" applyNumberFormat="1" applyFont="1" applyFill="1" applyBorder="1" applyAlignment="1">
      <x:alignment vertical="top" wrapText="1"/>
    </x:xf>
    <x:xf numFmtId="0" fontId="9" fillId="4" borderId="0" xfId="0" applyNumberFormat="1" applyFont="1" applyFill="1" applyBorder="1"/>
    <x:xf numFmtId="0" fontId="9" fillId="4" borderId="8" xfId="0" applyNumberFormat="1" applyFont="1" applyFill="1" applyBorder="1"/>
    <x:xf numFmtId="0" fontId="9" fillId="4" borderId="9" xfId="0" applyNumberFormat="1" applyFont="1" applyFill="1" applyBorder="1"/>
    <x:xf numFmtId="0" fontId="9" fillId="4" borderId="10" xfId="0" applyNumberFormat="1" applyFont="1" applyFill="1" applyBorder="1"/>
    <x:xf numFmtId="0" fontId="9" fillId="4" borderId="11" xfId="0" applyNumberFormat="1" applyFont="1" applyFill="1" applyBorder="1"/>
    <x:xf numFmtId="0" fontId="9" fillId="4" borderId="12" xfId="0" applyNumberFormat="1" applyFont="1" applyFill="1" applyBorder="1"/>
    <x:xf numFmtId="0" fontId="9" fillId="4" borderId="13" xfId="0" applyNumberFormat="1" applyFont="1" applyFill="1" applyBorder="1"/>
    <x:xf numFmtId="0" fontId="9" fillId="4" borderId="14" xfId="0" applyNumberFormat="1" applyFont="1" applyFill="1" applyBorder="1"/>
    <x:xf numFmtId="0" fontId="9" fillId="4" borderId="15" xfId="0" applyNumberFormat="1" applyFont="1" applyFill="1" applyBorder="1"/>
    <x:xf numFmtId="0" fontId="9" fillId="4" borderId="16" xfId="0" applyNumberFormat="1" applyFont="1" applyFill="1" applyBorder="1"/>
    <x:xf numFmtId="0" fontId="9" fillId="4" borderId="8" xfId="0" applyNumberFormat="1" applyFont="1" applyFill="1" applyBorder="1" applyAlignment="1">
      <x:alignment horizontal="center"/>
    </x:xf>
    <x:xf numFmtId="0" fontId="9" fillId="4" borderId="9" xfId="0" applyNumberFormat="1" applyFont="1" applyFill="1" applyBorder="1" applyAlignment="1">
      <x:alignment horizontal="center"/>
    </x:xf>
    <x:xf numFmtId="0" fontId="9" fillId="4" borderId="10" xfId="0" applyNumberFormat="1" applyFont="1" applyFill="1" applyBorder="1" applyAlignment="1">
      <x:alignment horizontal="center"/>
    </x:xf>
    <x:xf numFmtId="0" fontId="9" fillId="4" borderId="11" xfId="0" applyNumberFormat="1" applyFont="1" applyFill="1" applyBorder="1" applyAlignment="1">
      <x:alignment horizontal="center"/>
    </x:xf>
    <x:xf numFmtId="0" fontId="9" fillId="4" borderId="12" xfId="0" applyNumberFormat="1" applyFont="1" applyFill="1" applyBorder="1" applyAlignment="1">
      <x:alignment horizontal="center"/>
    </x:xf>
    <x:xf numFmtId="0" fontId="9" fillId="4" borderId="13" xfId="0" applyNumberFormat="1" applyFont="1" applyFill="1" applyBorder="1" applyAlignment="1">
      <x:alignment horizontal="center"/>
    </x:xf>
    <x:xf numFmtId="0" fontId="9" fillId="4" borderId="14" xfId="0" applyNumberFormat="1" applyFont="1" applyFill="1" applyBorder="1" applyAlignment="1">
      <x:alignment horizontal="center"/>
    </x:xf>
    <x:xf numFmtId="0" fontId="9" fillId="4" borderId="15" xfId="0" applyNumberFormat="1" applyFont="1" applyFill="1" applyBorder="1" applyAlignment="1">
      <x:alignment horizontal="center"/>
    </x:xf>
    <x:xf numFmtId="0" fontId="9" fillId="4" borderId="16" xfId="0" applyNumberFormat="1" applyFont="1" applyFill="1" applyBorder="1" applyAlignment="1">
      <x:alignment horizontal="center"/>
    </x:xf>
    <x:xf numFmtId="0" fontId="9" fillId="4" borderId="8" xfId="0" applyNumberFormat="1" applyFont="1" applyFill="1" applyBorder="1" applyAlignment="1">
      <x:alignment horizontal="center" vertical="center"/>
    </x:xf>
    <x:xf numFmtId="0" fontId="9" fillId="4" borderId="9" xfId="0" applyNumberFormat="1" applyFont="1" applyFill="1" applyBorder="1" applyAlignment="1">
      <x:alignment horizontal="center" vertical="center"/>
    </x:xf>
    <x:xf numFmtId="0" fontId="9" fillId="4" borderId="10" xfId="0" applyNumberFormat="1" applyFont="1" applyFill="1" applyBorder="1" applyAlignment="1">
      <x:alignment horizontal="center" vertical="center"/>
    </x:xf>
    <x:xf numFmtId="0" fontId="9" fillId="4" borderId="11" xfId="0" applyNumberFormat="1" applyFont="1" applyFill="1" applyBorder="1" applyAlignment="1">
      <x:alignment horizontal="center" vertical="center"/>
    </x:xf>
    <x:xf numFmtId="0" fontId="9" fillId="4" borderId="12" xfId="0" applyNumberFormat="1" applyFont="1" applyFill="1" applyBorder="1" applyAlignment="1">
      <x:alignment horizontal="center" vertical="center"/>
    </x:xf>
    <x:xf numFmtId="0" fontId="9" fillId="4" borderId="13" xfId="0" applyNumberFormat="1" applyFont="1" applyFill="1" applyBorder="1" applyAlignment="1">
      <x:alignment horizontal="center" vertical="center"/>
    </x:xf>
    <x:xf numFmtId="0" fontId="9" fillId="4" borderId="14" xfId="0" applyNumberFormat="1" applyFont="1" applyFill="1" applyBorder="1" applyAlignment="1">
      <x:alignment horizontal="center" vertical="center"/>
    </x:xf>
    <x:xf numFmtId="0" fontId="9" fillId="4" borderId="15" xfId="0" applyNumberFormat="1" applyFont="1" applyFill="1" applyBorder="1" applyAlignment="1">
      <x:alignment horizontal="center" vertical="center"/>
    </x:xf>
    <x:xf numFmtId="0" fontId="9" fillId="4" borderId="16" xfId="0" applyNumberFormat="1" applyFont="1" applyFill="1" applyBorder="1" applyAlignment="1">
      <x:alignment horizontal="center" vertical="center"/>
    </x:xf>
    <x:xf numFmtId="0" fontId="9" fillId="4" borderId="8" xfId="0" applyNumberFormat="1" applyFont="1" applyFill="1" applyBorder="1" applyAlignment="1">
      <x:alignment horizontal="left" vertical="center"/>
    </x:xf>
    <x:xf numFmtId="0" fontId="9" fillId="4" borderId="11" xfId="0" applyNumberFormat="1" applyFont="1" applyFill="1" applyBorder="1" applyAlignment="1">
      <x:alignment horizontal="left" vertical="center"/>
    </x:xf>
    <x:xf numFmtId="0" fontId="9" fillId="4" borderId="14" xfId="0" applyNumberFormat="1" applyFont="1" applyFill="1" applyBorder="1" applyAlignment="1">
      <x:alignment horizontal="left" vertical="center"/>
    </x:xf>
    <x:xf numFmtId="0" fontId="9" fillId="2" borderId="9" xfId="0" applyNumberFormat="1" applyFont="1" applyFill="1" applyBorder="1" applyAlignment="1">
      <x:alignment horizontal="center" vertical="center"/>
    </x:xf>
    <x:xf numFmtId="0" fontId="9" fillId="2" borderId="12" xfId="0" applyNumberFormat="1" applyFont="1" applyFill="1" applyBorder="1" applyAlignment="1">
      <x:alignment horizontal="center" vertical="center"/>
    </x:xf>
    <x:xf numFmtId="0" fontId="9" fillId="2" borderId="15" xfId="0" applyNumberFormat="1" applyFont="1" applyFill="1" applyBorder="1" applyAlignment="1">
      <x:alignment horizontal="center" vertical="center"/>
    </x:xf>
    <x:xf numFmtId="0" fontId="10" fillId="2" borderId="9" xfId="0" applyNumberFormat="1" applyFont="1" applyFill="1" applyBorder="1" applyAlignment="1">
      <x:alignment horizontal="center" vertical="center"/>
    </x:xf>
    <x:xf numFmtId="0" fontId="10" fillId="2" borderId="12" xfId="0" applyNumberFormat="1" applyFont="1" applyFill="1" applyBorder="1" applyAlignment="1">
      <x:alignment horizontal="center" vertical="center"/>
    </x:xf>
    <x:xf numFmtId="0" fontId="10" fillId="2" borderId="15" xfId="0" applyNumberFormat="1" applyFont="1" applyFill="1" applyBorder="1" applyAlignment="1">
      <x:alignment horizontal="center" vertical="center"/>
    </x:xf>
    <x:xf numFmtId="202" fontId="8" fillId="4" borderId="5" xfId="0" applyNumberFormat="1" applyFont="1" applyFill="1" applyBorder="1" applyAlignment="1">
      <x:alignment vertical="top"/>
    </x:xf>
    <x:xf numFmtId="202" fontId="8" fillId="4" borderId="6" xfId="0" applyNumberFormat="1" applyFont="1" applyFill="1" applyBorder="1" applyAlignment="1">
      <x:alignment vertical="top"/>
    </x:xf>
    <x:xf numFmtId="202" fontId="8" fillId="4" borderId="7" xfId="0" applyNumberFormat="1" applyFont="1" applyFill="1" applyBorder="1" applyAlignment="1">
      <x:alignment vertical="top"/>
    </x:xf>
    <x:xf numFmtId="203" fontId="8" fillId="4" borderId="5" xfId="0" applyNumberFormat="1" applyFont="1" applyFill="1" applyBorder="1" applyAlignment="1">
      <x:alignment vertical="top"/>
    </x:xf>
    <x:xf numFmtId="203" fontId="8" fillId="4" borderId="6" xfId="0" applyNumberFormat="1" applyFont="1" applyFill="1" applyBorder="1" applyAlignment="1">
      <x:alignment vertical="top"/>
    </x:xf>
    <x:xf numFmtId="203" fontId="8" fillId="4" borderId="7" xfId="0" applyNumberFormat="1" applyFont="1" applyFill="1" applyBorder="1" applyAlignment="1">
      <x:alignment vertical="top"/>
    </x:xf>
    <x:xf numFmtId="0" fontId="8" fillId="2" borderId="5" xfId="0" applyNumberFormat="1" applyFont="1" applyFill="1" applyBorder="1" applyAlignment="1">
      <x:alignment vertical="top"/>
    </x:xf>
    <x:xf numFmtId="0" fontId="8" fillId="2" borderId="6" xfId="0" applyNumberFormat="1" applyFont="1" applyFill="1" applyBorder="1" applyAlignment="1">
      <x:alignment vertical="top"/>
    </x:xf>
    <x:xf numFmtId="0" fontId="8" fillId="2" borderId="7" xfId="0" applyNumberFormat="1" applyFont="1" applyFill="1" applyBorder="1" applyAlignment="1">
      <x:alignment vertical="top"/>
    </x:xf>
    <x:xf numFmtId="0" fontId="10" fillId="2" borderId="5" xfId="0" applyNumberFormat="1" applyFont="1" applyFill="1" applyBorder="1" applyAlignment="1">
      <x:alignment vertical="top"/>
    </x:xf>
    <x:xf numFmtId="0" fontId="10" fillId="2" borderId="6" xfId="0" applyNumberFormat="1" applyFont="1" applyFill="1" applyBorder="1" applyAlignment="1">
      <x:alignment vertical="top"/>
    </x:xf>
    <x:xf numFmtId="0" fontId="10" fillId="2" borderId="7" xfId="0" applyNumberFormat="1" applyFont="1" applyFill="1" applyBorder="1" applyAlignment="1">
      <x:alignment vertical="top"/>
    </x:xf>
    <x:xf numFmtId="0" fontId="10" fillId="2" borderId="5" xfId="0" applyNumberFormat="1" applyFont="1" applyFill="1" applyBorder="1" applyAlignment="1">
      <x:alignment horizontal="center" vertical="top"/>
    </x:xf>
    <x:xf numFmtId="0" fontId="10" fillId="2" borderId="6" xfId="0" applyNumberFormat="1" applyFont="1" applyFill="1" applyBorder="1" applyAlignment="1">
      <x:alignment horizontal="center" vertical="top"/>
    </x:xf>
    <x:xf numFmtId="0" fontId="10" fillId="2" borderId="7" xfId="0" applyNumberFormat="1" applyFont="1" applyFill="1" applyBorder="1" applyAlignment="1">
      <x:alignment horizontal="center" vertical="top"/>
    </x:xf>
  </x:cellXfs>
  <x:cellStyles count="1">
    <x:cellStyle name="Normal" xfId="0"/>
  </x:cellStyles>
  <x:dxfs count="4">
    <x:dxf>
      <x:font>
        <x:b/>
        <x:color rgb="FF0B6B43"/>
      </x:font>
      <x:fill>
        <x:patternFill patternType="solid">
          <x:bgColor rgb="FFDDF4E7"/>
        </x:patternFill>
      </x:fill>
    </x:dxf>
    <x:dxf>
      <x:font>
        <x:b/>
        <x:color rgb="FF0B6B43"/>
      </x:font>
      <x:fill>
        <x:patternFill patternType="solid">
          <x:bgColor rgb="FFDDF4E7"/>
        </x:patternFill>
      </x:fill>
    </x:dxf>
    <x:dxf>
      <x:font>
        <x:b/>
        <x:color rgb="FF0B6B43"/>
      </x:font>
      <x:fill>
        <x:patternFill patternType="solid">
          <x:bgColor rgb="FFDDF4E7"/>
        </x:patternFill>
      </x:fill>
    </x:dxf>
    <x:dxf>
      <x:font>
        <x:b/>
        <x:color rgb="FFA62D38"/>
      </x:font>
      <x:fill>
        <x:patternFill patternType="solid">
          <x:bgColor rgb="FFFBE3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97dad6ae314758" /><Relationship Type="http://schemas.openxmlformats.org/officeDocument/2006/relationships/theme" Target="/xl/theme/theme1.xml" Id="R384cd9d4fe474edc" /><Relationship Type="http://schemas.microsoft.com/office/2022/11/relationships/FeaturePropertyBag" Target="/xl/featurePropertyBag/featurePropertyBag.xml" Id="R2ca246bb4ac24751" /><Relationship Type="http://schemas.openxmlformats.org/officeDocument/2006/relationships/sharedStrings" Target="/xl/sharedStrings.xml" Id="R635618a87fb649a3" /><Relationship Type="http://schemas.openxmlformats.org/officeDocument/2006/relationships/worksheet" Target="/xl/worksheets/sheet1.xml" Id="R8ca786c89b4545af" /><Relationship Type="http://schemas.openxmlformats.org/officeDocument/2006/relationships/worksheet" Target="/xl/worksheets/sheet2.xml" Id="Rc648683e4967461f" /><Relationship Type="http://schemas.openxmlformats.org/officeDocument/2006/relationships/worksheet" Target="/xl/worksheets/sheet3.xml" Id="R25dabb6d2969490c" /><Relationship Type="http://schemas.openxmlformats.org/officeDocument/2006/relationships/worksheet" Target="/xl/worksheets/sheet4.xml" Id="R94947b93a8a74d9e" /><Relationship Type="http://schemas.openxmlformats.org/officeDocument/2006/relationships/worksheet" Target="/xl/worksheets/sheet5.xml" Id="R83f0a2bea60c4757" /><Relationship Type="http://schemas.openxmlformats.org/officeDocument/2006/relationships/worksheet" Target="/xl/worksheets/sheet6.xml" Id="R4f75475a83414eb8" /><Relationship Type="http://schemas.openxmlformats.org/officeDocument/2006/relationships/worksheet" Target="/xl/worksheets/sheet7.xml" Id="Re656878260f14d2b" /><Relationship Type="http://schemas.openxmlformats.org/officeDocument/2006/relationships/worksheet" Target="/xl/worksheets/sheet8.xml" Id="Rfc49b86205d74abc" /><Relationship Type="http://schemas.microsoft.com/office/2017/10/relationships/person" Target="/xl/persons/person.xml" Id="Rb5c9b92c31e849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Ray Lin" id="{5FFD797B-C61E-4849-A7D6-25D200953EF0}"/>
</xltc:personList>
</file>

<file path=xl/tables/table1.xml><?xml version="1.0" encoding="utf-8"?>
<x:table xmlns:x="http://schemas.openxmlformats.org/spreadsheetml/2006/main" id="1" name="MasterTimelineTable" displayName="MasterTimelineTable" ref="A1:AB327" headerRowCount="1" totalsRowCount="0" totalsRowShown="0">
  <x:tableColumns count="28">
    <x:tableColumn id="1" name="date"/>
    <x:tableColumn id="2" name="event_id"/>
    <x:tableColumn id="3" name="year"/>
    <x:tableColumn id="4" name="quarter"/>
    <x:tableColumn id="5" name="era"/>
    <x:tableColumn id="6" name="product_family"/>
    <x:tableColumn id="7" name="map_region"/>
    <x:tableColumn id="8" name="map_lane"/>
    <x:tableColumn id="9" name="glyph"/>
    <x:tableColumn id="10" name="product"/>
    <x:tableColumn id="11" name="event_type"/>
    <x:tableColumn id="12" name="lifecycle"/>
    <x:tableColumn id="13" name="title_en"/>
    <x:tableColumn id="14" name="title_zh"/>
    <x:tableColumn id="15" name="summary_en"/>
    <x:tableColumn id="16" name="summary_zh"/>
    <x:tableColumn id="17" name="importance"/>
    <x:tableColumn id="18" name="node_tier"/>
    <x:tableColumn id="19" name="x_hint"/>
    <x:tableColumn id="20" name="y_hint"/>
    <x:tableColumn id="21" name="source_name"/>
    <x:tableColumn id="22" name="source_url"/>
    <x:tableColumn id="23" name="source_kind"/>
    <x:tableColumn id="24" name="coverage_status"/>
    <x:tableColumn id="25" name="confidence"/>
    <x:tableColumn id="26" name="tags"/>
    <x:tableColumn id="27" name="source_count"/>
    <x:tableColumn id="28" name="corroborated"/>
  </x:tableColumns>
  <x:tableStyleInfo name="TableStyleMedium4" showFirstColumn="0" showLastColumn="0" showRowStripes="1" showColumnStripes="0"/>
</x:table>
</file>

<file path=xl/tables/table2.xml><?xml version="1.0" encoding="utf-8"?>
<x:table xmlns:x="http://schemas.openxmlformats.org/spreadsheetml/2006/main" id="2" name="MajorMilestonesTable" displayName="MajorMilestonesTable" ref="A1:P84" headerRowCount="1" totalsRowCount="0" totalsRowShown="0">
  <x:tableColumns count="16">
    <x:tableColumn id="1" name="date"/>
    <x:tableColumn id="2" name="event_id"/>
    <x:tableColumn id="3" name="glyph"/>
    <x:tableColumn id="4" name="map_region"/>
    <x:tableColumn id="5" name="product"/>
    <x:tableColumn id="6" name="event_type"/>
    <x:tableColumn id="7" name="lifecycle"/>
    <x:tableColumn id="8" name="title_en"/>
    <x:tableColumn id="9" name="title_zh"/>
    <x:tableColumn id="10" name="summary_zh"/>
    <x:tableColumn id="11" name="importance"/>
    <x:tableColumn id="12" name="era"/>
    <x:tableColumn id="13" name="source_name"/>
    <x:tableColumn id="14" name="source_url"/>
    <x:tableColumn id="15" name="confidence"/>
    <x:tableColumn id="16" name="source_count"/>
  </x:tableColumns>
  <x:tableStyleInfo name="TableStyleMedium4" showFirstColumn="0" showLastColumn="0" showRowStripes="1" showColumnStripes="0"/>
</x:table>
</file>

<file path=xl/tables/table3.xml><?xml version="1.0" encoding="utf-8"?>
<x:table xmlns:x="http://schemas.openxmlformats.org/spreadsheetml/2006/main" id="3" name="SourceRegistryTable" displayName="SourceRegistryTable" ref="A1:I16" headerRowCount="1" totalsRowCount="0" totalsRowShown="0">
  <x:tableColumns count="9">
    <x:tableColumn id="1" name="source_id"/>
    <x:tableColumn id="2" name="title"/>
    <x:tableColumn id="3" name="official_url"/>
    <x:tableColumn id="4" name="source_kind"/>
    <x:tableColumn id="5" name="product_scope"/>
    <x:tableColumn id="6" name="retrieved_at"/>
    <x:tableColumn id="7" name="snapshot_bytes"/>
    <x:tableColumn id="8" name="status"/>
    <x:tableColumn id="9" name="coverage_status"/>
  </x:tableColumns>
  <x:tableStyleInfo name="TableStyleMedium4" showFirstColumn="0" showLastColumn="0" showRowStripes="1" showColumnStripes="0"/>
</x:table>
</file>

<file path=xl/tables/table4.xml><?xml version="1.0" encoding="utf-8"?>
<x:table xmlns:x="http://schemas.openxmlformats.org/spreadsheetml/2006/main" id="4" name="RawSourceEntriesTable" displayName="RawSourceEntriesTable" ref="A1:Q949" headerRowCount="1" totalsRowCount="0" totalsRowShown="0">
  <x:tableColumns count="17">
    <x:tableColumn id="1" name="date"/>
    <x:tableColumn id="2" name="source_id"/>
    <x:tableColumn id="3" name="source_name"/>
    <x:tableColumn id="4" name="product_family"/>
    <x:tableColumn id="5" name="product"/>
    <x:tableColumn id="6" name="event_type"/>
    <x:tableColumn id="7" name="lifecycle"/>
    <x:tableColumn id="8" name="title_en"/>
    <x:tableColumn id="9" name="title_zh"/>
    <x:tableColumn id="10" name="summary_en"/>
    <x:tableColumn id="11" name="summary_zh"/>
    <x:tableColumn id="12" name="source_url"/>
    <x:tableColumn id="13" name="source_kind"/>
    <x:tableColumn id="14" name="coverage_status"/>
    <x:tableColumn id="15" name="confidence"/>
    <x:tableColumn id="16" name="supplied_importance"/>
    <x:tableColumn id="17" name="tag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552caa1ee94b0a" /></Relationships>
</file>

<file path=xl/worksheets/_rels/sheet3.xml.rels>&#65279;<?xml version="1.0" encoding="utf-8"?><Relationships xmlns="http://schemas.openxmlformats.org/package/2006/relationships"><Relationship Type="http://schemas.openxmlformats.org/officeDocument/2006/relationships/table" Target="/xl/tables/table2.xml" Id="R748077060e884d03" /></Relationships>
</file>

<file path=xl/worksheets/_rels/sheet5.xml.rels>&#65279;<?xml version="1.0" encoding="utf-8"?><Relationships xmlns="http://schemas.openxmlformats.org/package/2006/relationships"><Relationship Type="http://schemas.openxmlformats.org/officeDocument/2006/relationships/table" Target="/xl/tables/table3.xml" Id="R40f25d86a2c3436d" /></Relationships>
</file>

<file path=xl/worksheets/_rels/sheet8.xml.rels>&#65279;<?xml version="1.0" encoding="utf-8"?><Relationships xmlns="http://schemas.openxmlformats.org/package/2006/relationships"><Relationship Type="http://schemas.openxmlformats.org/officeDocument/2006/relationships/table" Target="/xl/tables/table4.xml" Id="Re334427f082e45b5"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16" hidden="0" customWidth="1"/>
    <x:col min="4" max="4" width="15" hidden="0" customWidth="1"/>
    <x:col min="5" max="5" width="16" hidden="0" customWidth="1"/>
    <x:col min="6" max="6" width="15" hidden="0" customWidth="1"/>
    <x:col min="7" max="7" width="16" hidden="0" customWidth="1"/>
    <x:col min="8" max="8" width="15" hidden="0" customWidth="1"/>
  </x:cols>
  <x:sheetData>
    <x:row r="1">
      <x:c r="A1" s="5" t="str">
        <x:v>OPENAI // PRODUCT ATLAS — 產品時間線資料集 v0.1</x:v>
      </x:c>
      <x:c r="B1" s="5" t="str">
        <x:v>OPENAI // PRODUCT ATLAS — 產品時間線資料集 v0.1</x:v>
      </x:c>
      <x:c r="C1" s="5" t="str">
        <x:v>OPENAI // PRODUCT ATLAS — 產品時間線資料集 v0.1</x:v>
      </x:c>
      <x:c r="D1" s="5" t="str">
        <x:v>OPENAI // PRODUCT ATLAS — 產品時間線資料集 v0.1</x:v>
      </x:c>
      <x:c r="E1" s="5" t="str">
        <x:v>OPENAI // PRODUCT ATLAS — 產品時間線資料集 v0.1</x:v>
      </x:c>
      <x:c r="F1" s="5" t="str">
        <x:v>OPENAI // PRODUCT ATLAS — 產品時間線資料集 v0.1</x:v>
      </x:c>
      <x:c r="G1" s="5" t="str">
        <x:v>OPENAI // PRODUCT ATLAS — 產品時間線資料集 v0.1</x:v>
      </x:c>
      <x:c r="H1" s="5" t="str">
        <x:v>OPENAI // PRODUCT ATLAS — 產品時間線資料集 v0.1</x:v>
      </x:c>
    </x:row>
    <x:row r="2">
      <x:c r="A2" s="5" t="str">
        <x:v>OPENAI // PRODUCT ATLAS — 產品時間線資料集 v0.1</x:v>
      </x:c>
      <x:c r="B2" s="5" t="str">
        <x:v>OPENAI // PRODUCT ATLAS — 產品時間線資料集 v0.1</x:v>
      </x:c>
      <x:c r="C2" s="5" t="str">
        <x:v>OPENAI // PRODUCT ATLAS — 產品時間線資料集 v0.1</x:v>
      </x:c>
      <x:c r="D2" s="5" t="str">
        <x:v>OPENAI // PRODUCT ATLAS — 產品時間線資料集 v0.1</x:v>
      </x:c>
      <x:c r="E2" s="5" t="str">
        <x:v>OPENAI // PRODUCT ATLAS — 產品時間線資料集 v0.1</x:v>
      </x:c>
      <x:c r="F2" s="5" t="str">
        <x:v>OPENAI // PRODUCT ATLAS — 產品時間線資料集 v0.1</x:v>
      </x:c>
      <x:c r="G2" s="5" t="str">
        <x:v>OPENAI // PRODUCT ATLAS — 產品時間線資料集 v0.1</x:v>
      </x:c>
      <x:c r="H2" s="5" t="str">
        <x:v>OPENAI // PRODUCT ATLAS — 產品時間線資料集 v0.1</x:v>
      </x:c>
    </x:row>
    <x:row r="3">
      <x:c r="A3" s="10" t="str">
        <x:v>Official-source baseline · retrieval cutoff 2026-07-13 · latest event 2026-07-09</x:v>
      </x:c>
      <x:c r="B3" s="10" t="str">
        <x:v>Official-source baseline · retrieval cutoff 2026-07-13 · latest event 2026-07-09</x:v>
      </x:c>
      <x:c r="C3" s="10" t="str">
        <x:v>Official-source baseline · retrieval cutoff 2026-07-13 · latest event 2026-07-09</x:v>
      </x:c>
      <x:c r="D3" s="10" t="str">
        <x:v>Official-source baseline · retrieval cutoff 2026-07-13 · latest event 2026-07-09</x:v>
      </x:c>
      <x:c r="E3" s="10" t="str">
        <x:v>Official-source baseline · retrieval cutoff 2026-07-13 · latest event 2026-07-09</x:v>
      </x:c>
      <x:c r="F3" s="10" t="str">
        <x:v>Official-source baseline · retrieval cutoff 2026-07-13 · latest event 2026-07-09</x:v>
      </x:c>
      <x:c r="G3" s="10" t="str">
        <x:v>Official-source baseline · retrieval cutoff 2026-07-13 · latest event 2026-07-09</x:v>
      </x:c>
      <x:c r="H3" s="10" t="str">
        <x:v>Official-source baseline · retrieval cutoff 2026-07-13 · latest event 2026-07-09</x:v>
      </x:c>
    </x:row>
    <x:row r="5">
      <x:c r="A5" s="13" t="str">
        <x:v>CANONICAL NODES</x:v>
      </x:c>
      <x:c r="B5" s="13" t="str">
        <x:v>CANONICAL NODES</x:v>
      </x:c>
      <x:c r="C5" s="13" t="str">
        <x:v>LANDMARKS</x:v>
      </x:c>
      <x:c r="D5" s="13" t="str">
        <x:v>LANDMARKS</x:v>
      </x:c>
      <x:c r="E5" s="13" t="str">
        <x:v>OFFICIAL SOURCE GROUPS</x:v>
      </x:c>
      <x:c r="F5" s="13" t="str">
        <x:v>OFFICIAL SOURCE GROUPS</x:v>
      </x:c>
      <x:c r="G5" s="13" t="str">
        <x:v>MAP REGIONS</x:v>
      </x:c>
      <x:c r="H5" s="13" t="str">
        <x:v>MAP REGIONS</x:v>
      </x:c>
    </x:row>
    <x:row r="6">
      <x:c r="A6" s="16" t="n">
        <x:f>COUNTA('Master Timeline'!$B$2:$B$327)</x:f>
        <x:v>326</x:v>
      </x:c>
      <x:c r="B6" s="16"/>
      <x:c r="C6" s="16" t="n">
        <x:f>COUNTIF('Master Timeline'!$R$2:$R$327,"landmark")</x:f>
        <x:v>83</x:v>
      </x:c>
      <x:c r="D6" s="16"/>
      <x:c r="E6" s="16" t="n">
        <x:f>COUNTA('Source Registry'!$A$2:$A$16)</x:f>
        <x:v>15</x:v>
      </x:c>
      <x:c r="F6" s="16"/>
      <x:c r="G6" s="16" t="n">
        <x:f>COUNTA('Taxonomy'!$A$2:$A$11)</x:f>
        <x:v>10</x:v>
      </x:c>
      <x:c r="H6" s="16"/>
    </x:row>
    <x:row r="7">
      <x:c r="A7" s="16"/>
      <x:c r="B7" s="16"/>
      <x:c r="C7" s="16"/>
      <x:c r="D7" s="16"/>
      <x:c r="E7" s="16"/>
      <x:c r="F7" s="16"/>
      <x:c r="G7" s="16"/>
      <x:c r="H7" s="16"/>
    </x:row>
    <x:row r="9" ht="30" customHeight="1">
      <x:c r="A9" s="20" t="str">
        <x:v>QUALITY GATE</x:v>
      </x:c>
      <x:c r="B9" s="20" t="str">
        <x:v>FORMULA RESULT</x:v>
      </x:c>
      <x:c r="C9" s="20" t="str">
        <x:v>EXPECTED</x:v>
      </x:c>
      <x:c r="D9" s="20" t="str">
        <x:v>STATUS</x:v>
      </x:c>
      <x:c r="E9" s="20" t="str">
        <x:v>QUALITY GATE</x:v>
      </x:c>
      <x:c r="F9" s="20" t="str">
        <x:v>FORMULA RESULT</x:v>
      </x:c>
      <x:c r="G9" s="20" t="str">
        <x:v>EXPECTED</x:v>
      </x:c>
      <x:c r="H9" s="20" t="str">
        <x:v>STATUS</x:v>
      </x:c>
    </x:row>
    <x:row r="10">
      <x:c r="A10" s="26" t="str">
        <x:v>Chronology start</x:v>
      </x:c>
      <x:c r="B10" s="29" t="n">
        <x:f>MIN('Master Timeline'!$A$2:$A$327)</x:f>
        <x:v>44895</x:v>
      </x:c>
      <x:c r="C10" s="29" t="n">
        <x:v>44895</x:v>
      </x:c>
      <x:c r="D10" s="26" t="str">
        <x:f>IF(B10=C10,"PASS","CHECK")</x:f>
        <x:v>PASS</x:v>
      </x:c>
      <x:c r="E10" s="26" t="str">
        <x:v>Chronology latest</x:v>
      </x:c>
      <x:c r="F10" s="29" t="n">
        <x:f>MAX('Master Timeline'!$A$2:$A$327)</x:f>
        <x:v>46212</x:v>
      </x:c>
      <x:c r="G10" s="29" t="n">
        <x:v>46212</x:v>
      </x:c>
      <x:c r="H10" s="26" t="str">
        <x:f>IF(F10=G10,"PASS","CHECK")</x:f>
        <x:v>PASS</x:v>
      </x:c>
    </x:row>
    <x:row r="11">
      <x:c r="A11" s="27" t="str">
        <x:v>Raw official records</x:v>
      </x:c>
      <x:c r="B11" s="27" t="n">
        <x:f>COUNTA('Raw Source Entries'!$A$2:$A$949)</x:f>
        <x:v>948</x:v>
      </x:c>
      <x:c r="C11" s="27" t="n">
        <x:v>948</x:v>
      </x:c>
      <x:c r="D11" s="27" t="str">
        <x:f>IF(B11=C11,"PASS","CHECK")</x:f>
        <x:v>PASS</x:v>
      </x:c>
      <x:c r="E11" s="27" t="str">
        <x:v>Cross-source links</x:v>
      </x:c>
      <x:c r="F11" s="27" t="n">
        <x:v>53</x:v>
      </x:c>
      <x:c r="G11" s="27" t="n">
        <x:v>53</x:v>
      </x:c>
      <x:c r="H11" s="27" t="str">
        <x:f>IF(F11=G11,"PASS","CHECK")</x:f>
        <x:v>PASS</x:v>
      </x:c>
    </x:row>
    <x:row r="12">
      <x:c r="A12" s="27" t="str">
        <x:v>Bilingual titles</x:v>
      </x:c>
      <x:c r="B12" s="27" t="n">
        <x:f>COUNTIF('Master Timeline'!$N$2:$N$327,"&lt;&gt;")</x:f>
        <x:v>326</x:v>
      </x:c>
      <x:c r="C12" s="27" t="n">
        <x:v>326</x:v>
      </x:c>
      <x:c r="D12" s="27" t="str">
        <x:f>IF(B12=C12,"PASS","CHECK")</x:f>
        <x:v>PASS</x:v>
      </x:c>
      <x:c r="E12" s="27" t="str">
        <x:v>Bilingual summaries</x:v>
      </x:c>
      <x:c r="F12" s="27" t="n">
        <x:f>COUNTIF('Master Timeline'!$P$2:$P$327,"&lt;&gt;")</x:f>
        <x:v>326</x:v>
      </x:c>
      <x:c r="G12" s="27" t="n">
        <x:v>326</x:v>
      </x:c>
      <x:c r="H12" s="27" t="str">
        <x:f>IF(F12=G12,"PASS","CHECK")</x:f>
        <x:v>PASS</x:v>
      </x:c>
    </x:row>
    <x:row r="13">
      <x:c r="A13" s="28" t="str">
        <x:v>Official URL rows</x:v>
      </x:c>
      <x:c r="B13" s="28" t="n">
        <x:f>COUNTA('Master Timeline'!$V$2:$V$327)</x:f>
        <x:v>326</x:v>
      </x:c>
      <x:c r="C13" s="28" t="n">
        <x:v>326</x:v>
      </x:c>
      <x:c r="D13" s="28" t="str">
        <x:f>IF(B13=C13,"PASS","CHECK")</x:f>
        <x:v>PASS</x:v>
      </x:c>
      <x:c r="E13" s="28" t="str">
        <x:v>Landmark count</x:v>
      </x:c>
      <x:c r="F13" s="28" t="n">
        <x:f>COUNTIF('Master Timeline'!$R$2:$R$327,"landmark")</x:f>
        <x:v>83</x:v>
      </x:c>
      <x:c r="G13" s="28" t="n">
        <x:v>83</x:v>
      </x:c>
      <x:c r="H13" s="28" t="str">
        <x:f>IF(F13=G13,"PASS","CHECK")</x:f>
        <x:v>PASS</x:v>
      </x:c>
    </x:row>
    <x:row r="16">
      <x:c r="A16" s="10" t="str">
        <x:v>READ ME // DATASET BOUNDARY</x:v>
      </x:c>
      <x:c r="B16" s="10" t="str">
        <x:v>READ ME // DATASET BOUNDARY</x:v>
      </x:c>
      <x:c r="C16" s="10" t="str">
        <x:v>READ ME // DATASET BOUNDARY</x:v>
      </x:c>
      <x:c r="D16" s="10" t="str">
        <x:v>READ ME // DATASET BOUNDARY</x:v>
      </x:c>
      <x:c r="E16" s="10" t="str">
        <x:v>READ ME // DATASET BOUNDARY</x:v>
      </x:c>
      <x:c r="F16" s="10" t="str">
        <x:v>READ ME // DATASET BOUNDARY</x:v>
      </x:c>
      <x:c r="G16" s="10" t="str">
        <x:v>READ ME // DATASET BOUNDARY</x:v>
      </x:c>
      <x:c r="H16" s="10" t="str">
        <x:v>READ ME // DATASET BOUNDARY</x:v>
      </x:c>
    </x:row>
    <x:row r="17" ht="36" customHeight="1">
      <x:c r="A17" s="37" t="str">
        <x:v>326 nodes are the curated, map-readable canonical layer. The Raw Source Entries sheet preserves the larger extraction layer for provenance and future reconciliation.</x:v>
      </x:c>
      <x:c r="B17" s="37"/>
      <x:c r="C17" s="37"/>
      <x:c r="D17" s="37"/>
      <x:c r="E17" s="37"/>
      <x:c r="F17" s="37"/>
      <x:c r="G17" s="37"/>
      <x:c r="H17" s="37"/>
    </x:row>
    <x:row r="18" ht="36" customHeight="1">
      <x:c r="A18" s="38" t="str">
        <x:v>Sources are restricted to official OpenAI launch posts, Help Center release notes, platform/developer changelogs, and lifecycle notices. Plain-text URLs appear on every researched row.</x:v>
      </x:c>
      <x:c r="B18" s="38"/>
      <x:c r="C18" s="38"/>
      <x:c r="D18" s="38"/>
      <x:c r="E18" s="38"/>
      <x:c r="F18" s="38"/>
      <x:c r="G18" s="38"/>
      <x:c r="H18" s="38"/>
    </x:row>
    <x:row r="19" ht="36" customHeight="1">
      <x:c r="A19" s="38" t="str">
        <x:v>OpenAI maintains several living changelogs that can be edited retroactively. v0.1 is a reproducible official-source baseline, not a mathematical claim that every undocumented product change is captured.</x:v>
      </x:c>
      <x:c r="B19" s="38"/>
      <x:c r="C19" s="38"/>
      <x:c r="D19" s="38"/>
      <x:c r="E19" s="38"/>
      <x:c r="F19" s="38"/>
      <x:c r="G19" s="38"/>
      <x:c r="H19" s="38"/>
    </x:row>
    <x:row r="20" ht="36" customHeight="1">
      <x:c r="A20" s="39" t="str">
        <x:v>Map notation: glyph + event count + ★ landmark count. Example ^12★4 means 12 model events and 4 landmark nodes in that quarter.</x:v>
      </x:c>
      <x:c r="B20" s="39"/>
      <x:c r="C20" s="39"/>
      <x:c r="D20" s="39"/>
      <x:c r="E20" s="39"/>
      <x:c r="F20" s="39"/>
      <x:c r="G20" s="39"/>
      <x:c r="H20" s="39"/>
    </x:row>
  </x:sheetData>
  <x:mergeCells>
    <x:mergeCell ref="A1:H2"/>
    <x:mergeCell ref="A3:H3"/>
    <x:mergeCell ref="A5:B5"/>
    <x:mergeCell ref="A6:B7"/>
    <x:mergeCell ref="C5:D5"/>
    <x:mergeCell ref="C6:D7"/>
    <x:mergeCell ref="E5:F5"/>
    <x:mergeCell ref="E6:F7"/>
    <x:mergeCell ref="G5:H5"/>
    <x:mergeCell ref="G6:H7"/>
    <x:mergeCell ref="A16:H16"/>
    <x:mergeCell ref="A17:H17"/>
    <x:mergeCell ref="A18:H18"/>
    <x:mergeCell ref="A19:H19"/>
    <x:mergeCell ref="A20:H20"/>
  </x:mergeCells>
  <x:conditionalFormatting sqref="D10:D13">
    <x:cfRule type="containsText" dxfId="0" priority="1" operator="containsText" text="PASS"/>
  </x:conditionalFormatting>
  <x:conditionalFormatting sqref="H10:H13">
    <x:cfRule type="containsText" dxfId="1" priority="2" operator="containsText" text="PASS"/>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8" hidden="0" customWidth="1"/>
    <x:col min="4" max="4" width="9" hidden="0" customWidth="1"/>
    <x:col min="5" max="5" width="18" hidden="0" customWidth="1"/>
    <x:col min="6" max="6" width="23" hidden="0" customWidth="1"/>
    <x:col min="7" max="7" width="24" hidden="0" customWidth="1"/>
    <x:col min="8" max="8" width="9" hidden="0" customWidth="1"/>
    <x:col min="9" max="9" width="8" hidden="0" customWidth="1"/>
    <x:col min="10" max="10" width="20" hidden="0" customWidth="1"/>
    <x:col min="11" max="11" width="18" hidden="0" customWidth="1"/>
    <x:col min="12" max="12" width="20" hidden="0" customWidth="1"/>
    <x:col min="13" max="13" width="43" hidden="0" customWidth="1"/>
    <x:col min="14" max="14" width="34" hidden="0" customWidth="1"/>
    <x:col min="15" max="15" width="68" hidden="0" customWidth="1"/>
    <x:col min="16" max="16" width="56" hidden="0" customWidth="1"/>
    <x:col min="17" max="17" width="10" hidden="0" customWidth="1"/>
    <x:col min="18" max="18" width="13" hidden="0" customWidth="1"/>
    <x:col min="19" max="19" width="10" hidden="0" customWidth="1"/>
    <x:col min="20" max="20" width="10" hidden="0" customWidth="1"/>
    <x:col min="21" max="21" width="27" hidden="0" customWidth="1"/>
    <x:col min="22" max="22" width="55" hidden="0" customWidth="1"/>
    <x:col min="23" max="23" width="23" hidden="0" customWidth="1"/>
    <x:col min="24" max="24" width="18" hidden="0" customWidth="1"/>
    <x:col min="25" max="25" width="12" hidden="0" customWidth="1"/>
    <x:col min="26" max="26" width="32" hidden="0" customWidth="1"/>
    <x:col min="27" max="27" width="12" hidden="0" customWidth="1"/>
    <x:col min="28" max="28" width="13" hidden="0" customWidth="1"/>
  </x:cols>
  <x:sheetData>
    <x:row r="1" ht="30" customHeight="1">
      <x:c r="A1" s="20" t="str">
        <x:v>date</x:v>
      </x:c>
      <x:c r="B1" s="20" t="str">
        <x:v>event_id</x:v>
      </x:c>
      <x:c r="C1" s="20" t="str">
        <x:v>year</x:v>
      </x:c>
      <x:c r="D1" s="20" t="str">
        <x:v>quarter</x:v>
      </x:c>
      <x:c r="E1" s="20" t="str">
        <x:v>era</x:v>
      </x:c>
      <x:c r="F1" s="20" t="str">
        <x:v>product_family</x:v>
      </x:c>
      <x:c r="G1" s="20" t="str">
        <x:v>map_region</x:v>
      </x:c>
      <x:c r="H1" s="20" t="str">
        <x:v>map_lane</x:v>
      </x:c>
      <x:c r="I1" s="20" t="str">
        <x:v>glyph</x:v>
      </x:c>
      <x:c r="J1" s="20" t="str">
        <x:v>product</x:v>
      </x:c>
      <x:c r="K1" s="20" t="str">
        <x:v>event_type</x:v>
      </x:c>
      <x:c r="L1" s="20" t="str">
        <x:v>lifecycle</x:v>
      </x:c>
      <x:c r="M1" s="20" t="str">
        <x:v>title_en</x:v>
      </x:c>
      <x:c r="N1" s="20" t="str">
        <x:v>title_zh</x:v>
      </x:c>
      <x:c r="O1" s="20" t="str">
        <x:v>summary_en</x:v>
      </x:c>
      <x:c r="P1" s="20" t="str">
        <x:v>summary_zh</x:v>
      </x:c>
      <x:c r="Q1" s="20" t="str">
        <x:v>importance</x:v>
      </x:c>
      <x:c r="R1" s="20" t="str">
        <x:v>node_tier</x:v>
      </x:c>
      <x:c r="S1" s="20" t="str">
        <x:v>x_hint</x:v>
      </x:c>
      <x:c r="T1" s="20" t="str">
        <x:v>y_hint</x:v>
      </x:c>
      <x:c r="U1" s="20" t="str">
        <x:v>source_name</x:v>
      </x:c>
      <x:c r="V1" s="20" t="str">
        <x:v>source_url</x:v>
      </x:c>
      <x:c r="W1" s="20" t="str">
        <x:v>source_kind</x:v>
      </x:c>
      <x:c r="X1" s="20" t="str">
        <x:v>coverage_status</x:v>
      </x:c>
      <x:c r="Y1" s="20" t="str">
        <x:v>confidence</x:v>
      </x:c>
      <x:c r="Z1" s="20" t="str">
        <x:v>tags</x:v>
      </x:c>
      <x:c r="AA1" s="20" t="str">
        <x:v>source_count</x:v>
      </x:c>
      <x:c r="AB1" s="20" t="str">
        <x:v>corroborated</x:v>
      </x:c>
    </x:row>
    <x:row r="2" ht="42" customHeight="1">
      <x:c r="A2" s="56" t="n">
        <x:v>44895</x:v>
      </x:c>
      <x:c r="B2" s="50" t="str">
        <x:v>evt-20221130-introducing-chatgpt</x:v>
      </x:c>
      <x:c r="C2" s="59" t="n">
        <x:v>2022</x:v>
      </x:c>
      <x:c r="D2" s="50" t="str">
        <x:v>Q4</x:v>
      </x:c>
      <x:c r="E2" s="50" t="str">
        <x:v>Research Preview</x:v>
      </x:c>
      <x:c r="F2" s="50" t="str">
        <x:v>chatgpt_core</x:v>
      </x:c>
      <x:c r="G2" s="50" t="str">
        <x:v>Origin Plaza</x:v>
      </x:c>
      <x:c r="H2" s="50" t="n">
        <x:v>0</x:v>
      </x:c>
      <x:c r="I2" s="50" t="str">
        <x:v>@</x:v>
      </x:c>
      <x:c r="J2" s="50" t="str">
        <x:v>ChatGPT</x:v>
      </x:c>
      <x:c r="K2" s="50" t="str">
        <x:v>launch</x:v>
      </x:c>
      <x:c r="L2" s="50" t="str">
        <x:v>research_preview</x:v>
      </x:c>
      <x:c r="M2" s="62" t="str">
        <x:v>Introducing ChatGPT</x:v>
      </x:c>
      <x:c r="N2" s="62" t="str">
        <x:v>ChatGPT 正式誕生</x:v>
      </x:c>
      <x:c r="O2" s="62" t="str">
        <x:v>OpenAI introduced ChatGPT as a free research preview, using a conversational format that could answer follow-up questions, acknowledge mistakes, challenge incorrect premises, and reject inappropriate requests.</x:v>
      </x:c>
      <x:c r="P2" s="62" t="str">
        <x:v>OpenAI 以免費研究預覽形式推出 ChatGPT；其對話介面能回答追問、承認錯誤、質疑不實前提並拒絕不當要求。</x:v>
      </x:c>
      <x:c r="Q2" s="59" t="n">
        <x:v>5</x:v>
      </x:c>
      <x:c r="R2" s="59" t="str">
        <x:v>landmark</x:v>
      </x:c>
      <x:c r="S2" s="59" t="n">
        <x:v>220</x:v>
      </x:c>
      <x:c r="T2" s="59" t="n">
        <x:v>174</x:v>
      </x:c>
      <x:c r="U2" s="50" t="str">
        <x:v>Introducing ChatGPT</x:v>
      </x:c>
      <x:c r="V2" s="50" t="str">
        <x:v>https://openai.com/index/chatgpt/</x:v>
      </x:c>
      <x:c r="W2" s="50" t="str">
        <x:v>official_launch_post</x:v>
      </x:c>
      <x:c r="X2" s="50" t="str">
        <x:v>complete</x:v>
      </x:c>
      <x:c r="Y2" s="50" t="str">
        <x:v>high</x:v>
      </x:c>
      <x:c r="Z2" s="50" t="str">
        <x:v>chatgpt_core | launch | ChatGPT | chatgpt | research-preview | gpt-3.5 | origin</x:v>
      </x:c>
      <x:c r="AA2" s="50" t="n">
        <x:v>1</x:v>
      </x:c>
      <x:c r="AB2" s="51" t="b">
        <x:v>0</x:v>
      </x:c>
    </x:row>
    <x:row r="3" ht="42" customHeight="1">
      <x:c r="A3" s="57" t="n">
        <x:v>44910</x:v>
      </x:c>
      <x:c r="B3" s="52" t="str">
        <x:v>evt-20221215-conversation-history-begins-rolling-out</x:v>
      </x:c>
      <x:c r="C3" s="60" t="n">
        <x:v>2022</x:v>
      </x:c>
      <x:c r="D3" s="52" t="str">
        <x:v>Q4</x:v>
      </x:c>
      <x:c r="E3" s="52" t="str">
        <x:v>Research Preview</x:v>
      </x:c>
      <x:c r="F3" s="52" t="str">
        <x:v>chatgpt_core</x:v>
      </x:c>
      <x:c r="G3" s="52" t="str">
        <x:v>Origin Plaza</x:v>
      </x:c>
      <x:c r="H3" s="52" t="n">
        <x:v>0</x:v>
      </x:c>
      <x:c r="I3" s="52" t="str">
        <x:v>@</x:v>
      </x:c>
      <x:c r="J3" s="52" t="str">
        <x:v>Conversation History</x:v>
      </x:c>
      <x:c r="K3" s="52" t="str">
        <x:v>feature</x:v>
      </x:c>
      <x:c r="L3" s="52" t="str">
        <x:v>active</x:v>
      </x:c>
      <x:c r="M3" s="63" t="str">
        <x:v>Conversation history begins rolling out</x:v>
      </x:c>
      <x:c r="N3" s="63" t="str">
        <x:v>對話紀錄開始推出</x:v>
      </x:c>
      <x:c r="O3" s="63" t="str">
        <x:v>OpenAI began rolling out saved conversation history with controls to view, rename, and delete past chats.</x:v>
      </x:c>
      <x:c r="P3" s="63" t="str">
        <x:v>OpenAI 開始推出已儲存的對話紀錄，使用者可查看、重新命名與刪除過往聊天。</x:v>
      </x:c>
      <x:c r="Q3" s="60" t="n">
        <x:v>2</x:v>
      </x:c>
      <x:c r="R3" s="60" t="str">
        <x:v>update</x:v>
      </x:c>
      <x:c r="S3" s="60" t="n">
        <x:v>258</x:v>
      </x:c>
      <x:c r="T3" s="60" t="n">
        <x:v>165</x:v>
      </x:c>
      <x:c r="U3" s="52" t="str">
        <x:v>ChatGPT — Release Notes</x:v>
      </x:c>
      <x:c r="V3" s="52" t="str">
        <x:v>https://help.openai.com/en/articles/6825453-chatgpt-release-notes</x:v>
      </x:c>
      <x:c r="W3" s="52" t="str">
        <x:v>help_center_release_notes</x:v>
      </x:c>
      <x:c r="X3" s="52" t="str">
        <x:v>parsed</x:v>
      </x:c>
      <x:c r="Y3" s="52" t="str">
        <x:v>high</x:v>
      </x:c>
      <x:c r="Z3" s="52" t="str">
        <x:v>chatgpt_core | feature | Conversation History | chatgpt | history | conversation-management</x:v>
      </x:c>
      <x:c r="AA3" s="52" t="n">
        <x:v>1</x:v>
      </x:c>
      <x:c r="AB3" s="53" t="b">
        <x:v>0</x:v>
      </x:c>
    </x:row>
    <x:row r="4" ht="42" customHeight="1">
      <x:c r="A4" s="57" t="n">
        <x:v>44910</x:v>
      </x:c>
      <x:c r="B4" s="52" t="str">
        <x:v>evt-20221215-chatgpt-performance-update</x:v>
      </x:c>
      <x:c r="C4" s="60" t="n">
        <x:v>2022</x:v>
      </x:c>
      <x:c r="D4" s="52" t="str">
        <x:v>Q4</x:v>
      </x:c>
      <x:c r="E4" s="52" t="str">
        <x:v>Research Preview</x:v>
      </x:c>
      <x:c r="F4" s="52" t="str">
        <x:v>models_reasoning</x:v>
      </x:c>
      <x:c r="G4" s="52" t="str">
        <x:v>Model Mountains</x:v>
      </x:c>
      <x:c r="H4" s="52" t="n">
        <x:v>1</x:v>
      </x:c>
      <x:c r="I4" s="52" t="str">
        <x:v>^</x:v>
      </x:c>
      <x:c r="J4" s="52" t="str">
        <x:v>ChatGPT model</x:v>
      </x:c>
      <x:c r="K4" s="52" t="str">
        <x:v>model_update</x:v>
      </x:c>
      <x:c r="L4" s="52" t="str">
        <x:v>active</x:v>
      </x:c>
      <x:c r="M4" s="63" t="str">
        <x:v>ChatGPT performance update</x:v>
      </x:c>
      <x:c r="N4" s="63" t="str">
        <x:v>ChatGPT 效能更新</x:v>
      </x:c>
      <x:c r="O4" s="63" t="str">
        <x:v>We're excited to announce several updates to ChatGPT! Here's what's new: 1. General performance: Among other improvements, users will notice that ChatGPT is now less likely to refuse to answer questions.</x:v>
      </x:c>
      <x:c r="P4" s="63" t="str">
        <x:v>OpenAI 於 2022-12-15 為 ChatGPT 更新模型或體驗；此節點依官方發布記錄整理，完整能力、適用方案與限制請見來源。</x:v>
      </x:c>
      <x:c r="Q4" s="60" t="n">
        <x:v>2</x:v>
      </x:c>
      <x:c r="R4" s="60" t="str">
        <x:v>update</x:v>
      </x:c>
      <x:c r="S4" s="60" t="n">
        <x:v>258</x:v>
      </x:c>
      <x:c r="T4" s="60" t="n">
        <x:v>341</x:v>
      </x:c>
      <x:c r="U4" s="52" t="str">
        <x:v>ChatGPT — Release Notes</x:v>
      </x:c>
      <x:c r="V4" s="52" t="str">
        <x:v>https://help.openai.com/en/articles/6825453-chatgpt-release-notes</x:v>
      </x:c>
      <x:c r="W4" s="52" t="str">
        <x:v>help_center_release_notes</x:v>
      </x:c>
      <x:c r="X4" s="52" t="str">
        <x:v>parsed</x:v>
      </x:c>
      <x:c r="Y4" s="52" t="str">
        <x:v>high</x:v>
      </x:c>
      <x:c r="Z4" s="52" t="str">
        <x:v>models_reasoning | model_update | ChatGPT model | chatgpt | model-update | performance</x:v>
      </x:c>
      <x:c r="AA4" s="52" t="n">
        <x:v>1</x:v>
      </x:c>
      <x:c r="AB4" s="53" t="b">
        <x:v>0</x:v>
      </x:c>
    </x:row>
    <x:row r="5" ht="42" customHeight="1">
      <x:c r="A5" s="57" t="n">
        <x:v>44910</x:v>
      </x:c>
      <x:c r="B5" s="52" t="str">
        <x:v>evt-20221215-daily-message-cap-experiment</x:v>
      </x:c>
      <x:c r="C5" s="60" t="n">
        <x:v>2022</x:v>
      </x:c>
      <x:c r="D5" s="52" t="str">
        <x:v>Q4</x:v>
      </x:c>
      <x:c r="E5" s="52" t="str">
        <x:v>Research Preview</x:v>
      </x:c>
      <x:c r="F5" s="52" t="str">
        <x:v>chatgpt_core</x:v>
      </x:c>
      <x:c r="G5" s="52" t="str">
        <x:v>Origin Plaza</x:v>
      </x:c>
      <x:c r="H5" s="52" t="n">
        <x:v>0</x:v>
      </x:c>
      <x:c r="I5" s="52" t="str">
        <x:v>@</x:v>
      </x:c>
      <x:c r="J5" s="52" t="str">
        <x:v>ChatGPT Usage Limits</x:v>
      </x:c>
      <x:c r="K5" s="52" t="str">
        <x:v>pricing_quota</x:v>
      </x:c>
      <x:c r="L5" s="52" t="str">
        <x:v>research_preview</x:v>
      </x:c>
      <x:c r="M5" s="63" t="str">
        <x:v>Daily message-cap experiment</x:v>
      </x:c>
      <x:c r="N5" s="63" t="str">
        <x:v>每日訊息上限實驗</x:v>
      </x:c>
      <x:c r="O5" s="63" t="str">
        <x:v>OpenAI began testing a daily ChatGPT message cap for some users, with extended access available in exchange for feedback.</x:v>
      </x:c>
      <x:c r="P5" s="63" t="str">
        <x:v>OpenAI 對部分使用者測試 ChatGPT 每日訊息上限，並提供以回饋換取延長使用的選項。</x:v>
      </x:c>
      <x:c r="Q5" s="60" t="n">
        <x:v>2</x:v>
      </x:c>
      <x:c r="R5" s="60" t="str">
        <x:v>update</x:v>
      </x:c>
      <x:c r="S5" s="60" t="n">
        <x:v>258</x:v>
      </x:c>
      <x:c r="T5" s="60" t="n">
        <x:v>174</x:v>
      </x:c>
      <x:c r="U5" s="52" t="str">
        <x:v>ChatGPT — Release Notes</x:v>
      </x:c>
      <x:c r="V5" s="52" t="str">
        <x:v>https://help.openai.com/en/articles/6825453-chatgpt-release-notes</x:v>
      </x:c>
      <x:c r="W5" s="52" t="str">
        <x:v>help_center_release_notes</x:v>
      </x:c>
      <x:c r="X5" s="52" t="str">
        <x:v>parsed</x:v>
      </x:c>
      <x:c r="Y5" s="52" t="str">
        <x:v>high</x:v>
      </x:c>
      <x:c r="Z5" s="52" t="str">
        <x:v>chatgpt_core | pricing_quota | ChatGPT Usage Limits | chatgpt | usage-limit | experiment</x:v>
      </x:c>
      <x:c r="AA5" s="52" t="n">
        <x:v>1</x:v>
      </x:c>
      <x:c r="AB5" s="53" t="b">
        <x:v>0</x:v>
      </x:c>
    </x:row>
    <x:row r="6" ht="42" customHeight="1">
      <x:c r="A6" s="57" t="n">
        <x:v>44958</x:v>
      </x:c>
      <x:c r="B6" s="52" t="str">
        <x:v>evt-20230201-introducing-chatgpt-plus</x:v>
      </x:c>
      <x:c r="C6" s="60" t="n">
        <x:v>2023</x:v>
      </x:c>
      <x:c r="D6" s="52" t="str">
        <x:v>Q1</x:v>
      </x:c>
      <x:c r="E6" s="52" t="str">
        <x:v>Research Preview</x:v>
      </x:c>
      <x:c r="F6" s="52" t="str">
        <x:v>chatgpt_core</x:v>
      </x:c>
      <x:c r="G6" s="52" t="str">
        <x:v>Origin Plaza</x:v>
      </x:c>
      <x:c r="H6" s="52" t="n">
        <x:v>0</x:v>
      </x:c>
      <x:c r="I6" s="52" t="str">
        <x:v>@</x:v>
      </x:c>
      <x:c r="J6" s="52" t="str">
        <x:v>ChatGPT Plus</x:v>
      </x:c>
      <x:c r="K6" s="52" t="str">
        <x:v>launch</x:v>
      </x:c>
      <x:c r="L6" s="52" t="str">
        <x:v>active</x:v>
      </x:c>
      <x:c r="M6" s="63" t="str">
        <x:v>Introducing ChatGPT Plus</x:v>
      </x:c>
      <x:c r="N6" s="63" t="str">
        <x:v>推出 ChatGPT Plus</x:v>
      </x:c>
      <x:c r="O6" s="63" t="str">
        <x:v>OpenAI announced a $20-per-month ChatGPT plan with peak-time access, faster responses, and priority access to new features.</x:v>
      </x:c>
      <x:c r="P6" s="63" t="str">
        <x:v>OpenAI 宣布每月 20 美元的 ChatGPT 方案，提供尖峰時段存取、更快回覆與新功能優先使用權。</x:v>
      </x:c>
      <x:c r="Q6" s="60" t="n">
        <x:v>5</x:v>
      </x:c>
      <x:c r="R6" s="60" t="str">
        <x:v>landmark</x:v>
      </x:c>
      <x:c r="S6" s="60" t="n">
        <x:v>381</x:v>
      </x:c>
      <x:c r="T6" s="60" t="n">
        <x:v>188</x:v>
      </x:c>
      <x:c r="U6" s="52" t="str">
        <x:v>Introducing ChatGPT Plus</x:v>
      </x:c>
      <x:c r="V6" s="52" t="str">
        <x:v>https://openai.com/index/chatgpt-plus/</x:v>
      </x:c>
      <x:c r="W6" s="52" t="str">
        <x:v>launch_post</x:v>
      </x:c>
      <x:c r="X6" s="52" t="str">
        <x:v>complete</x:v>
      </x:c>
      <x:c r="Y6" s="52" t="str">
        <x:v>high</x:v>
      </x:c>
      <x:c r="Z6" s="52" t="str">
        <x:v>chatgpt_core | launch | ChatGPT Plus | chatgpt | plus | subscription | pricing</x:v>
      </x:c>
      <x:c r="AA6" s="52" t="n">
        <x:v>1</x:v>
      </x:c>
      <x:c r="AB6" s="53" t="b">
        <x:v>0</x:v>
      </x:c>
    </x:row>
    <x:row r="7" ht="42" customHeight="1">
      <x:c r="A7" s="57" t="n">
        <x:v>44966</x:v>
      </x:c>
      <x:c r="B7" s="52" t="str">
        <x:v>evt-20230209-introducing-chatgpt-plus</x:v>
      </x:c>
      <x:c r="C7" s="60" t="n">
        <x:v>2023</x:v>
      </x:c>
      <x:c r="D7" s="52" t="str">
        <x:v>Q1</x:v>
      </x:c>
      <x:c r="E7" s="52" t="str">
        <x:v>Research Preview</x:v>
      </x:c>
      <x:c r="F7" s="52" t="str">
        <x:v>chatgpt_core</x:v>
      </x:c>
      <x:c r="G7" s="52" t="str">
        <x:v>Origin Plaza</x:v>
      </x:c>
      <x:c r="H7" s="52" t="n">
        <x:v>0</x:v>
      </x:c>
      <x:c r="I7" s="52" t="str">
        <x:v>@</x:v>
      </x:c>
      <x:c r="J7" s="52" t="str">
        <x:v>ChatGPT Plus</x:v>
      </x:c>
      <x:c r="K7" s="52" t="str">
        <x:v>pricing_quota</x:v>
      </x:c>
      <x:c r="L7" s="52" t="str">
        <x:v>active</x:v>
      </x:c>
      <x:c r="M7" s="63" t="str">
        <x:v>Introducing ChatGPT Plus</x:v>
      </x:c>
      <x:c r="N7" s="63" t="str">
        <x:v>推出ChatGPT Plus</x:v>
      </x:c>
      <x:c r="O7" s="63" t="str">
        <x:v>As we recently announced, our Plus plan comes with early access to new, experimental features. We are beginning to roll out a way for Plus users the ability to choose between different versions of ChatGPT: Default: the standard ChatGPT model</x:v>
      </x:c>
      <x:c r="P7" s="63" t="str">
        <x:v>OpenAI 於 2023-02-09 為 ChatGPT Plus 調整方案、額度或計費；此節點依官方發布記錄整理，完整能力、適用方案與限制請見來源。</x:v>
      </x:c>
      <x:c r="Q7" s="60" t="n">
        <x:v>3</x:v>
      </x:c>
      <x:c r="R7" s="60" t="str">
        <x:v>update</x:v>
      </x:c>
      <x:c r="S7" s="60" t="n">
        <x:v>401</x:v>
      </x:c>
      <x:c r="T7" s="60" t="n">
        <x:v>188</x:v>
      </x:c>
      <x:c r="U7" s="52" t="str">
        <x:v>ChatGPT — Release Notes</x:v>
      </x:c>
      <x:c r="V7" s="52" t="str">
        <x:v>https://help.openai.com/en/articles/6825453-chatgpt-release-notes</x:v>
      </x:c>
      <x:c r="W7" s="52" t="str">
        <x:v>help_center_release_notes</x:v>
      </x:c>
      <x:c r="X7" s="52" t="str">
        <x:v>parsed</x:v>
      </x:c>
      <x:c r="Y7" s="52" t="str">
        <x:v>high</x:v>
      </x:c>
      <x:c r="Z7" s="52" t="str">
        <x:v>chatgpt_core | pricing_quota | ChatGPT Plus</x:v>
      </x:c>
      <x:c r="AA7" s="52" t="n">
        <x:v>1</x:v>
      </x:c>
      <x:c r="AB7" s="53" t="b">
        <x:v>0</x:v>
      </x:c>
    </x:row>
    <x:row r="8" ht="42" customHeight="1">
      <x:c r="A8" s="57" t="n">
        <x:v>44970</x:v>
      </x:c>
      <x:c r="B8" s="52" t="str">
        <x:v>evt-20230213-faster-turbo-becomes-the-plus-default</x:v>
      </x:c>
      <x:c r="C8" s="60" t="n">
        <x:v>2023</x:v>
      </x:c>
      <x:c r="D8" s="52" t="str">
        <x:v>Q1</x:v>
      </x:c>
      <x:c r="E8" s="52" t="str">
        <x:v>Research Preview</x:v>
      </x:c>
      <x:c r="F8" s="52" t="str">
        <x:v>models_reasoning</x:v>
      </x:c>
      <x:c r="G8" s="52" t="str">
        <x:v>Model Mountains</x:v>
      </x:c>
      <x:c r="H8" s="52" t="n">
        <x:v>1</x:v>
      </x:c>
      <x:c r="I8" s="52" t="str">
        <x:v>^</x:v>
      </x:c>
      <x:c r="J8" s="52" t="str">
        <x:v>ChatGPT Turbo</x:v>
      </x:c>
      <x:c r="K8" s="52" t="str">
        <x:v>availability</x:v>
      </x:c>
      <x:c r="L8" s="52" t="str">
        <x:v>general_availability</x:v>
      </x:c>
      <x:c r="M8" s="63" t="str">
        <x:v>Faster Turbo becomes the Plus default</x:v>
      </x:c>
      <x:c r="N8" s="63" t="str">
        <x:v>較快的 Turbo 成為 Plus 預設</x:v>
      </x:c>
      <x:c r="O8" s="63" t="str">
        <x:v>OpenAI made the faster model formerly called Turbo the default for Plus users while temporarily retaining the prior version.</x:v>
      </x:c>
      <x:c r="P8" s="63" t="str">
        <x:v>OpenAI 將先前稱為 Turbo 的較快模型設為 Plus 預設，同時暫時保留舊版本。</x:v>
      </x:c>
      <x:c r="Q8" s="60" t="n">
        <x:v>3</x:v>
      </x:c>
      <x:c r="R8" s="60" t="str">
        <x:v>update</x:v>
      </x:c>
      <x:c r="S8" s="60" t="n">
        <x:v>411</x:v>
      </x:c>
      <x:c r="T8" s="60" t="n">
        <x:v>340</x:v>
      </x:c>
      <x:c r="U8" s="52" t="str">
        <x:v>ChatGPT — Release Notes</x:v>
      </x:c>
      <x:c r="V8" s="52" t="str">
        <x:v>https://help.openai.com/en/articles/6825453-chatgpt-release-notes</x:v>
      </x:c>
      <x:c r="W8" s="52" t="str">
        <x:v>help_center_release_notes</x:v>
      </x:c>
      <x:c r="X8" s="52" t="str">
        <x:v>parsed</x:v>
      </x:c>
      <x:c r="Y8" s="52" t="str">
        <x:v>high</x:v>
      </x:c>
      <x:c r="Z8" s="52" t="str">
        <x:v>models_reasoning | availability | ChatGPT Turbo | chatgpt | turbo | plus | default-model</x:v>
      </x:c>
      <x:c r="AA8" s="52" t="n">
        <x:v>1</x:v>
      </x:c>
      <x:c r="AB8" s="53" t="b">
        <x:v>0</x:v>
      </x:c>
    </x:row>
    <x:row r="9" ht="42" customHeight="1">
      <x:c r="A9" s="57" t="n">
        <x:v>44986</x:v>
      </x:c>
      <x:c r="B9" s="52" t="str">
        <x:v>evt-20230301-gpt-3-5-turbo-and-whisper-apis</x:v>
      </x:c>
      <x:c r="C9" s="60" t="n">
        <x:v>2023</x:v>
      </x:c>
      <x:c r="D9" s="52" t="str">
        <x:v>Q1</x:v>
      </x:c>
      <x:c r="E9" s="52" t="str">
        <x:v>Research Preview</x:v>
      </x:c>
      <x:c r="F9" s="52" t="str">
        <x:v>developer_platform</x:v>
      </x:c>
      <x:c r="G9" s="52" t="str">
        <x:v>Toolsmith Harbor</x:v>
      </x:c>
      <x:c r="H9" s="52" t="n">
        <x:v>3</x:v>
      </x:c>
      <x:c r="I9" s="52" t="str">
        <x:v>#</x:v>
      </x:c>
      <x:c r="J9" s="52" t="str">
        <x:v>OpenAI API Platform</x:v>
      </x:c>
      <x:c r="K9" s="52" t="str">
        <x:v>launch</x:v>
      </x:c>
      <x:c r="L9" s="52" t="str">
        <x:v>active</x:v>
      </x:c>
      <x:c r="M9" s="63" t="str">
        <x:v>GPT-3.5 Turbo and Whisper APIs</x:v>
      </x:c>
      <x:c r="N9" s="63" t="str">
        <x:v>GPT‑3.5 Turbo 與 Whisper API</x:v>
      </x:c>
      <x:c r="O9" s="63" t="str">
        <x:v>GPT‑3.5 Turbo and Whisper became available through the OpenAI API, adding chat-oriented language generation and hosted speech-to-text.</x:v>
      </x:c>
      <x:c r="P9" s="63" t="str">
        <x:v>GPT‑3.5 Turbo 與 Whisper 正式進入 OpenAI API，帶來聊天式生成與託管語音轉文字。</x:v>
      </x:c>
      <x:c r="Q9" s="60" t="n">
        <x:v>4</x:v>
      </x:c>
      <x:c r="R9" s="60" t="str">
        <x:v>major</x:v>
      </x:c>
      <x:c r="S9" s="60" t="n">
        <x:v>452</x:v>
      </x:c>
      <x:c r="T9" s="60" t="n">
        <x:v>644</x:v>
      </x:c>
      <x:c r="U9" s="52" t="str">
        <x:v>Introducing APIs for GPT-3.5 Turbo and Whisper</x:v>
      </x:c>
      <x:c r="V9" s="52" t="str">
        <x:v>https://openai.com/index/introducing-chatgpt-and-whisper-apis/</x:v>
      </x:c>
      <x:c r="W9" s="52" t="str">
        <x:v>official_launch_post</x:v>
      </x:c>
      <x:c r="X9" s="52" t="str">
        <x:v>parsed</x:v>
      </x:c>
      <x:c r="Y9" s="52" t="str">
        <x:v>high</x:v>
      </x:c>
      <x:c r="Z9" s="52" t="str">
        <x:v>developer_platform | launch | OpenAI API Platform | api | gpt-3.5 | whisper</x:v>
      </x:c>
      <x:c r="AA9" s="52" t="n">
        <x:v>1</x:v>
      </x:c>
      <x:c r="AB9" s="53" t="b">
        <x:v>0</x:v>
      </x:c>
    </x:row>
    <x:row r="10" ht="42" customHeight="1">
      <x:c r="A10" s="57" t="n">
        <x:v>44999</x:v>
      </x:c>
      <x:c r="B10" s="52" t="str">
        <x:v>evt-20230314-gpt-4-launches-in-chatgpt-plus</x:v>
      </x:c>
      <x:c r="C10" s="60" t="n">
        <x:v>2023</x:v>
      </x:c>
      <x:c r="D10" s="52" t="str">
        <x:v>Q1</x:v>
      </x:c>
      <x:c r="E10" s="52" t="str">
        <x:v>Platform Expansion</x:v>
      </x:c>
      <x:c r="F10" s="52" t="str">
        <x:v>models_reasoning</x:v>
      </x:c>
      <x:c r="G10" s="52" t="str">
        <x:v>Model Mountains</x:v>
      </x:c>
      <x:c r="H10" s="52" t="n">
        <x:v>1</x:v>
      </x:c>
      <x:c r="I10" s="52" t="str">
        <x:v>^</x:v>
      </x:c>
      <x:c r="J10" s="52" t="str">
        <x:v>GPT-4</x:v>
      </x:c>
      <x:c r="K10" s="52" t="str">
        <x:v>model_release</x:v>
      </x:c>
      <x:c r="L10" s="52" t="str">
        <x:v>active</x:v>
      </x:c>
      <x:c r="M10" s="63" t="str">
        <x:v>GPT-4 launches in ChatGPT Plus</x:v>
      </x:c>
      <x:c r="N10" s="63" t="str">
        <x:v>GPT-4 登陸 ChatGPT Plus</x:v>
      </x:c>
      <x:c r="O10" s="63" t="str">
        <x:v>OpenAI released GPT-4, a large multimodal model with stronger reasoning and instruction following, and made it available to ChatGPT Plus subscribers.</x:v>
      </x:c>
      <x:c r="P10" s="63" t="str">
        <x:v>OpenAI 發布具更強推理與指令遵循能力的大型多模態模型 GPT-4，並向 ChatGPT Plus 訂閱者開放。</x:v>
      </x:c>
      <x:c r="Q10" s="60" t="n">
        <x:v>5</x:v>
      </x:c>
      <x:c r="R10" s="60" t="str">
        <x:v>landmark</x:v>
      </x:c>
      <x:c r="S10" s="60" t="n">
        <x:v>485</x:v>
      </x:c>
      <x:c r="T10" s="60" t="n">
        <x:v>322</x:v>
      </x:c>
      <x:c r="U10" s="52" t="str">
        <x:v>GPT-4</x:v>
      </x:c>
      <x:c r="V10" s="52" t="str">
        <x:v>https://openai.com/index/gpt-4-research/</x:v>
      </x:c>
      <x:c r="W10" s="52" t="str">
        <x:v>model_release_post</x:v>
      </x:c>
      <x:c r="X10" s="52" t="str">
        <x:v>corroborated</x:v>
      </x:c>
      <x:c r="Y10" s="52" t="str">
        <x:v>high</x:v>
      </x:c>
      <x:c r="Z10" s="52" t="str">
        <x:v>models_reasoning | model_release | GPT-4 | gpt-4 | chatgpt-plus | multimodal | reasoning</x:v>
      </x:c>
      <x:c r="AA10" s="52" t="n">
        <x:v>2</x:v>
      </x:c>
      <x:c r="AB10" s="53" t="b">
        <x:v>1</x:v>
      </x:c>
    </x:row>
    <x:row r="11" ht="42" customHeight="1">
      <x:c r="A11" s="57" t="n">
        <x:v>45005</x:v>
      </x:c>
      <x:c r="B11" s="52" t="str">
        <x:v>evt-20230320-codex-models-deprecation</x:v>
      </x:c>
      <x:c r="C11" s="60" t="n">
        <x:v>2023</x:v>
      </x:c>
      <x:c r="D11" s="52" t="str">
        <x:v>Q1</x:v>
      </x:c>
      <x:c r="E11" s="52" t="str">
        <x:v>Platform Expansion</x:v>
      </x:c>
      <x:c r="F11" s="52" t="str">
        <x:v>safety_lifecycle</x:v>
      </x:c>
      <x:c r="G11" s="52" t="str">
        <x:v>Safety Wall</x:v>
      </x:c>
      <x:c r="H11" s="52" t="n">
        <x:v>9</x:v>
      </x:c>
      <x:c r="I11" s="52" t="str">
        <x:v>!</x:v>
      </x:c>
      <x:c r="J11" s="52" t="str">
        <x:v>Model Platform</x:v>
      </x:c>
      <x:c r="K11" s="52" t="str">
        <x:v>deprecation</x:v>
      </x:c>
      <x:c r="L11" s="52" t="str">
        <x:v>deprecated</x:v>
      </x:c>
      <x:c r="M11" s="63" t="str">
        <x:v>Codex models deprecation</x:v>
      </x:c>
      <x:c r="N11" s="63" t="str">
        <x:v>Codex models 棄用公告</x:v>
      </x:c>
      <x:c r="O11" s="63" t="str">
        <x:v>Schedule/replacements: 2023-03-23 code-davinci-002 gpt-4o; 2023-03-23 code-davinci-001 gpt-4o; 2023-03-23 code-cushman-002 gpt-4o; 2023-03-23 code-cushman-001 gpt-4o</x:v>
      </x:c>
      <x:c r="P11" s="63" t="str">
        <x:v>OpenAI 於 2023-03-20 公告 Codex models 的棄用或下線時程，並列出替代方案與遷移方向。</x:v>
      </x:c>
      <x:c r="Q11" s="60" t="n">
        <x:v>4</x:v>
      </x:c>
      <x:c r="R11" s="60" t="str">
        <x:v>major</x:v>
      </x:c>
      <x:c r="S11" s="60" t="n">
        <x:v>501</x:v>
      </x:c>
      <x:c r="T11" s="60" t="n">
        <x:v>1514</x:v>
      </x:c>
      <x:c r="U11" s="52" t="str">
        <x:v>OpenAI API Deprecations</x:v>
      </x:c>
      <x:c r="V11" s="52" t="str">
        <x:v>https://developers.openai.com/api/docs/deprecations#2023-03-20-codex-models</x:v>
      </x:c>
      <x:c r="W11" s="52" t="str">
        <x:v>official_deprecation_registry</x:v>
      </x:c>
      <x:c r="X11" s="52" t="str">
        <x:v>complete</x:v>
      </x:c>
      <x:c r="Y11" s="52" t="str">
        <x:v>high</x:v>
      </x:c>
      <x:c r="Z11" s="52" t="str">
        <x:v>safety_lifecycle | deprecation | Model Platform | api | model-platform</x:v>
      </x:c>
      <x:c r="AA11" s="52" t="n">
        <x:v>1</x:v>
      </x:c>
      <x:c r="AB11" s="53" t="b">
        <x:v>0</x:v>
      </x:c>
    </x:row>
    <x:row r="12" ht="42" customHeight="1">
      <x:c r="A12" s="57" t="n">
        <x:v>45005</x:v>
      </x:c>
      <x:c r="B12" s="52" t="str">
        <x:v>evt-20230320-codex-models</x:v>
      </x:c>
      <x:c r="C12" s="60" t="n">
        <x:v>2023</x:v>
      </x:c>
      <x:c r="D12" s="52" t="str">
        <x:v>Q1</x:v>
      </x:c>
      <x:c r="E12" s="52" t="str">
        <x:v>Platform Expansion</x:v>
      </x:c>
      <x:c r="F12" s="52" t="str">
        <x:v>safety_lifecycle</x:v>
      </x:c>
      <x:c r="G12" s="52" t="str">
        <x:v>Safety Wall</x:v>
      </x:c>
      <x:c r="H12" s="52" t="n">
        <x:v>9</x:v>
      </x:c>
      <x:c r="I12" s="52" t="str">
        <x:v>!</x:v>
      </x:c>
      <x:c r="J12" s="52" t="str">
        <x:v>Codex</x:v>
      </x:c>
      <x:c r="K12" s="52" t="str">
        <x:v>deprecation</x:v>
      </x:c>
      <x:c r="L12" s="52" t="str">
        <x:v>deprecated</x:v>
      </x:c>
      <x:c r="M12" s="63" t="str">
        <x:v>Codex models</x:v>
      </x:c>
      <x:c r="N12" s="63" t="str">
        <x:v>淘汰通知：Codex models</x:v>
      </x:c>
      <x:c r="O12" s="63" t="str">
        <x:v>Codex models.</x:v>
      </x:c>
      <x:c r="P12" s="63" t="str">
        <x:v>OpenAI 於 2023-03-20 為 Codex 公布淘汰計畫；此節點依官方發布記錄整理，完整能力、適用方案與限制請見來源。</x:v>
      </x:c>
      <x:c r="Q12" s="60" t="n">
        <x:v>3</x:v>
      </x:c>
      <x:c r="R12" s="60" t="str">
        <x:v>update</x:v>
      </x:c>
      <x:c r="S12" s="60" t="n">
        <x:v>501</x:v>
      </x:c>
      <x:c r="T12" s="60" t="n">
        <x:v>1501</x:v>
      </x:c>
      <x:c r="U12" s="52" t="str">
        <x:v>OpenAI API Deprecations</x:v>
      </x:c>
      <x:c r="V12" s="52" t="str">
        <x:v>https://platform.openai.com/docs/deprecations</x:v>
      </x:c>
      <x:c r="W12" s="52" t="str">
        <x:v>developer_deprecations</x:v>
      </x:c>
      <x:c r="X12" s="52" t="str">
        <x:v>parsed</x:v>
      </x:c>
      <x:c r="Y12" s="52" t="str">
        <x:v>high</x:v>
      </x:c>
      <x:c r="Z12" s="52" t="str">
        <x:v>safety_lifecycle | deprecation | Codex</x:v>
      </x:c>
      <x:c r="AA12" s="52" t="n">
        <x:v>1</x:v>
      </x:c>
      <x:c r="AB12" s="53" t="b">
        <x:v>0</x:v>
      </x:c>
    </x:row>
    <x:row r="13" ht="42" customHeight="1">
      <x:c r="A13" s="57" t="n">
        <x:v>45008</x:v>
      </x:c>
      <x:c r="B13" s="52" t="str">
        <x:v>evt-20230323-introducing-plugins-in-chatgpt</x:v>
      </x:c>
      <x:c r="C13" s="60" t="n">
        <x:v>2023</x:v>
      </x:c>
      <x:c r="D13" s="52" t="str">
        <x:v>Q1</x:v>
      </x:c>
      <x:c r="E13" s="52" t="str">
        <x:v>Platform Expansion</x:v>
      </x:c>
      <x:c r="F13" s="52" t="str">
        <x:v>chatgpt_core</x:v>
      </x:c>
      <x:c r="G13" s="52" t="str">
        <x:v>Origin Plaza</x:v>
      </x:c>
      <x:c r="H13" s="52" t="n">
        <x:v>0</x:v>
      </x:c>
      <x:c r="I13" s="52" t="str">
        <x:v>@</x:v>
      </x:c>
      <x:c r="J13" s="52" t="str">
        <x:v>ChatGPT</x:v>
      </x:c>
      <x:c r="K13" s="52" t="str">
        <x:v>launch</x:v>
      </x:c>
      <x:c r="L13" s="52" t="str">
        <x:v>active</x:v>
      </x:c>
      <x:c r="M13" s="63" t="str">
        <x:v>Introducing plugins in ChatGPT</x:v>
      </x:c>
      <x:c r="N13" s="63" t="str">
        <x:v>推出plugins 於 ChatGPT</x:v>
      </x:c>
      <x:c r="O13" s="63" t="str">
        <x:v>We are announcing experimental support for AI plugins in ChatGPT — tools designed specifically for language models. Plugins can help ChatGPT access up-to-date information, run computations, or use third-party services. You can learn more about plugins here. Today, we will begin extending plugin access to users and developers from our waitlist. The plugins we are rolling out with are:</x:v>
      </x:c>
      <x:c r="P13" s="63" t="str">
        <x:v>OpenAI 於 2023-03-23 為 ChatGPT 推出新產品或能力；此節點依官方發布記錄整理，完整能力、適用方案與限制請見來源。</x:v>
      </x:c>
      <x:c r="Q13" s="60" t="n">
        <x:v>4</x:v>
      </x:c>
      <x:c r="R13" s="60" t="str">
        <x:v>major</x:v>
      </x:c>
      <x:c r="S13" s="60" t="n">
        <x:v>508</x:v>
      </x:c>
      <x:c r="T13" s="60" t="n">
        <x:v>146</x:v>
      </x:c>
      <x:c r="U13" s="52" t="str">
        <x:v>ChatGPT — Release Notes</x:v>
      </x:c>
      <x:c r="V13" s="52" t="str">
        <x:v>https://help.openai.com/en/articles/6825453-chatgpt-release-notes</x:v>
      </x:c>
      <x:c r="W13" s="52" t="str">
        <x:v>help_center_release_notes</x:v>
      </x:c>
      <x:c r="X13" s="52" t="str">
        <x:v>parsed</x:v>
      </x:c>
      <x:c r="Y13" s="52" t="str">
        <x:v>high</x:v>
      </x:c>
      <x:c r="Z13" s="52" t="str">
        <x:v>chatgpt_core | launch | ChatGPT</x:v>
      </x:c>
      <x:c r="AA13" s="52" t="n">
        <x:v>1</x:v>
      </x:c>
      <x:c r="AB13" s="53" t="b">
        <x:v>0</x:v>
      </x:c>
    </x:row>
    <x:row r="14" ht="42" customHeight="1">
      <x:c r="A14" s="57" t="n">
        <x:v>45049</x:v>
      </x:c>
      <x:c r="B14" s="52" t="str">
        <x:v>evt-20230503-legacy-gpt-3-5-model-deprecation-announced</x:v>
      </x:c>
      <x:c r="C14" s="60" t="n">
        <x:v>2023</x:v>
      </x:c>
      <x:c r="D14" s="52" t="str">
        <x:v>Q2</x:v>
      </x:c>
      <x:c r="E14" s="52" t="str">
        <x:v>Platform Expansion</x:v>
      </x:c>
      <x:c r="F14" s="52" t="str">
        <x:v>safety_lifecycle</x:v>
      </x:c>
      <x:c r="G14" s="52" t="str">
        <x:v>Safety Wall</x:v>
      </x:c>
      <x:c r="H14" s="52" t="n">
        <x:v>9</x:v>
      </x:c>
      <x:c r="I14" s="52" t="str">
        <x:v>!</x:v>
      </x:c>
      <x:c r="J14" s="52" t="str">
        <x:v>GPT-3.5 Legacy</x:v>
      </x:c>
      <x:c r="K14" s="52" t="str">
        <x:v>deprecation</x:v>
      </x:c>
      <x:c r="L14" s="52" t="str">
        <x:v>deprecated</x:v>
      </x:c>
      <x:c r="M14" s="63" t="str">
        <x:v>Legacy GPT-3.5 model deprecation announced</x:v>
      </x:c>
      <x:c r="N14" s="63" t="str">
        <x:v>宣布淘汰 Legacy GPT-3.5 模型</x:v>
      </x:c>
      <x:c r="O14" s="63" t="str">
        <x:v>OpenAI announced that the Legacy GPT-3.5 option would be deprecated on May 10; existing conversations could continue but new messages would use the default model.</x:v>
      </x:c>
      <x:c r="P14" s="63" t="str">
        <x:v>OpenAI 宣布 Legacy GPT-3.5 選項將於 5 月 10 日淘汰；既有對話仍可延續，但新訊息會改用預設模型。</x:v>
      </x:c>
      <x:c r="Q14" s="60" t="n">
        <x:v>3</x:v>
      </x:c>
      <x:c r="R14" s="60" t="str">
        <x:v>update</x:v>
      </x:c>
      <x:c r="S14" s="60" t="n">
        <x:v>613</x:v>
      </x:c>
      <x:c r="T14" s="60" t="n">
        <x:v>1468</x:v>
      </x:c>
      <x:c r="U14" s="52" t="str">
        <x:v>ChatGPT — Release Notes</x:v>
      </x:c>
      <x:c r="V14" s="52" t="str">
        <x:v>https://help.openai.com/en/articles/6825453-chatgpt-release-notes</x:v>
      </x:c>
      <x:c r="W14" s="52" t="str">
        <x:v>help_center_release_notes</x:v>
      </x:c>
      <x:c r="X14" s="52" t="str">
        <x:v>parsed</x:v>
      </x:c>
      <x:c r="Y14" s="52" t="str">
        <x:v>high</x:v>
      </x:c>
      <x:c r="Z14" s="52" t="str">
        <x:v>safety_lifecycle | deprecation | GPT-3.5 Legacy | gpt-3.5 | legacy | chatgpt</x:v>
      </x:c>
      <x:c r="AA14" s="52" t="n">
        <x:v>1</x:v>
      </x:c>
      <x:c r="AB14" s="53" t="b">
        <x:v>0</x:v>
      </x:c>
    </x:row>
    <x:row r="15" ht="42" customHeight="1">
      <x:c r="A15" s="57" t="n">
        <x:v>45058</x:v>
      </x:c>
      <x:c r="B15" s="52" t="str">
        <x:v>evt-20230512-web-browsing-beta-rolls-out-to-plus</x:v>
      </x:c>
      <x:c r="C15" s="60" t="n">
        <x:v>2023</x:v>
      </x:c>
      <x:c r="D15" s="52" t="str">
        <x:v>Q2</x:v>
      </x:c>
      <x:c r="E15" s="52" t="str">
        <x:v>Platform Expansion</x:v>
      </x:c>
      <x:c r="F15" s="52" t="str">
        <x:v>search_commerce</x:v>
      </x:c>
      <x:c r="G15" s="52" t="str">
        <x:v>Commerce Bazaar</x:v>
      </x:c>
      <x:c r="H15" s="52" t="n">
        <x:v>6</x:v>
      </x:c>
      <x:c r="I15" s="52" t="str">
        <x:v>$</x:v>
      </x:c>
      <x:c r="J15" s="52" t="str">
        <x:v>ChatGPT Browsing</x:v>
      </x:c>
      <x:c r="K15" s="52" t="str">
        <x:v>availability</x:v>
      </x:c>
      <x:c r="L15" s="52" t="str">
        <x:v>beta</x:v>
      </x:c>
      <x:c r="M15" s="63" t="str">
        <x:v>Web browsing beta rolls out to Plus</x:v>
      </x:c>
      <x:c r="N15" s="63" t="str">
        <x:v>網路瀏覽 Beta 推向 Plus</x:v>
      </x:c>
      <x:c r="O15" s="63" t="str">
        <x:v>OpenAI began rolling web browsing to all Plus users through a new beta-features settings panel.</x:v>
      </x:c>
      <x:c r="P15" s="63" t="str">
        <x:v>OpenAI 開始透過新的 Beta 功能設定面板，向所有 Plus 使用者推出網路瀏覽。</x:v>
      </x:c>
      <x:c r="Q15" s="60" t="n">
        <x:v>3</x:v>
      </x:c>
      <x:c r="R15" s="60" t="str">
        <x:v>update</x:v>
      </x:c>
      <x:c r="S15" s="60" t="n">
        <x:v>636</x:v>
      </x:c>
      <x:c r="T15" s="60" t="n">
        <x:v>1087</x:v>
      </x:c>
      <x:c r="U15" s="52" t="str">
        <x:v>ChatGPT — Release Notes</x:v>
      </x:c>
      <x:c r="V15" s="52" t="str">
        <x:v>https://help.openai.com/en/articles/6825453-chatgpt-release-notes</x:v>
      </x:c>
      <x:c r="W15" s="52" t="str">
        <x:v>help_center_release_notes</x:v>
      </x:c>
      <x:c r="X15" s="52" t="str">
        <x:v>parsed</x:v>
      </x:c>
      <x:c r="Y15" s="52" t="str">
        <x:v>high</x:v>
      </x:c>
      <x:c r="Z15" s="52" t="str">
        <x:v>search_commerce | availability | ChatGPT Browsing | chatgpt | browsing | plus | beta</x:v>
      </x:c>
      <x:c r="AA15" s="52" t="n">
        <x:v>1</x:v>
      </x:c>
      <x:c r="AB15" s="53" t="b">
        <x:v>0</x:v>
      </x:c>
    </x:row>
    <x:row r="16" ht="42" customHeight="1">
      <x:c r="A16" s="57" t="n">
        <x:v>45058</x:v>
      </x:c>
      <x:c r="B16" s="52" t="str">
        <x:v>evt-20230512-plugins-beta-rolls-out-to-plus</x:v>
      </x:c>
      <x:c r="C16" s="60" t="n">
        <x:v>2023</x:v>
      </x:c>
      <x:c r="D16" s="52" t="str">
        <x:v>Q2</x:v>
      </x:c>
      <x:c r="E16" s="52" t="str">
        <x:v>Platform Expansion</x:v>
      </x:c>
      <x:c r="F16" s="52" t="str">
        <x:v>developer_platform</x:v>
      </x:c>
      <x:c r="G16" s="52" t="str">
        <x:v>Toolsmith Harbor</x:v>
      </x:c>
      <x:c r="H16" s="52" t="n">
        <x:v>3</x:v>
      </x:c>
      <x:c r="I16" s="52" t="str">
        <x:v>#</x:v>
      </x:c>
      <x:c r="J16" s="52" t="str">
        <x:v>ChatGPT Plugins</x:v>
      </x:c>
      <x:c r="K16" s="52" t="str">
        <x:v>availability</x:v>
      </x:c>
      <x:c r="L16" s="52" t="str">
        <x:v>beta</x:v>
      </x:c>
      <x:c r="M16" s="63" t="str">
        <x:v>Plugins beta rolls out to Plus</x:v>
      </x:c>
      <x:c r="N16" s="63" t="str">
        <x:v>外掛 Beta 推向 Plus</x:v>
      </x:c>
      <x:c r="O16" s="63" t="str">
        <x:v>OpenAI began rolling third-party plugins and the Plugin Store to all Plus users through the beta-features panel.</x:v>
      </x:c>
      <x:c r="P16" s="63" t="str">
        <x:v>OpenAI 開始透過 Beta 功能面板，向所有 Plus 使用者推出第三方外掛與 Plugin Store。</x:v>
      </x:c>
      <x:c r="Q16" s="60" t="n">
        <x:v>3</x:v>
      </x:c>
      <x:c r="R16" s="60" t="str">
        <x:v>update</x:v>
      </x:c>
      <x:c r="S16" s="60" t="n">
        <x:v>636</x:v>
      </x:c>
      <x:c r="T16" s="60" t="n">
        <x:v>580</x:v>
      </x:c>
      <x:c r="U16" s="52" t="str">
        <x:v>ChatGPT — Release Notes</x:v>
      </x:c>
      <x:c r="V16" s="52" t="str">
        <x:v>https://help.openai.com/en/articles/6825453-chatgpt-release-notes</x:v>
      </x:c>
      <x:c r="W16" s="52" t="str">
        <x:v>help_center_release_notes</x:v>
      </x:c>
      <x:c r="X16" s="52" t="str">
        <x:v>parsed</x:v>
      </x:c>
      <x:c r="Y16" s="52" t="str">
        <x:v>high</x:v>
      </x:c>
      <x:c r="Z16" s="52" t="str">
        <x:v>developer_platform | availability | ChatGPT Plugins | chatgpt | plugins | plugin-store | plus</x:v>
      </x:c>
      <x:c r="AA16" s="52" t="n">
        <x:v>1</x:v>
      </x:c>
      <x:c r="AB16" s="53" t="b">
        <x:v>0</x:v>
      </x:c>
    </x:row>
    <x:row r="17" ht="42" customHeight="1">
      <x:c r="A17" s="57" t="n">
        <x:v>45064</x:v>
      </x:c>
      <x:c r="B17" s="52" t="str">
        <x:v>evt-20230518-introducing-the-chatgpt-app-for-ios</x:v>
      </x:c>
      <x:c r="C17" s="60" t="n">
        <x:v>2023</x:v>
      </x:c>
      <x:c r="D17" s="52" t="str">
        <x:v>Q2</x:v>
      </x:c>
      <x:c r="E17" s="52" t="str">
        <x:v>Platform Expansion</x:v>
      </x:c>
      <x:c r="F17" s="52" t="str">
        <x:v>clients_surfaces</x:v>
      </x:c>
      <x:c r="G17" s="52" t="str">
        <x:v>Client Archipelago</x:v>
      </x:c>
      <x:c r="H17" s="52" t="n">
        <x:v>8</x:v>
      </x:c>
      <x:c r="I17" s="52" t="str">
        <x:v>+</x:v>
      </x:c>
      <x:c r="J17" s="52" t="str">
        <x:v>ChatGPT iOS</x:v>
      </x:c>
      <x:c r="K17" s="52" t="str">
        <x:v>platform</x:v>
      </x:c>
      <x:c r="L17" s="52" t="str">
        <x:v>active</x:v>
      </x:c>
      <x:c r="M17" s="63" t="str">
        <x:v>Introducing the ChatGPT app for iOS</x:v>
      </x:c>
      <x:c r="N17" s="63" t="str">
        <x:v>推出 ChatGPT iOS App</x:v>
      </x:c>
      <x:c r="O17" s="63" t="str">
        <x:v>OpenAI launched a free iOS app in the United States with conversation syncing, Whisper voice input, and Plus access to GPT-4.</x:v>
      </x:c>
      <x:c r="P17" s="63" t="str">
        <x:v>OpenAI 在美國推出免費 iOS App，支援對話同步、Whisper 語音輸入，以及 Plus 使用 GPT-4。</x:v>
      </x:c>
      <x:c r="Q17" s="60" t="n">
        <x:v>4</x:v>
      </x:c>
      <x:c r="R17" s="60" t="str">
        <x:v>major</x:v>
      </x:c>
      <x:c r="S17" s="60" t="n">
        <x:v>651</x:v>
      </x:c>
      <x:c r="T17" s="60" t="n">
        <x:v>1331</x:v>
      </x:c>
      <x:c r="U17" s="52" t="str">
        <x:v>Introducing the ChatGPT app for iOS</x:v>
      </x:c>
      <x:c r="V17" s="52" t="str">
        <x:v>https://openai.com/index/introducing-the-chatgpt-app-for-ios/</x:v>
      </x:c>
      <x:c r="W17" s="52" t="str">
        <x:v>launch_post</x:v>
      </x:c>
      <x:c r="X17" s="52" t="str">
        <x:v>complete</x:v>
      </x:c>
      <x:c r="Y17" s="52" t="str">
        <x:v>high</x:v>
      </x:c>
      <x:c r="Z17" s="52" t="str">
        <x:v>clients_surfaces | platform | ChatGPT iOS | chatgpt | ios | mobile | whisper</x:v>
      </x:c>
      <x:c r="AA17" s="52" t="n">
        <x:v>1</x:v>
      </x:c>
      <x:c r="AB17" s="53" t="b">
        <x:v>0</x:v>
      </x:c>
    </x:row>
    <x:row r="18" ht="42" customHeight="1">
      <x:c r="A18" s="57" t="n">
        <x:v>45070</x:v>
      </x:c>
      <x:c r="B18" s="52" t="str">
        <x:v>evt-20230524-disable-chat-history-on-ios</x:v>
      </x:c>
      <x:c r="C18" s="60" t="n">
        <x:v>2023</x:v>
      </x:c>
      <x:c r="D18" s="52" t="str">
        <x:v>Q2</x:v>
      </x:c>
      <x:c r="E18" s="52" t="str">
        <x:v>Platform Expansion</x:v>
      </x:c>
      <x:c r="F18" s="52" t="str">
        <x:v>safety_lifecycle</x:v>
      </x:c>
      <x:c r="G18" s="52" t="str">
        <x:v>Safety Wall</x:v>
      </x:c>
      <x:c r="H18" s="52" t="n">
        <x:v>9</x:v>
      </x:c>
      <x:c r="I18" s="52" t="str">
        <x:v>!</x:v>
      </x:c>
      <x:c r="J18" s="52" t="str">
        <x:v>ChatGPT iOS Data Controls</x:v>
      </x:c>
      <x:c r="K18" s="52" t="str">
        <x:v>safety</x:v>
      </x:c>
      <x:c r="L18" s="52" t="str">
        <x:v>general_availability</x:v>
      </x:c>
      <x:c r="M18" s="63" t="str">
        <x:v>Disable chat history on iOS</x:v>
      </x:c>
      <x:c r="N18" s="63" t="str">
        <x:v>iOS 可關閉聊天紀錄</x:v>
      </x:c>
      <x:c r="O18" s="63" t="str">
        <x:v>The iOS app added a local control to disable chat history and model-training use for new conversations.</x:v>
      </x:c>
      <x:c r="P18" s="63" t="str">
        <x:v>iOS App 新增本機控制，可關閉新對話的聊天紀錄與模型訓練用途。</x:v>
      </x:c>
      <x:c r="Q18" s="60" t="n">
        <x:v>3</x:v>
      </x:c>
      <x:c r="R18" s="60" t="str">
        <x:v>update</x:v>
      </x:c>
      <x:c r="S18" s="60" t="n">
        <x:v>666</x:v>
      </x:c>
      <x:c r="T18" s="60" t="n">
        <x:v>1500</x:v>
      </x:c>
      <x:c r="U18" s="52" t="str">
        <x:v>ChatGPT — Release Notes</x:v>
      </x:c>
      <x:c r="V18" s="52" t="str">
        <x:v>https://help.openai.com/en/articles/6825453-chatgpt-release-notes</x:v>
      </x:c>
      <x:c r="W18" s="52" t="str">
        <x:v>help_center_release_notes</x:v>
      </x:c>
      <x:c r="X18" s="52" t="str">
        <x:v>parsed</x:v>
      </x:c>
      <x:c r="Y18" s="52" t="str">
        <x:v>high</x:v>
      </x:c>
      <x:c r="Z18" s="52" t="str">
        <x:v>safety_lifecycle | safety | ChatGPT iOS Data Controls | chatgpt | ios | privacy | history</x:v>
      </x:c>
      <x:c r="AA18" s="52" t="n">
        <x:v>1</x:v>
      </x:c>
      <x:c r="AB18" s="53" t="b">
        <x:v>0</x:v>
      </x:c>
    </x:row>
    <x:row r="19" ht="42" customHeight="1">
      <x:c r="A19" s="57" t="n">
        <x:v>45070</x:v>
      </x:c>
      <x:c r="B19" s="52" t="str">
        <x:v>evt-20230524-chatgpt-ios-expands-to-11-more-countries</x:v>
      </x:c>
      <x:c r="C19" s="60" t="n">
        <x:v>2023</x:v>
      </x:c>
      <x:c r="D19" s="52" t="str">
        <x:v>Q2</x:v>
      </x:c>
      <x:c r="E19" s="52" t="str">
        <x:v>Platform Expansion</x:v>
      </x:c>
      <x:c r="F19" s="52" t="str">
        <x:v>clients_surfaces</x:v>
      </x:c>
      <x:c r="G19" s="52" t="str">
        <x:v>Client Archipelago</x:v>
      </x:c>
      <x:c r="H19" s="52" t="n">
        <x:v>8</x:v>
      </x:c>
      <x:c r="I19" s="52" t="str">
        <x:v>+</x:v>
      </x:c>
      <x:c r="J19" s="52" t="str">
        <x:v>ChatGPT iOS</x:v>
      </x:c>
      <x:c r="K19" s="52" t="str">
        <x:v>availability</x:v>
      </x:c>
      <x:c r="L19" s="52" t="str">
        <x:v>active</x:v>
      </x:c>
      <x:c r="M19" s="63" t="str">
        <x:v>ChatGPT iOS expands to 11 more countries</x:v>
      </x:c>
      <x:c r="N19" s="63" t="str">
        <x:v>ChatGPT iOS 再擴展至 11 國</x:v>
      </x:c>
      <x:c r="O19" s="63" t="str">
        <x:v>OpenAI expanded the iOS app from its U.S. launch to 11 additional countries and regions.</x:v>
      </x:c>
      <x:c r="P19" s="63" t="str">
        <x:v>OpenAI 將 iOS App 從美國擴展至另外 11 個國家與地區。</x:v>
      </x:c>
      <x:c r="Q19" s="60" t="n">
        <x:v>3</x:v>
      </x:c>
      <x:c r="R19" s="60" t="str">
        <x:v>update</x:v>
      </x:c>
      <x:c r="S19" s="60" t="n">
        <x:v>666</x:v>
      </x:c>
      <x:c r="T19" s="60" t="n">
        <x:v>1351</x:v>
      </x:c>
      <x:c r="U19" s="52" t="str">
        <x:v>ChatGPT — Release Notes</x:v>
      </x:c>
      <x:c r="V19" s="52" t="str">
        <x:v>https://help.openai.com/en/articles/6825453-chatgpt-release-notes</x:v>
      </x:c>
      <x:c r="W19" s="52" t="str">
        <x:v>help_center_release_notes</x:v>
      </x:c>
      <x:c r="X19" s="52" t="str">
        <x:v>parsed</x:v>
      </x:c>
      <x:c r="Y19" s="52" t="str">
        <x:v>high</x:v>
      </x:c>
      <x:c r="Z19" s="52" t="str">
        <x:v>clients_surfaces | availability | ChatGPT iOS | chatgpt | ios | international | mobile</x:v>
      </x:c>
      <x:c r="AA19" s="52" t="n">
        <x:v>1</x:v>
      </x:c>
      <x:c r="AB19" s="53" t="b">
        <x:v>0</x:v>
      </x:c>
    </x:row>
    <x:row r="20" ht="42" customHeight="1">
      <x:c r="A20" s="57" t="n">
        <x:v>45090</x:v>
      </x:c>
      <x:c r="B20" s="52" t="str">
        <x:v>evt-20230613-updated-chat-models-deprecation</x:v>
      </x:c>
      <x:c r="C20" s="60" t="n">
        <x:v>2023</x:v>
      </x:c>
      <x:c r="D20" s="52" t="str">
        <x:v>Q2</x:v>
      </x:c>
      <x:c r="E20" s="52" t="str">
        <x:v>Platform Expansion</x:v>
      </x:c>
      <x:c r="F20" s="52" t="str">
        <x:v>safety_lifecycle</x:v>
      </x:c>
      <x:c r="G20" s="52" t="str">
        <x:v>Safety Wall</x:v>
      </x:c>
      <x:c r="H20" s="52" t="n">
        <x:v>9</x:v>
      </x:c>
      <x:c r="I20" s="52" t="str">
        <x:v>!</x:v>
      </x:c>
      <x:c r="J20" s="52" t="str">
        <x:v>Model Platform</x:v>
      </x:c>
      <x:c r="K20" s="52" t="str">
        <x:v>deprecation</x:v>
      </x:c>
      <x:c r="L20" s="52" t="str">
        <x:v>deprecated</x:v>
      </x:c>
      <x:c r="M20" s="63" t="str">
        <x:v>Updated chat models deprecation</x:v>
      </x:c>
      <x:c r="N20" s="63" t="str">
        <x:v>Updated chat models 棄用公告</x:v>
      </x:c>
      <x:c r="O20" s="63" t="str">
        <x:v>On June 13, 2023, we announced new chat model versions in the Function calling and other API updates blog post. The three original versions will be retired in June 2024 at the earliest. As of January 10, 2024, only existing users of these models will be able to continue using them. Schedule/replacements: at earliest 2024-06-13 gpt-4-0314 $30.00 / 1M input tokens + $60.00 / 1M output tokens gpt-4o; 2024-09-13 gpt-3.5-turbo-0301 $15.00…</x:v>
      </x:c>
      <x:c r="P20" s="63" t="str">
        <x:v>OpenAI 於 2023-06-13 為 OpenAI API 公布淘汰計畫；此節點依官方發布記錄整理，完整能力、適用方案與限制請見來源。</x:v>
      </x:c>
      <x:c r="Q20" s="60" t="n">
        <x:v>4</x:v>
      </x:c>
      <x:c r="R20" s="60" t="str">
        <x:v>major</x:v>
      </x:c>
      <x:c r="S20" s="60" t="n">
        <x:v>717</x:v>
      </x:c>
      <x:c r="T20" s="60" t="n">
        <x:v>1492</x:v>
      </x:c>
      <x:c r="U20" s="52" t="str">
        <x:v>OpenAI API Deprecations</x:v>
      </x:c>
      <x:c r="V20" s="52" t="str">
        <x:v>https://developers.openai.com/api/docs/deprecations#2023-06-13-updated-chat-models</x:v>
      </x:c>
      <x:c r="W20" s="52" t="str">
        <x:v>official_deprecation_registry</x:v>
      </x:c>
      <x:c r="X20" s="52" t="str">
        <x:v>corroborated</x:v>
      </x:c>
      <x:c r="Y20" s="52" t="str">
        <x:v>high</x:v>
      </x:c>
      <x:c r="Z20" s="52" t="str">
        <x:v>safety_lifecycle | deprecation | Model Platform | api | model-platform</x:v>
      </x:c>
      <x:c r="AA20" s="52" t="n">
        <x:v>2</x:v>
      </x:c>
      <x:c r="AB20" s="53" t="b">
        <x:v>1</x:v>
      </x:c>
    </x:row>
    <x:row r="21" ht="42" customHeight="1">
      <x:c r="A21" s="57" t="n">
        <x:v>45090</x:v>
      </x:c>
      <x:c r="B21" s="52" t="str">
        <x:v>evt-20230613-function-calling-and-other-api-updates</x:v>
      </x:c>
      <x:c r="C21" s="60" t="n">
        <x:v>2023</x:v>
      </x:c>
      <x:c r="D21" s="52" t="str">
        <x:v>Q2</x:v>
      </x:c>
      <x:c r="E21" s="52" t="str">
        <x:v>Platform Expansion</x:v>
      </x:c>
      <x:c r="F21" s="52" t="str">
        <x:v>developer_platform</x:v>
      </x:c>
      <x:c r="G21" s="52" t="str">
        <x:v>Toolsmith Harbor</x:v>
      </x:c>
      <x:c r="H21" s="52" t="n">
        <x:v>3</x:v>
      </x:c>
      <x:c r="I21" s="52" t="str">
        <x:v>#</x:v>
      </x:c>
      <x:c r="J21" s="52" t="str">
        <x:v>Chat Completions API</x:v>
      </x:c>
      <x:c r="K21" s="52" t="str">
        <x:v>feature</x:v>
      </x:c>
      <x:c r="L21" s="52" t="str">
        <x:v>active</x:v>
      </x:c>
      <x:c r="M21" s="63" t="str">
        <x:v>Function calling and other API updates</x:v>
      </x:c>
      <x:c r="N21" s="63" t="str">
        <x:v>API 函式調用與模型更新</x:v>
      </x:c>
      <x:c r="O21" s="63" t="str">
        <x:v>OpenAI added function calling to Chat Completions, released updated GPT-4 and GPT-3.5 Turbo snapshots, a 16K GPT-3.5 Turbo variant, lower prices, and deprecation schedules.</x:v>
      </x:c>
      <x:c r="P21" s="63" t="str">
        <x:v>Chat Completions 新增函式調用，並同步推出模型快照、16K 上下文、降價與棄用時程。</x:v>
      </x:c>
      <x:c r="Q21" s="60" t="n">
        <x:v>3</x:v>
      </x:c>
      <x:c r="R21" s="60" t="str">
        <x:v>update</x:v>
      </x:c>
      <x:c r="S21" s="60" t="n">
        <x:v>717</x:v>
      </x:c>
      <x:c r="T21" s="60" t="n">
        <x:v>584</x:v>
      </x:c>
      <x:c r="U21" s="52" t="str">
        <x:v>Function calling and other API updates</x:v>
      </x:c>
      <x:c r="V21" s="52" t="str">
        <x:v>https://openai.com/index/function-calling-and-other-api-updates/</x:v>
      </x:c>
      <x:c r="W21" s="52" t="str">
        <x:v>official_launch_post</x:v>
      </x:c>
      <x:c r="X21" s="52" t="str">
        <x:v>parsed</x:v>
      </x:c>
      <x:c r="Y21" s="52" t="str">
        <x:v>high</x:v>
      </x:c>
      <x:c r="Z21" s="52" t="str">
        <x:v>developer_platform | feature | Chat Completions API | chat-completions | function-calling</x:v>
      </x:c>
      <x:c r="AA21" s="52" t="n">
        <x:v>1</x:v>
      </x:c>
      <x:c r="AB21" s="53" t="b">
        <x:v>0</x:v>
      </x:c>
    </x:row>
    <x:row r="22" ht="42" customHeight="1">
      <x:c r="A22" s="57" t="n">
        <x:v>45110</x:v>
      </x:c>
      <x:c r="B22" s="52" t="str">
        <x:v>evt-20230703-browsing-temporarily-disabled</x:v>
      </x:c>
      <x:c r="C22" s="60" t="n">
        <x:v>2023</x:v>
      </x:c>
      <x:c r="D22" s="52" t="str">
        <x:v>Q3</x:v>
      </x:c>
      <x:c r="E22" s="52" t="str">
        <x:v>Platform Expansion</x:v>
      </x:c>
      <x:c r="F22" s="52" t="str">
        <x:v>safety_lifecycle</x:v>
      </x:c>
      <x:c r="G22" s="52" t="str">
        <x:v>Safety Wall</x:v>
      </x:c>
      <x:c r="H22" s="52" t="n">
        <x:v>9</x:v>
      </x:c>
      <x:c r="I22" s="52" t="str">
        <x:v>!</x:v>
      </x:c>
      <x:c r="J22" s="52" t="str">
        <x:v>ChatGPT Browsing</x:v>
      </x:c>
      <x:c r="K22" s="52" t="str">
        <x:v>safety</x:v>
      </x:c>
      <x:c r="L22" s="52" t="str">
        <x:v>active</x:v>
      </x:c>
      <x:c r="M22" s="63" t="str">
        <x:v>Browsing temporarily disabled</x:v>
      </x:c>
      <x:c r="N22" s="63" t="str">
        <x:v>瀏覽功能暫時停用</x:v>
      </x:c>
      <x:c r="O22" s="63" t="str">
        <x:v>OpenAI temporarily disabled Browse after finding it could reproduce page content in unintended ways, including fulfilling requests for full URL text.</x:v>
      </x:c>
      <x:c r="P22" s="63" t="str">
        <x:v>OpenAI 發現 Browse 可能以非預期方式重現頁面內容，包括滿足取得完整網址文字的要求，因此暫時停用。</x:v>
      </x:c>
      <x:c r="Q22" s="60" t="n">
        <x:v>3</x:v>
      </x:c>
      <x:c r="R22" s="60" t="str">
        <x:v>update</x:v>
      </x:c>
      <x:c r="S22" s="60" t="n">
        <x:v>769</x:v>
      </x:c>
      <x:c r="T22" s="60" t="n">
        <x:v>1528</x:v>
      </x:c>
      <x:c r="U22" s="52" t="str">
        <x:v>ChatGPT — Release Notes</x:v>
      </x:c>
      <x:c r="V22" s="52" t="str">
        <x:v>https://help.openai.com/en/articles/6825453-chatgpt-release-notes</x:v>
      </x:c>
      <x:c r="W22" s="52" t="str">
        <x:v>help_center_release_notes</x:v>
      </x:c>
      <x:c r="X22" s="52" t="str">
        <x:v>parsed</x:v>
      </x:c>
      <x:c r="Y22" s="52" t="str">
        <x:v>high</x:v>
      </x:c>
      <x:c r="Z22" s="52" t="str">
        <x:v>safety_lifecycle | safety | ChatGPT Browsing | chatgpt | browsing | suspension | content-safety</x:v>
      </x:c>
      <x:c r="AA22" s="52" t="n">
        <x:v>1</x:v>
      </x:c>
      <x:c r="AB22" s="53" t="b">
        <x:v>0</x:v>
      </x:c>
    </x:row>
    <x:row r="23" ht="42" customHeight="1">
      <x:c r="A23" s="57" t="n">
        <x:v>45113</x:v>
      </x:c>
      <x:c r="B23" s="52" t="str">
        <x:v>evt-20230706-gpt-4-api-reaches-general-availability</x:v>
      </x:c>
      <x:c r="C23" s="60" t="n">
        <x:v>2023</x:v>
      </x:c>
      <x:c r="D23" s="52" t="str">
        <x:v>Q3</x:v>
      </x:c>
      <x:c r="E23" s="52" t="str">
        <x:v>Platform Expansion</x:v>
      </x:c>
      <x:c r="F23" s="52" t="str">
        <x:v>developer_platform</x:v>
      </x:c>
      <x:c r="G23" s="52" t="str">
        <x:v>Toolsmith Harbor</x:v>
      </x:c>
      <x:c r="H23" s="52" t="n">
        <x:v>3</x:v>
      </x:c>
      <x:c r="I23" s="52" t="str">
        <x:v>#</x:v>
      </x:c>
      <x:c r="J23" s="52" t="str">
        <x:v>OpenAI API Platform</x:v>
      </x:c>
      <x:c r="K23" s="52" t="str">
        <x:v>availability</x:v>
      </x:c>
      <x:c r="L23" s="52" t="str">
        <x:v>general_availability</x:v>
      </x:c>
      <x:c r="M23" s="63" t="str">
        <x:v>GPT-4 API reaches general availability</x:v>
      </x:c>
      <x:c r="N23" s="63" t="str">
        <x:v>GPT‑4 API 正式 GA</x:v>
      </x:c>
      <x:c r="O23" s="63" t="str">
        <x:v>All paying API customers gained GPT-4 access; GPT-3.5 Turbo, DALL·E and Whisper APIs were declared generally available, while older Completions, embeddings and Edits systems received retirement plans.</x:v>
      </x:c>
      <x:c r="P23" s="63" t="str">
        <x:v>所有付費 API 客戶取得 GPT‑4 存取；GPT‑3.5 Turbo、DALL·E 與 Whisper API 進入 GA，舊系統同步公布退役計畫。</x:v>
      </x:c>
      <x:c r="Q23" s="60" t="n">
        <x:v>4</x:v>
      </x:c>
      <x:c r="R23" s="60" t="str">
        <x:v>major</x:v>
      </x:c>
      <x:c r="S23" s="60" t="n">
        <x:v>776</x:v>
      </x:c>
      <x:c r="T23" s="60" t="n">
        <x:v>613</x:v>
      </x:c>
      <x:c r="U23" s="52" t="str">
        <x:v>GPT-4 API general availability</x:v>
      </x:c>
      <x:c r="V23" s="52" t="str">
        <x:v>https://openai.com/index/gpt-4-api-general-availability/</x:v>
      </x:c>
      <x:c r="W23" s="52" t="str">
        <x:v>official_launch_post</x:v>
      </x:c>
      <x:c r="X23" s="52" t="str">
        <x:v>parsed</x:v>
      </x:c>
      <x:c r="Y23" s="52" t="str">
        <x:v>high</x:v>
      </x:c>
      <x:c r="Z23" s="52" t="str">
        <x:v>developer_platform | availability | OpenAI API Platform | deprecation | ga | gpt-4</x:v>
      </x:c>
      <x:c r="AA23" s="52" t="n">
        <x:v>1</x:v>
      </x:c>
      <x:c r="AB23" s="53" t="b">
        <x:v>0</x:v>
      </x:c>
    </x:row>
    <x:row r="24" ht="42" customHeight="1">
      <x:c r="A24" s="57" t="n">
        <x:v>45113</x:v>
      </x:c>
      <x:c r="B24" s="52" t="str">
        <x:v>evt-20230706-code-interpreter-beta-rolls-out-to-all-plus-users</x:v>
      </x:c>
      <x:c r="C24" s="60" t="n">
        <x:v>2023</x:v>
      </x:c>
      <x:c r="D24" s="52" t="str">
        <x:v>Q3</x:v>
      </x:c>
      <x:c r="E24" s="52" t="str">
        <x:v>Platform Expansion</x:v>
      </x:c>
      <x:c r="F24" s="52" t="str">
        <x:v>developer_platform</x:v>
      </x:c>
      <x:c r="G24" s="52" t="str">
        <x:v>Toolsmith Harbor</x:v>
      </x:c>
      <x:c r="H24" s="52" t="n">
        <x:v>3</x:v>
      </x:c>
      <x:c r="I24" s="52" t="str">
        <x:v>#</x:v>
      </x:c>
      <x:c r="J24" s="52" t="str">
        <x:v>Code Interpreter</x:v>
      </x:c>
      <x:c r="K24" s="52" t="str">
        <x:v>availability</x:v>
      </x:c>
      <x:c r="L24" s="52" t="str">
        <x:v>beta</x:v>
      </x:c>
      <x:c r="M24" s="63" t="str">
        <x:v>Code Interpreter beta rolls out to all Plus users</x:v>
      </x:c>
      <x:c r="N24" s="63" t="str">
        <x:v>Code Interpreter Beta 推向所有 Plus 使用者</x:v>
      </x:c>
      <x:c r="O24" s="63" t="str">
        <x:v>OpenAI began rolling Code Interpreter on the web to every Plus user, enabling code execution and uploaded-file analysis.</x:v>
      </x:c>
      <x:c r="P24" s="63" t="str">
        <x:v>OpenAI 開始向所有 Plus 使用者推出網頁版 Code Interpreter，可執行程式碼並分析上傳檔案。</x:v>
      </x:c>
      <x:c r="Q24" s="60" t="n">
        <x:v>4</x:v>
      </x:c>
      <x:c r="R24" s="60" t="str">
        <x:v>major</x:v>
      </x:c>
      <x:c r="S24" s="60" t="n">
        <x:v>776</x:v>
      </x:c>
      <x:c r="T24" s="60" t="n">
        <x:v>628</x:v>
      </x:c>
      <x:c r="U24" s="52" t="str">
        <x:v>ChatGPT — Release Notes</x:v>
      </x:c>
      <x:c r="V24" s="52" t="str">
        <x:v>https://help.openai.com/en/articles/6825453-chatgpt-release-notes</x:v>
      </x:c>
      <x:c r="W24" s="52" t="str">
        <x:v>help_center_release_notes</x:v>
      </x:c>
      <x:c r="X24" s="52" t="str">
        <x:v>parsed</x:v>
      </x:c>
      <x:c r="Y24" s="52" t="str">
        <x:v>high</x:v>
      </x:c>
      <x:c r="Z24" s="52" t="str">
        <x:v>developer_platform | availability | Code Interpreter | chatgpt | code-interpreter | python | plus</x:v>
      </x:c>
      <x:c r="AA24" s="52" t="n">
        <x:v>1</x:v>
      </x:c>
      <x:c r="AB24" s="53" t="b">
        <x:v>0</x:v>
      </x:c>
    </x:row>
    <x:row r="25" ht="42" customHeight="1">
      <x:c r="A25" s="57" t="n">
        <x:v>45126</x:v>
      </x:c>
      <x:c r="B25" s="52" t="str">
        <x:v>evt-20230719-gpt-4-message-limit-doubled</x:v>
      </x:c>
      <x:c r="C25" s="60" t="n">
        <x:v>2023</x:v>
      </x:c>
      <x:c r="D25" s="52" t="str">
        <x:v>Q3</x:v>
      </x:c>
      <x:c r="E25" s="52" t="str">
        <x:v>Platform Expansion</x:v>
      </x:c>
      <x:c r="F25" s="52" t="str">
        <x:v>models_reasoning</x:v>
      </x:c>
      <x:c r="G25" s="52" t="str">
        <x:v>Model Mountains</x:v>
      </x:c>
      <x:c r="H25" s="52" t="n">
        <x:v>1</x:v>
      </x:c>
      <x:c r="I25" s="52" t="str">
        <x:v>^</x:v>
      </x:c>
      <x:c r="J25" s="52" t="str">
        <x:v>GPT-4 in ChatGPT</x:v>
      </x:c>
      <x:c r="K25" s="52" t="str">
        <x:v>pricing_quota</x:v>
      </x:c>
      <x:c r="L25" s="52" t="str">
        <x:v>active</x:v>
      </x:c>
      <x:c r="M25" s="63" t="str">
        <x:v>GPT-4 message limit doubled</x:v>
      </x:c>
      <x:c r="N25" s="63" t="str">
        <x:v>GPT-4 訊息上限加倍</x:v>
      </x:c>
      <x:c r="O25" s="63" t="str">
        <x:v>OpenAI doubled the GPT-4 allowance for Plus users to 40 messages every three hours.</x:v>
      </x:c>
      <x:c r="P25" s="63" t="str">
        <x:v>OpenAI 將 Plus 使用者的 GPT-4 額度加倍至每三小時 40 則訊息。</x:v>
      </x:c>
      <x:c r="Q25" s="60" t="n">
        <x:v>4</x:v>
      </x:c>
      <x:c r="R25" s="60" t="str">
        <x:v>major</x:v>
      </x:c>
      <x:c r="S25" s="60" t="n">
        <x:v>809</x:v>
      </x:c>
      <x:c r="T25" s="60" t="n">
        <x:v>307</x:v>
      </x:c>
      <x:c r="U25" s="52" t="str">
        <x:v>ChatGPT — Release Notes</x:v>
      </x:c>
      <x:c r="V25" s="52" t="str">
        <x:v>https://help.openai.com/en/articles/6825453-chatgpt-release-notes</x:v>
      </x:c>
      <x:c r="W25" s="52" t="str">
        <x:v>help_center_release_notes</x:v>
      </x:c>
      <x:c r="X25" s="52" t="str">
        <x:v>parsed</x:v>
      </x:c>
      <x:c r="Y25" s="52" t="str">
        <x:v>high</x:v>
      </x:c>
      <x:c r="Z25" s="52" t="str">
        <x:v>models_reasoning | pricing_quota | GPT-4 in ChatGPT | gpt-4 | plus | message-limit | quota</x:v>
      </x:c>
      <x:c r="AA25" s="52" t="n">
        <x:v>1</x:v>
      </x:c>
      <x:c r="AB25" s="53" t="b">
        <x:v>0</x:v>
      </x:c>
    </x:row>
    <x:row r="26" ht="42" customHeight="1">
      <x:c r="A26" s="57" t="n">
        <x:v>45132</x:v>
      </x:c>
      <x:c r="B26" s="52" t="str">
        <x:v>evt-20230725-introducing-the-chatgpt-app-for-android</x:v>
      </x:c>
      <x:c r="C26" s="60" t="n">
        <x:v>2023</x:v>
      </x:c>
      <x:c r="D26" s="52" t="str">
        <x:v>Q3</x:v>
      </x:c>
      <x:c r="E26" s="52" t="str">
        <x:v>Platform Expansion</x:v>
      </x:c>
      <x:c r="F26" s="52" t="str">
        <x:v>clients_surfaces</x:v>
      </x:c>
      <x:c r="G26" s="52" t="str">
        <x:v>Client Archipelago</x:v>
      </x:c>
      <x:c r="H26" s="52" t="n">
        <x:v>8</x:v>
      </x:c>
      <x:c r="I26" s="52" t="str">
        <x:v>+</x:v>
      </x:c>
      <x:c r="J26" s="52" t="str">
        <x:v>ChatGPT Android</x:v>
      </x:c>
      <x:c r="K26" s="52" t="str">
        <x:v>platform</x:v>
      </x:c>
      <x:c r="L26" s="52" t="str">
        <x:v>active</x:v>
      </x:c>
      <x:c r="M26" s="63" t="str">
        <x:v>Introducing the ChatGPT app for Android</x:v>
      </x:c>
      <x:c r="N26" s="63" t="str">
        <x:v>推出 ChatGPT Android App</x:v>
      </x:c>
      <x:c r="O26" s="63" t="str">
        <x:v>ChatGPT for Android is now available for download in the United States, India, Bangladesh, and Brazil from the Google Play Store. We plan to expand the rollout to additional countries over the next week. You can track the Android rollout here.</x:v>
      </x:c>
      <x:c r="P26" s="63" t="str">
        <x:v>OpenAI 於 2023-07-25 為 ChatGPT 調整方案、額度或計費；此節點依官方發布記錄整理，完整能力、適用方案與限制請見來源。</x:v>
      </x:c>
      <x:c r="Q26" s="60" t="n">
        <x:v>3</x:v>
      </x:c>
      <x:c r="R26" s="60" t="str">
        <x:v>update</x:v>
      </x:c>
      <x:c r="S26" s="60" t="n">
        <x:v>825</x:v>
      </x:c>
      <x:c r="T26" s="60" t="n">
        <x:v>1376</x:v>
      </x:c>
      <x:c r="U26" s="52" t="str">
        <x:v>ChatGPT — Release Notes</x:v>
      </x:c>
      <x:c r="V26" s="52" t="str">
        <x:v>https://help.openai.com/en/articles/6825453-chatgpt-release-notes</x:v>
      </x:c>
      <x:c r="W26" s="52" t="str">
        <x:v>help_center_release_notes</x:v>
      </x:c>
      <x:c r="X26" s="52" t="str">
        <x:v>parsed</x:v>
      </x:c>
      <x:c r="Y26" s="52" t="str">
        <x:v>high</x:v>
      </x:c>
      <x:c r="Z26" s="52" t="str">
        <x:v>clients_surfaces | platform | ChatGPT Android | chatgpt | android | mobile | launch</x:v>
      </x:c>
      <x:c r="AA26" s="52" t="n">
        <x:v>1</x:v>
      </x:c>
      <x:c r="AB26" s="53" t="b">
        <x:v>0</x:v>
      </x:c>
    </x:row>
    <x:row r="27" ht="42" customHeight="1">
      <x:c r="A27" s="57" t="n">
        <x:v>45141</x:v>
      </x:c>
      <x:c r="B27" s="52" t="str">
        <x:v>evt-20230803-chatgpt-remembers-the-selected-gpt-4-model</x:v>
      </x:c>
      <x:c r="C27" s="60" t="n">
        <x:v>2023</x:v>
      </x:c>
      <x:c r="D27" s="52" t="str">
        <x:v>Q3</x:v>
      </x:c>
      <x:c r="E27" s="52" t="str">
        <x:v>Platform Expansion</x:v>
      </x:c>
      <x:c r="F27" s="52" t="str">
        <x:v>models_reasoning</x:v>
      </x:c>
      <x:c r="G27" s="52" t="str">
        <x:v>Model Mountains</x:v>
      </x:c>
      <x:c r="H27" s="52" t="n">
        <x:v>1</x:v>
      </x:c>
      <x:c r="I27" s="52" t="str">
        <x:v>^</x:v>
      </x:c>
      <x:c r="J27" s="52" t="str">
        <x:v>ChatGPT model picker</x:v>
      </x:c>
      <x:c r="K27" s="52" t="str">
        <x:v>feature</x:v>
      </x:c>
      <x:c r="L27" s="52" t="str">
        <x:v>general_availability</x:v>
      </x:c>
      <x:c r="M27" s="63" t="str">
        <x:v>ChatGPT remembers the selected GPT-4 model</x:v>
      </x:c>
      <x:c r="N27" s="63" t="str">
        <x:v>ChatGPT 記住所選 GPT-4 模式</x:v>
      </x:c>
      <x:c r="O27" s="63" t="str">
        <x:v>Plus users no longer defaulted back to GPT-3.5 when starting a new chat; ChatGPT remembered the previously selected GPT-4 mode.</x:v>
      </x:c>
      <x:c r="P27" s="63" t="str">
        <x:v>Plus 使用者開新聊天時不再自動回到 GPT-3.5；ChatGPT 會記住所選的 GPT-4 模式。</x:v>
      </x:c>
      <x:c r="Q27" s="60" t="n">
        <x:v>4</x:v>
      </x:c>
      <x:c r="R27" s="60" t="str">
        <x:v>major</x:v>
      </x:c>
      <x:c r="S27" s="60" t="n">
        <x:v>848</x:v>
      </x:c>
      <x:c r="T27" s="60" t="n">
        <x:v>329</x:v>
      </x:c>
      <x:c r="U27" s="52" t="str">
        <x:v>ChatGPT — Release Notes</x:v>
      </x:c>
      <x:c r="V27" s="52" t="str">
        <x:v>https://help.openai.com/en/articles/6825453-chatgpt-release-notes</x:v>
      </x:c>
      <x:c r="W27" s="52" t="str">
        <x:v>help_center_release_notes</x:v>
      </x:c>
      <x:c r="X27" s="52" t="str">
        <x:v>parsed</x:v>
      </x:c>
      <x:c r="Y27" s="52" t="str">
        <x:v>high</x:v>
      </x:c>
      <x:c r="Z27" s="52" t="str">
        <x:v>models_reasoning | feature | ChatGPT model picker | chatgpt | gpt-4 | model-picker | preference</x:v>
      </x:c>
      <x:c r="AA27" s="52" t="n">
        <x:v>1</x:v>
      </x:c>
      <x:c r="AB27" s="53" t="b">
        <x:v>0</x:v>
      </x:c>
    </x:row>
    <x:row r="28" ht="42" customHeight="1">
      <x:c r="A28" s="57" t="n">
        <x:v>45166</x:v>
      </x:c>
      <x:c r="B28" s="52" t="str">
        <x:v>evt-20230828-introducing-chatgpt-enterprise</x:v>
      </x:c>
      <x:c r="C28" s="60" t="n">
        <x:v>2023</x:v>
      </x:c>
      <x:c r="D28" s="52" t="str">
        <x:v>Q3</x:v>
      </x:c>
      <x:c r="E28" s="52" t="str">
        <x:v>Platform Expansion</x:v>
      </x:c>
      <x:c r="F28" s="52" t="str">
        <x:v>enterprise_vertical</x:v>
      </x:c>
      <x:c r="G28" s="52" t="str">
        <x:v>Enterprise Citadel</x:v>
      </x:c>
      <x:c r="H28" s="52" t="n">
        <x:v>7</x:v>
      </x:c>
      <x:c r="I28" s="52" t="str">
        <x:v>H</x:v>
      </x:c>
      <x:c r="J28" s="52" t="str">
        <x:v>ChatGPT Enterprise</x:v>
      </x:c>
      <x:c r="K28" s="52" t="str">
        <x:v>launch</x:v>
      </x:c>
      <x:c r="L28" s="52" t="str">
        <x:v>active</x:v>
      </x:c>
      <x:c r="M28" s="63" t="str">
        <x:v>Introducing ChatGPT Enterprise</x:v>
      </x:c>
      <x:c r="N28" s="63" t="str">
        <x:v>推出 ChatGPT Enterprise</x:v>
      </x:c>
      <x:c r="O28" s="63" t="str">
        <x:v>OpenAI launched ChatGPT Enterprise with enterprise security and privacy, higher-speed GPT-4, longer context, advanced data analysis, customization, and admin capabilities.</x:v>
      </x:c>
      <x:c r="P28" s="63" t="str">
        <x:v>OpenAI 推出 ChatGPT Enterprise，提供企業級隱私與安全、無上限高速 GPT-4、32K 上下文、進階資料分析與管理控制。</x:v>
      </x:c>
      <x:c r="Q28" s="60" t="n">
        <x:v>5</x:v>
      </x:c>
      <x:c r="R28" s="60" t="str">
        <x:v>landmark</x:v>
      </x:c>
      <x:c r="S28" s="60" t="n">
        <x:v>911</x:v>
      </x:c>
      <x:c r="T28" s="60" t="n">
        <x:v>1226</x:v>
      </x:c>
      <x:c r="U28" s="52" t="str">
        <x:v>Introducing ChatGPT Enterprise</x:v>
      </x:c>
      <x:c r="V28" s="52" t="str">
        <x:v>https://openai.com/index/introducing-chatgpt-enterprise/</x:v>
      </x:c>
      <x:c r="W28" s="52" t="str">
        <x:v>launch_post</x:v>
      </x:c>
      <x:c r="X28" s="52" t="str">
        <x:v>complete</x:v>
      </x:c>
      <x:c r="Y28" s="52" t="str">
        <x:v>high</x:v>
      </x:c>
      <x:c r="Z28" s="52" t="str">
        <x:v>enterprise_vertical | launch | ChatGPT Enterprise | chatgpt | enterprise | admin | privacy</x:v>
      </x:c>
      <x:c r="AA28" s="52" t="n">
        <x:v>1</x:v>
      </x:c>
      <x:c r="AB28" s="53" t="b">
        <x:v>0</x:v>
      </x:c>
    </x:row>
    <x:row r="29" ht="42" customHeight="1">
      <x:c r="A29" s="57" t="n">
        <x:v>45215</x:v>
      </x:c>
      <x:c r="B29" s="52" t="str">
        <x:v>evt-20231016-dall-e-3-rolls-out-in-chatgpt-beta</x:v>
      </x:c>
      <x:c r="C29" s="60" t="n">
        <x:v>2023</x:v>
      </x:c>
      <x:c r="D29" s="52" t="str">
        <x:v>Q4</x:v>
      </x:c>
      <x:c r="E29" s="52" t="str">
        <x:v>Platform Expansion</x:v>
      </x:c>
      <x:c r="F29" s="52" t="str">
        <x:v>multimodal</x:v>
      </x:c>
      <x:c r="G29" s="52" t="str">
        <x:v>Multimodal Coast</x:v>
      </x:c>
      <x:c r="H29" s="52" t="n">
        <x:v>4</x:v>
      </x:c>
      <x:c r="I29" s="52" t="str">
        <x:v>~</x:v>
      </x:c>
      <x:c r="J29" s="52" t="str">
        <x:v>DALL-E 3 in ChatGPT</x:v>
      </x:c>
      <x:c r="K29" s="52" t="str">
        <x:v>feature</x:v>
      </x:c>
      <x:c r="L29" s="52" t="str">
        <x:v>beta</x:v>
      </x:c>
      <x:c r="M29" s="63" t="str">
        <x:v>DALL-E 3 rolls out in ChatGPT beta</x:v>
      </x:c>
      <x:c r="N29" s="63" t="str">
        <x:v>DALL-E 3 在 ChatGPT 展開 Beta</x:v>
      </x:c>
      <x:c r="O29" s="63" t="str">
        <x:v>OpenAI began integrating DALL-E 3 into ChatGPT on web and mobile so GPT-4 users could generate images conversationally.</x:v>
      </x:c>
      <x:c r="P29" s="63" t="str">
        <x:v>OpenAI 開始在 ChatGPT 網頁與行動版整合 DALL-E 3，讓 GPT-4 使用者能以對話生成圖像。</x:v>
      </x:c>
      <x:c r="Q29" s="60" t="n">
        <x:v>4</x:v>
      </x:c>
      <x:c r="R29" s="60" t="str">
        <x:v>major</x:v>
      </x:c>
      <x:c r="S29" s="60" t="n">
        <x:v>1036</x:v>
      </x:c>
      <x:c r="T29" s="60" t="n">
        <x:v>747</x:v>
      </x:c>
      <x:c r="U29" s="52" t="str">
        <x:v>ChatGPT — Release Notes</x:v>
      </x:c>
      <x:c r="V29" s="52" t="str">
        <x:v>https://help.openai.com/en/articles/6825453-chatgpt-release-notes</x:v>
      </x:c>
      <x:c r="W29" s="52" t="str">
        <x:v>help_center_release_notes</x:v>
      </x:c>
      <x:c r="X29" s="52" t="str">
        <x:v>parsed</x:v>
      </x:c>
      <x:c r="Y29" s="52" t="str">
        <x:v>high</x:v>
      </x:c>
      <x:c r="Z29" s="52" t="str">
        <x:v>multimodal | feature | DALL-E 3 in ChatGPT | dall-e-3 | chatgpt | image-generation | beta</x:v>
      </x:c>
      <x:c r="AA29" s="52" t="n">
        <x:v>1</x:v>
      </x:c>
      <x:c r="AB29" s="53" t="b">
        <x:v>0</x:v>
      </x:c>
    </x:row>
    <x:row r="30" ht="42" customHeight="1">
      <x:c r="A30" s="57" t="n">
        <x:v>45216</x:v>
      </x:c>
      <x:c r="B30" s="52" t="str">
        <x:v>evt-20231017-browsing-is-now-out-of-beta</x:v>
      </x:c>
      <x:c r="C30" s="60" t="n">
        <x:v>2023</x:v>
      </x:c>
      <x:c r="D30" s="52" t="str">
        <x:v>Q4</x:v>
      </x:c>
      <x:c r="E30" s="52" t="str">
        <x:v>Platform Expansion</x:v>
      </x:c>
      <x:c r="F30" s="52" t="str">
        <x:v>enterprise_vertical</x:v>
      </x:c>
      <x:c r="G30" s="52" t="str">
        <x:v>Enterprise Citadel</x:v>
      </x:c>
      <x:c r="H30" s="52" t="n">
        <x:v>7</x:v>
      </x:c>
      <x:c r="I30" s="52" t="str">
        <x:v>H</x:v>
      </x:c>
      <x:c r="J30" s="52" t="str">
        <x:v>ChatGPT Enterprise &amp; Edu</x:v>
      </x:c>
      <x:c r="K30" s="52" t="str">
        <x:v>launch</x:v>
      </x:c>
      <x:c r="L30" s="52" t="str">
        <x:v>beta</x:v>
      </x:c>
      <x:c r="M30" s="63" t="str">
        <x:v>Browsing is now out of beta</x:v>
      </x:c>
      <x:c r="N30" s="63" t="str">
        <x:v>推出：Browsing is now out of beta</x:v>
      </x:c>
      <x:c r="O30" s="63" t="str">
        <x:v>Browsing, which we re-launched a few weeks ago, is moving out of beta. Plus and Enterprise users no longer need to switch the beta toggle to use browse, and are able to choose "Browse with Bing" from the GPT-4 model selector.</x:v>
      </x:c>
      <x:c r="P30" s="63" t="str">
        <x:v>OpenAI 於 2023-10-17 為 ChatGPT Enterprise &amp; Edu 推出新產品或能力；此節點依官方發布記錄整理，完整能力、適用方案與限制請見來源。</x:v>
      </x:c>
      <x:c r="Q30" s="60" t="n">
        <x:v>4</x:v>
      </x:c>
      <x:c r="R30" s="60" t="str">
        <x:v>major</x:v>
      </x:c>
      <x:c r="S30" s="60" t="n">
        <x:v>1039</x:v>
      </x:c>
      <x:c r="T30" s="60" t="n">
        <x:v>1178</x:v>
      </x:c>
      <x:c r="U30" s="52" t="str">
        <x:v>ChatGPT — Release Notes</x:v>
      </x:c>
      <x:c r="V30" s="52" t="str">
        <x:v>https://help.openai.com/en/articles/6825453-chatgpt-release-notes</x:v>
      </x:c>
      <x:c r="W30" s="52" t="str">
        <x:v>help_center_release_notes</x:v>
      </x:c>
      <x:c r="X30" s="52" t="str">
        <x:v>parsed</x:v>
      </x:c>
      <x:c r="Y30" s="52" t="str">
        <x:v>high</x:v>
      </x:c>
      <x:c r="Z30" s="52" t="str">
        <x:v>enterprise_vertical | launch | ChatGPT Enterprise &amp; Edu</x:v>
      </x:c>
      <x:c r="AA30" s="52" t="n">
        <x:v>1</x:v>
      </x:c>
      <x:c r="AB30" s="53" t="b">
        <x:v>0</x:v>
      </x:c>
    </x:row>
    <x:row r="31" ht="42" customHeight="1">
      <x:c r="A31" s="57" t="n">
        <x:v>45216</x:v>
      </x:c>
      <x:c r="B31" s="52" t="str">
        <x:v>evt-20231017-browsing-leaves-beta</x:v>
      </x:c>
      <x:c r="C31" s="60" t="n">
        <x:v>2023</x:v>
      </x:c>
      <x:c r="D31" s="52" t="str">
        <x:v>Q4</x:v>
      </x:c>
      <x:c r="E31" s="52" t="str">
        <x:v>Platform Expansion</x:v>
      </x:c>
      <x:c r="F31" s="52" t="str">
        <x:v>search_commerce</x:v>
      </x:c>
      <x:c r="G31" s="52" t="str">
        <x:v>Commerce Bazaar</x:v>
      </x:c>
      <x:c r="H31" s="52" t="n">
        <x:v>6</x:v>
      </x:c>
      <x:c r="I31" s="52" t="str">
        <x:v>$</x:v>
      </x:c>
      <x:c r="J31" s="52" t="str">
        <x:v>Browse with Bing</x:v>
      </x:c>
      <x:c r="K31" s="52" t="str">
        <x:v>availability</x:v>
      </x:c>
      <x:c r="L31" s="52" t="str">
        <x:v>general_availability</x:v>
      </x:c>
      <x:c r="M31" s="63" t="str">
        <x:v>Browsing leaves beta</x:v>
      </x:c>
      <x:c r="N31" s="63" t="str">
        <x:v>瀏覽功能脫離 Beta</x:v>
      </x:c>
      <x:c r="O31" s="63" t="str">
        <x:v>Browsing moved out of beta for Plus and Enterprise users and no longer required a beta-features toggle.</x:v>
      </x:c>
      <x:c r="P31" s="63" t="str">
        <x:v>瀏覽功能對 Plus 與 Enterprise 使用者脫離 Beta，不再需要啟用 Beta 功能開關。</x:v>
      </x:c>
      <x:c r="Q31" s="60" t="n">
        <x:v>4</x:v>
      </x:c>
      <x:c r="R31" s="60" t="str">
        <x:v>major</x:v>
      </x:c>
      <x:c r="S31" s="60" t="n">
        <x:v>1039</x:v>
      </x:c>
      <x:c r="T31" s="60" t="n">
        <x:v>1041</x:v>
      </x:c>
      <x:c r="U31" s="52" t="str">
        <x:v>ChatGPT — Release Notes</x:v>
      </x:c>
      <x:c r="V31" s="52" t="str">
        <x:v>https://help.openai.com/en/articles/6825453-chatgpt-release-notes</x:v>
      </x:c>
      <x:c r="W31" s="52" t="str">
        <x:v>help_center_release_notes</x:v>
      </x:c>
      <x:c r="X31" s="52" t="str">
        <x:v>parsed</x:v>
      </x:c>
      <x:c r="Y31" s="52" t="str">
        <x:v>high</x:v>
      </x:c>
      <x:c r="Z31" s="52" t="str">
        <x:v>search_commerce | availability | Browse with Bing | chatgpt | browsing | general-availability | bing</x:v>
      </x:c>
      <x:c r="AA31" s="52" t="n">
        <x:v>1</x:v>
      </x:c>
      <x:c r="AB31" s="53" t="b">
        <x:v>0</x:v>
      </x:c>
    </x:row>
    <x:row r="32" ht="42" customHeight="1">
      <x:c r="A32" s="57" t="n">
        <x:v>45218</x:v>
      </x:c>
      <x:c r="B32" s="52" t="str">
        <x:v>evt-20231019-dall-e-3-available-in-chatgpt-plus-and-enterprise</x:v>
      </x:c>
      <x:c r="C32" s="60" t="n">
        <x:v>2023</x:v>
      </x:c>
      <x:c r="D32" s="52" t="str">
        <x:v>Q4</x:v>
      </x:c>
      <x:c r="E32" s="52" t="str">
        <x:v>Platform Expansion</x:v>
      </x:c>
      <x:c r="F32" s="52" t="str">
        <x:v>multimodal</x:v>
      </x:c>
      <x:c r="G32" s="52" t="str">
        <x:v>Multimodal Coast</x:v>
      </x:c>
      <x:c r="H32" s="52" t="n">
        <x:v>4</x:v>
      </x:c>
      <x:c r="I32" s="52" t="str">
        <x:v>~</x:v>
      </x:c>
      <x:c r="J32" s="52" t="str">
        <x:v>DALL-E 3 in ChatGPT</x:v>
      </x:c>
      <x:c r="K32" s="52" t="str">
        <x:v>availability</x:v>
      </x:c>
      <x:c r="L32" s="52" t="str">
        <x:v>general_availability</x:v>
      </x:c>
      <x:c r="M32" s="63" t="str">
        <x:v>DALL-E 3 available in ChatGPT Plus and Enterprise</x:v>
      </x:c>
      <x:c r="N32" s="63" t="str">
        <x:v>DALL-E 3 開放 ChatGPT Plus 與 Enterprise</x:v>
      </x:c>
      <x:c r="O32" s="63" t="str">
        <x:v>DALL-E 3 became available to Plus and Enterprise users for conversational image creation and iterative revisions inside ChatGPT.</x:v>
      </x:c>
      <x:c r="P32" s="63" t="str">
        <x:v>DALL-E 3 向 Plus 與 Enterprise 使用者開放，可在 ChatGPT 內以對話生成圖像並反覆修改。</x:v>
      </x:c>
      <x:c r="Q32" s="60" t="n">
        <x:v>4</x:v>
      </x:c>
      <x:c r="R32" s="60" t="str">
        <x:v>major</x:v>
      </x:c>
      <x:c r="S32" s="60" t="n">
        <x:v>1044</x:v>
      </x:c>
      <x:c r="T32" s="60" t="n">
        <x:v>785</x:v>
      </x:c>
      <x:c r="U32" s="52" t="str">
        <x:v>DALL-E 3 is now available in ChatGPT Plus and Enterprise</x:v>
      </x:c>
      <x:c r="V32" s="52" t="str">
        <x:v>https://openai.com/index/dall-e-3-is-now-available-in-chatgpt-plus-and-enterprise/</x:v>
      </x:c>
      <x:c r="W32" s="52" t="str">
        <x:v>product_post</x:v>
      </x:c>
      <x:c r="X32" s="52" t="str">
        <x:v>complete</x:v>
      </x:c>
      <x:c r="Y32" s="52" t="str">
        <x:v>high</x:v>
      </x:c>
      <x:c r="Z32" s="52" t="str">
        <x:v>multimodal | availability | DALL-E 3 in ChatGPT | dall-e-3 | chatgpt | plus | enterprise</x:v>
      </x:c>
      <x:c r="AA32" s="52" t="n">
        <x:v>1</x:v>
      </x:c>
      <x:c r="AB32" s="53" t="b">
        <x:v>0</x:v>
      </x:c>
    </x:row>
    <x:row r="33" ht="42" customHeight="1">
      <x:c r="A33" s="57" t="n">
        <x:v>45236</x:v>
      </x:c>
      <x:c r="B33" s="52" t="str">
        <x:v>evt-20231106-introducing-gpts</x:v>
      </x:c>
      <x:c r="C33" s="60" t="n">
        <x:v>2023</x:v>
      </x:c>
      <x:c r="D33" s="52" t="str">
        <x:v>Q4</x:v>
      </x:c>
      <x:c r="E33" s="52" t="str">
        <x:v>Platform Expansion</x:v>
      </x:c>
      <x:c r="F33" s="52" t="str">
        <x:v>memory_knowledge</x:v>
      </x:c>
      <x:c r="G33" s="52" t="str">
        <x:v>Memory Forest</x:v>
      </x:c>
      <x:c r="H33" s="52" t="n">
        <x:v>5</x:v>
      </x:c>
      <x:c r="I33" s="52" t="str">
        <x:v>&amp;</x:v>
      </x:c>
      <x:c r="J33" s="52" t="str">
        <x:v>ChatGPT</x:v>
      </x:c>
      <x:c r="K33" s="52" t="str">
        <x:v>launch</x:v>
      </x:c>
      <x:c r="L33" s="52" t="str">
        <x:v>active</x:v>
      </x:c>
      <x:c r="M33" s="63" t="str">
        <x:v>Introducing GPTs</x:v>
      </x:c>
      <x:c r="N33" s="63" t="str">
        <x:v>推出GPTs</x:v>
      </x:c>
      <x:c r="O33" s="63" t="str">
        <x:v>You can now create custom versions of ChatGPT that combine instructions, extra knowledge, and any combination of skills. Learn more here. We’re rolling out custom versions of ChatGPT that you can create for a specific purpose—called GPTs. GPTs are a new way for anyone to create a tailored version of ChatGPT to be more helpful in their daily life, at specific tasks, at work, or at home—and then share that creation with others. For exa…</x:v>
      </x:c>
      <x:c r="P33" s="63" t="str">
        <x:v>OpenAI 於 2023-11-06 為 ChatGPT 推出新產品或能力；此節點依官方發布記錄整理，完整能力、適用方案與限制請見來源。</x:v>
      </x:c>
      <x:c r="Q33" s="60" t="n">
        <x:v>5</x:v>
      </x:c>
      <x:c r="R33" s="60" t="str">
        <x:v>landmark</x:v>
      </x:c>
      <x:c r="S33" s="60" t="n">
        <x:v>1090</x:v>
      </x:c>
      <x:c r="T33" s="60" t="n">
        <x:v>938</x:v>
      </x:c>
      <x:c r="U33" s="52" t="str">
        <x:v>ChatGPT — Release Notes</x:v>
      </x:c>
      <x:c r="V33" s="52" t="str">
        <x:v>https://help.openai.com/en/articles/6825453-chatgpt-release-notes</x:v>
      </x:c>
      <x:c r="W33" s="52" t="str">
        <x:v>help_center_release_notes</x:v>
      </x:c>
      <x:c r="X33" s="52" t="str">
        <x:v>parsed</x:v>
      </x:c>
      <x:c r="Y33" s="52" t="str">
        <x:v>high</x:v>
      </x:c>
      <x:c r="Z33" s="52" t="str">
        <x:v>memory_knowledge | launch | ChatGPT | gpts | chatgpt | custom-agents | creator</x:v>
      </x:c>
      <x:c r="AA33" s="52" t="n">
        <x:v>1</x:v>
      </x:c>
      <x:c r="AB33" s="53" t="b">
        <x:v>0</x:v>
      </x:c>
    </x:row>
    <x:row r="34" ht="42" customHeight="1">
      <x:c r="A34" s="57" t="n">
        <x:v>45236</x:v>
      </x:c>
      <x:c r="B34" s="52" t="str">
        <x:v>evt-20231106-gpt-4-turbo-preview</x:v>
      </x:c>
      <x:c r="C34" s="60" t="n">
        <x:v>2023</x:v>
      </x:c>
      <x:c r="D34" s="52" t="str">
        <x:v>Q4</x:v>
      </x:c>
      <x:c r="E34" s="52" t="str">
        <x:v>Platform Expansion</x:v>
      </x:c>
      <x:c r="F34" s="52" t="str">
        <x:v>models_reasoning</x:v>
      </x:c>
      <x:c r="G34" s="52" t="str">
        <x:v>Model Mountains</x:v>
      </x:c>
      <x:c r="H34" s="52" t="n">
        <x:v>1</x:v>
      </x:c>
      <x:c r="I34" s="52" t="str">
        <x:v>^</x:v>
      </x:c>
      <x:c r="J34" s="52" t="str">
        <x:v>GPT-4 Turbo</x:v>
      </x:c>
      <x:c r="K34" s="52" t="str">
        <x:v>model_release</x:v>
      </x:c>
      <x:c r="L34" s="52" t="str">
        <x:v>research_preview</x:v>
      </x:c>
      <x:c r="M34" s="63" t="str">
        <x:v>GPT-4 Turbo preview</x:v>
      </x:c>
      <x:c r="N34" s="63" t="str">
        <x:v>GPT-4 Turbo 預覽</x:v>
      </x:c>
      <x:c r="O34" s="63" t="str">
        <x:v>OpenAI launched a GPT-4 Turbo preview with knowledge through April 2023, a 128K context window, improved capability, and lower API prices.</x:v>
      </x:c>
      <x:c r="P34" s="63" t="str">
        <x:v>OpenAI 推出 GPT-4 Turbo 預覽，知識更新至 2023 年 4 月，具 128K 上下文、更強能力與更低 API 價格。</x:v>
      </x:c>
      <x:c r="Q34" s="60" t="n">
        <x:v>5</x:v>
      </x:c>
      <x:c r="R34" s="60" t="str">
        <x:v>landmark</x:v>
      </x:c>
      <x:c r="S34" s="60" t="n">
        <x:v>1090</x:v>
      </x:c>
      <x:c r="T34" s="60" t="n">
        <x:v>299</x:v>
      </x:c>
      <x:c r="U34" s="52" t="str">
        <x:v>New models and developer products announced at DevDay</x:v>
      </x:c>
      <x:c r="V34" s="52" t="str">
        <x:v>https://openai.com/index/new-models-and-developer-products-announced-at-devday/</x:v>
      </x:c>
      <x:c r="W34" s="52" t="str">
        <x:v>release_post</x:v>
      </x:c>
      <x:c r="X34" s="52" t="str">
        <x:v>complete</x:v>
      </x:c>
      <x:c r="Y34" s="52" t="str">
        <x:v>high</x:v>
      </x:c>
      <x:c r="Z34" s="52" t="str">
        <x:v>models_reasoning | model_release | GPT-4 Turbo | gpt-4-turbo | devday | 128k | model-release</x:v>
      </x:c>
      <x:c r="AA34" s="52" t="n">
        <x:v>1</x:v>
      </x:c>
      <x:c r="AB34" s="53" t="b">
        <x:v>0</x:v>
      </x:c>
    </x:row>
    <x:row r="35" ht="42" customHeight="1">
      <x:c r="A35" s="57" t="n">
        <x:v>45236</x:v>
      </x:c>
      <x:c r="B35" s="52" t="str">
        <x:v>evt-20231106-released-gpt-4-turbo-preview</x:v>
      </x:c>
      <x:c r="C35" s="60" t="n">
        <x:v>2023</x:v>
      </x:c>
      <x:c r="D35" s="52" t="str">
        <x:v>Q4</x:v>
      </x:c>
      <x:c r="E35" s="52" t="str">
        <x:v>Platform Expansion</x:v>
      </x:c>
      <x:c r="F35" s="52" t="str">
        <x:v>safety_lifecycle</x:v>
      </x:c>
      <x:c r="G35" s="52" t="str">
        <x:v>Safety Wall</x:v>
      </x:c>
      <x:c r="H35" s="52" t="n">
        <x:v>9</x:v>
      </x:c>
      <x:c r="I35" s="52" t="str">
        <x:v>!</x:v>
      </x:c>
      <x:c r="J35" s="52" t="str">
        <x:v>Lifecycle</x:v>
      </x:c>
      <x:c r="K35" s="52" t="str">
        <x:v>deprecation</x:v>
      </x:c>
      <x:c r="L35" s="52" t="str">
        <x:v>deprecated</x:v>
      </x:c>
      <x:c r="M35" s="63" t="str">
        <x:v>Released GPT-4 Turbo Preview</x:v>
      </x:c>
      <x:c r="N35" s="63" t="str">
        <x:v>GPT‑4 Turbo with Vision 在 API 正式 GA</x:v>
      </x:c>
      <x:c r="O35" s="63" t="str">
        <x:v>Released GPT-4 Turbo Preview , updated GPT-3.5 Turbo , GPT-4 Turbo with Vision , Assistants API , DALL·E 3 in the API , and text-to-speech API Deprecated the Chat Completions functions parameter in favor of tools Released OpenAI Python SDK V1.0</x:v>
      </x:c>
      <x:c r="P35" s="63" t="str">
        <x:v>GPT‑4 Turbo with Vision 在 API 正式 GA。OpenAI 將此列為 2023-11-06 的更新；重點涉及棄用與遷移、代理與工具調用、即時語音與音訊，模型、端點與參數名稱依官方英文保留。</x:v>
      </x:c>
      <x:c r="Q35" s="60" t="n">
        <x:v>4</x:v>
      </x:c>
      <x:c r="R35" s="60" t="str">
        <x:v>major</x:v>
      </x:c>
      <x:c r="S35" s="60" t="n">
        <x:v>1090</x:v>
      </x:c>
      <x:c r="T35" s="60" t="n">
        <x:v>1516</x:v>
      </x:c>
      <x:c r="U35" s="52" t="str">
        <x:v>OpenAI API Changelog</x:v>
      </x:c>
      <x:c r="V35" s="52" t="str">
        <x:v>https://developers.openai.com/api/docs/changelog</x:v>
      </x:c>
      <x:c r="W35" s="52" t="str">
        <x:v>official_changelog</x:v>
      </x:c>
      <x:c r="X35" s="52" t="str">
        <x:v>complete</x:v>
      </x:c>
      <x:c r="Y35" s="52" t="str">
        <x:v>high</x:v>
      </x:c>
      <x:c r="Z35" s="52" t="str">
        <x:v>safety_lifecycle | deprecation | Lifecycle | migration | update</x:v>
      </x:c>
      <x:c r="AA35" s="52" t="n">
        <x:v>1</x:v>
      </x:c>
      <x:c r="AB35" s="53" t="b">
        <x:v>0</x:v>
      </x:c>
    </x:row>
    <x:row r="36" ht="42" customHeight="1">
      <x:c r="A36" s="57" t="n">
        <x:v>45251</x:v>
      </x:c>
      <x:c r="B36" s="52" t="str">
        <x:v>evt-20231121-chatgpt-voice-available-to-all-free-users</x:v>
      </x:c>
      <x:c r="C36" s="60" t="n">
        <x:v>2023</x:v>
      </x:c>
      <x:c r="D36" s="52" t="str">
        <x:v>Q4</x:v>
      </x:c>
      <x:c r="E36" s="52" t="str">
        <x:v>Platform Expansion</x:v>
      </x:c>
      <x:c r="F36" s="52" t="str">
        <x:v>multimodal</x:v>
      </x:c>
      <x:c r="G36" s="52" t="str">
        <x:v>Multimodal Coast</x:v>
      </x:c>
      <x:c r="H36" s="52" t="n">
        <x:v>4</x:v>
      </x:c>
      <x:c r="I36" s="52" t="str">
        <x:v>~</x:v>
      </x:c>
      <x:c r="J36" s="52" t="str">
        <x:v>ChatGPT Voice</x:v>
      </x:c>
      <x:c r="K36" s="52" t="str">
        <x:v>availability</x:v>
      </x:c>
      <x:c r="L36" s="52" t="str">
        <x:v>general_availability</x:v>
      </x:c>
      <x:c r="M36" s="63" t="str">
        <x:v>ChatGPT Voice available to all free users</x:v>
      </x:c>
      <x:c r="N36" s="63" t="str">
        <x:v>ChatGPT Voice 開放所有免費使用者</x:v>
      </x:c>
      <x:c r="O36" s="63" t="str">
        <x:v>ChatGPT with voice is now available to all free users. Download the app on your phone and tap the headphones icon to start a conversation.</x:v>
      </x:c>
      <x:c r="P36" s="63" t="str">
        <x:v>OpenAI 於 2023-11-21 為 ChatGPT Voice 擴大開放範圍；此節點依官方發布記錄整理，完整能力、適用方案與限制請見來源。</x:v>
      </x:c>
      <x:c r="Q36" s="60" t="n">
        <x:v>4</x:v>
      </x:c>
      <x:c r="R36" s="60" t="str">
        <x:v>major</x:v>
      </x:c>
      <x:c r="S36" s="60" t="n">
        <x:v>1128</x:v>
      </x:c>
      <x:c r="T36" s="60" t="n">
        <x:v>784</x:v>
      </x:c>
      <x:c r="U36" s="52" t="str">
        <x:v>ChatGPT — Release Notes</x:v>
      </x:c>
      <x:c r="V36" s="52" t="str">
        <x:v>https://help.openai.com/en/articles/6825453-chatgpt-release-notes</x:v>
      </x:c>
      <x:c r="W36" s="52" t="str">
        <x:v>help_center_release_notes</x:v>
      </x:c>
      <x:c r="X36" s="52" t="str">
        <x:v>parsed</x:v>
      </x:c>
      <x:c r="Y36" s="52" t="str">
        <x:v>high</x:v>
      </x:c>
      <x:c r="Z36" s="52" t="str">
        <x:v>multimodal | availability | ChatGPT Voice | chatgpt | voice | free | mobile</x:v>
      </x:c>
      <x:c r="AA36" s="52" t="n">
        <x:v>1</x:v>
      </x:c>
      <x:c r="AB36" s="53" t="b">
        <x:v>0</x:v>
      </x:c>
    </x:row>
    <x:row r="37" ht="42" customHeight="1">
      <x:c r="A37" s="57" t="n">
        <x:v>45301</x:v>
      </x:c>
      <x:c r="B37" s="52" t="str">
        <x:v>evt-20240110-introducing-chatgpt-team</x:v>
      </x:c>
      <x:c r="C37" s="60" t="n">
        <x:v>2024</x:v>
      </x:c>
      <x:c r="D37" s="52" t="str">
        <x:v>Q1</x:v>
      </x:c>
      <x:c r="E37" s="52" t="str">
        <x:v>Platform Expansion</x:v>
      </x:c>
      <x:c r="F37" s="52" t="str">
        <x:v>enterprise_vertical</x:v>
      </x:c>
      <x:c r="G37" s="52" t="str">
        <x:v>Enterprise Citadel</x:v>
      </x:c>
      <x:c r="H37" s="52" t="n">
        <x:v>7</x:v>
      </x:c>
      <x:c r="I37" s="52" t="str">
        <x:v>H</x:v>
      </x:c>
      <x:c r="J37" s="52" t="str">
        <x:v>ChatGPT Team</x:v>
      </x:c>
      <x:c r="K37" s="52" t="str">
        <x:v>launch</x:v>
      </x:c>
      <x:c r="L37" s="52" t="str">
        <x:v>active</x:v>
      </x:c>
      <x:c r="M37" s="63" t="str">
        <x:v>Introducing ChatGPT Team</x:v>
      </x:c>
      <x:c r="N37" s="63" t="str">
        <x:v>推出 ChatGPT Team</x:v>
      </x:c>
      <x:c r="O37" s="63" t="str">
        <x:v>OpenAI launched the self-serve ChatGPT Team plan with a collaborative workspace, admin tools, higher model limits, and no training on business data by default.</x:v>
      </x:c>
      <x:c r="P37" s="63" t="str">
        <x:v>OpenAI 推出自助式 ChatGPT Team，提供協作工作區、管理工具、更高模型額度，且預設不以商業資料訓練。</x:v>
      </x:c>
      <x:c r="Q37" s="60" t="n">
        <x:v>5</x:v>
      </x:c>
      <x:c r="R37" s="60" t="str">
        <x:v>landmark</x:v>
      </x:c>
      <x:c r="S37" s="60" t="n">
        <x:v>1256</x:v>
      </x:c>
      <x:c r="T37" s="60" t="n">
        <x:v>1194</x:v>
      </x:c>
      <x:c r="U37" s="52" t="str">
        <x:v>Introducing ChatGPT Team</x:v>
      </x:c>
      <x:c r="V37" s="52" t="str">
        <x:v>https://openai.com/index/introducing-chatgpt-team/</x:v>
      </x:c>
      <x:c r="W37" s="52" t="str">
        <x:v>launch_post</x:v>
      </x:c>
      <x:c r="X37" s="52" t="str">
        <x:v>complete</x:v>
      </x:c>
      <x:c r="Y37" s="52" t="str">
        <x:v>high</x:v>
      </x:c>
      <x:c r="Z37" s="52" t="str">
        <x:v>enterprise_vertical | launch | ChatGPT Team | chatgpt | team | workspace | subscription | admin | business</x:v>
      </x:c>
      <x:c r="AA37" s="52" t="n">
        <x:v>1</x:v>
      </x:c>
      <x:c r="AB37" s="53" t="b">
        <x:v>0</x:v>
      </x:c>
    </x:row>
    <x:row r="38" ht="42" customHeight="1">
      <x:c r="A38" s="57" t="n">
        <x:v>45301</x:v>
      </x:c>
      <x:c r="B38" s="52" t="str">
        <x:v>evt-20240110-introducing-the-gpt-store</x:v>
      </x:c>
      <x:c r="C38" s="60" t="n">
        <x:v>2024</x:v>
      </x:c>
      <x:c r="D38" s="52" t="str">
        <x:v>Q1</x:v>
      </x:c>
      <x:c r="E38" s="52" t="str">
        <x:v>Platform Expansion</x:v>
      </x:c>
      <x:c r="F38" s="52" t="str">
        <x:v>developer_platform</x:v>
      </x:c>
      <x:c r="G38" s="52" t="str">
        <x:v>Toolsmith Harbor</x:v>
      </x:c>
      <x:c r="H38" s="52" t="n">
        <x:v>3</x:v>
      </x:c>
      <x:c r="I38" s="52" t="str">
        <x:v>#</x:v>
      </x:c>
      <x:c r="J38" s="52" t="str">
        <x:v>GPT Store</x:v>
      </x:c>
      <x:c r="K38" s="52" t="str">
        <x:v>platform</x:v>
      </x:c>
      <x:c r="L38" s="52" t="str">
        <x:v>active</x:v>
      </x:c>
      <x:c r="M38" s="63" t="str">
        <x:v>Introducing the GPT Store</x:v>
      </x:c>
      <x:c r="N38" s="63" t="str">
        <x:v>推出 GPT Store</x:v>
      </x:c>
      <x:c r="O38" s="63" t="str">
        <x:v>OpenAI began rolling out a store for discovering community-built GPTs to ChatGPT Plus, Team, and Enterprise users.</x:v>
      </x:c>
      <x:c r="P38" s="63" t="str">
        <x:v>OpenAI 開始向 ChatGPT Plus、Team 與 Enterprise 使用者推出可探索社群 GPT 的商店。</x:v>
      </x:c>
      <x:c r="Q38" s="60" t="n">
        <x:v>4</x:v>
      </x:c>
      <x:c r="R38" s="60" t="str">
        <x:v>major</x:v>
      </x:c>
      <x:c r="S38" s="60" t="n">
        <x:v>1256</x:v>
      </x:c>
      <x:c r="T38" s="60" t="n">
        <x:v>620</x:v>
      </x:c>
      <x:c r="U38" s="52" t="str">
        <x:v>Introducing the GPT Store</x:v>
      </x:c>
      <x:c r="V38" s="52" t="str">
        <x:v>https://openai.com/index/introducing-the-gpt-store/</x:v>
      </x:c>
      <x:c r="W38" s="52" t="str">
        <x:v>launch_post</x:v>
      </x:c>
      <x:c r="X38" s="52" t="str">
        <x:v>complete</x:v>
      </x:c>
      <x:c r="Y38" s="52" t="str">
        <x:v>high</x:v>
      </x:c>
      <x:c r="Z38" s="52" t="str">
        <x:v>developer_platform | platform | GPT Store | gpt-store | gpts | marketplace | chatgpt</x:v>
      </x:c>
      <x:c r="AA38" s="52" t="n">
        <x:v>1</x:v>
      </x:c>
      <x:c r="AB38" s="53" t="b">
        <x:v>0</x:v>
      </x:c>
    </x:row>
    <x:row r="39" ht="42" customHeight="1">
      <x:c r="A39" s="57" t="n">
        <x:v>45301</x:v>
      </x:c>
      <x:c r="B39" s="52" t="str">
        <x:v>evt-20240110-introducing-the-gpt-store-and-chatgpt-team-plan</x:v>
      </x:c>
      <x:c r="C39" s="60" t="n">
        <x:v>2024</x:v>
      </x:c>
      <x:c r="D39" s="52" t="str">
        <x:v>Q1</x:v>
      </x:c>
      <x:c r="E39" s="52" t="str">
        <x:v>Platform Expansion</x:v>
      </x:c>
      <x:c r="F39" s="52" t="str">
        <x:v>enterprise_vertical</x:v>
      </x:c>
      <x:c r="G39" s="52" t="str">
        <x:v>Enterprise Citadel</x:v>
      </x:c>
      <x:c r="H39" s="52" t="n">
        <x:v>7</x:v>
      </x:c>
      <x:c r="I39" s="52" t="str">
        <x:v>H</x:v>
      </x:c>
      <x:c r="J39" s="52" t="str">
        <x:v>ChatGPT Images</x:v>
      </x:c>
      <x:c r="K39" s="52" t="str">
        <x:v>pricing_quota</x:v>
      </x:c>
      <x:c r="L39" s="52" t="str">
        <x:v>active</x:v>
      </x:c>
      <x:c r="M39" s="63" t="str">
        <x:v>Introducing the GPT Store and ChatGPT Team plan</x:v>
      </x:c>
      <x:c r="N39" s="63" t="str">
        <x:v>方案更新：ChatGPT Images</x:v>
      </x:c>
      <x:c r="O39" s="63" t="str">
        <x:v>Discover what’s trending in the GPT Store The store features a diverse range of GPTs developed by our partners and the community. Browse popular and trending GPTs on the community leaderboard, with categories like DALL·E, writing, research, programming, education, and lifestyle.</x:v>
      </x:c>
      <x:c r="P39" s="63" t="str">
        <x:v>OpenAI 於 2024-01-10 為 ChatGPT Images 調整方案、額度或計費；此節點依官方發布記錄整理，完整能力、適用方案與限制請見來源。</x:v>
      </x:c>
      <x:c r="Q39" s="60" t="n">
        <x:v>3</x:v>
      </x:c>
      <x:c r="R39" s="60" t="str">
        <x:v>update</x:v>
      </x:c>
      <x:c r="S39" s="60" t="n">
        <x:v>1256</x:v>
      </x:c>
      <x:c r="T39" s="60" t="n">
        <x:v>1218</x:v>
      </x:c>
      <x:c r="U39" s="52" t="str">
        <x:v>ChatGPT — Release Notes</x:v>
      </x:c>
      <x:c r="V39" s="52" t="str">
        <x:v>https://help.openai.com/en/articles/6825453-chatgpt-release-notes</x:v>
      </x:c>
      <x:c r="W39" s="52" t="str">
        <x:v>help_center_release_notes</x:v>
      </x:c>
      <x:c r="X39" s="52" t="str">
        <x:v>parsed</x:v>
      </x:c>
      <x:c r="Y39" s="52" t="str">
        <x:v>high</x:v>
      </x:c>
      <x:c r="Z39" s="52" t="str">
        <x:v>enterprise_vertical | pricing_quota | ChatGPT Images</x:v>
      </x:c>
      <x:c r="AA39" s="52" t="n">
        <x:v>1</x:v>
      </x:c>
      <x:c r="AB39" s="53" t="b">
        <x:v>0</x:v>
      </x:c>
    </x:row>
    <x:row r="40" ht="42" customHeight="1">
      <x:c r="A40" s="57" t="n">
        <x:v>45316</x:v>
      </x:c>
      <x:c r="B40" s="52" t="str">
        <x:v>evt-20240125-released-embedding-v3-models-and-an-updated-gpt-4-turbo-pr</x:v>
      </x:c>
      <x:c r="C40" s="60" t="n">
        <x:v>2024</x:v>
      </x:c>
      <x:c r="D40" s="52" t="str">
        <x:v>Q1</x:v>
      </x:c>
      <x:c r="E40" s="52" t="str">
        <x:v>Platform Expansion</x:v>
      </x:c>
      <x:c r="F40" s="52" t="str">
        <x:v>models_reasoning</x:v>
      </x:c>
      <x:c r="G40" s="52" t="str">
        <x:v>Model Mountains</x:v>
      </x:c>
      <x:c r="H40" s="52" t="n">
        <x:v>1</x:v>
      </x:c>
      <x:c r="I40" s="52" t="str">
        <x:v>^</x:v>
      </x:c>
      <x:c r="J40" s="52" t="str">
        <x:v>Model Platform</x:v>
      </x:c>
      <x:c r="K40" s="52" t="str">
        <x:v>model_release</x:v>
      </x:c>
      <x:c r="L40" s="52" t="str">
        <x:v>research_preview</x:v>
      </x:c>
      <x:c r="M40" s="63" t="str">
        <x:v>Released embedding V3 models and an updated GPT-4 Turbo preview</x:v>
      </x:c>
      <x:c r="N40" s="63" t="str">
        <x:v>推出第三代 Embeddings 模型與更新版 GPT‑4 Turbo 預覽</x:v>
      </x:c>
      <x:c r="O40" s="63" t="str">
        <x:v>Released embedding V3 models and an updated GPT-4 Turbo preview Added dimensions parameter to the Embeddings API</x:v>
      </x:c>
      <x:c r="P40" s="63" t="str">
        <x:v>推出第三代 Embeddings 模型與更新版 GPT‑4 Turbo 預覽。OpenAI 將此列為 2024-01-25 的更新；重點涉及向量嵌入與檢索，模型、端點與參數名稱依官方英文保留。</x:v>
      </x:c>
      <x:c r="Q40" s="60" t="n">
        <x:v>4</x:v>
      </x:c>
      <x:c r="R40" s="60" t="str">
        <x:v>major</x:v>
      </x:c>
      <x:c r="S40" s="60" t="n">
        <x:v>1294</x:v>
      </x:c>
      <x:c r="T40" s="60" t="n">
        <x:v>283</x:v>
      </x:c>
      <x:c r="U40" s="52" t="str">
        <x:v>OpenAI API Changelog</x:v>
      </x:c>
      <x:c r="V40" s="52" t="str">
        <x:v>https://developers.openai.com/api/docs/changelog</x:v>
      </x:c>
      <x:c r="W40" s="52" t="str">
        <x:v>official_changelog</x:v>
      </x:c>
      <x:c r="X40" s="52" t="str">
        <x:v>corroborated</x:v>
      </x:c>
      <x:c r="Y40" s="52" t="str">
        <x:v>high</x:v>
      </x:c>
      <x:c r="Z40" s="52" t="str">
        <x:v>models_reasoning | model_release | Model Platform | api | models | update</x:v>
      </x:c>
      <x:c r="AA40" s="52" t="n">
        <x:v>2</x:v>
      </x:c>
      <x:c r="AB40" s="53" t="b">
        <x:v>1</x:v>
      </x:c>
    </x:row>
    <x:row r="41" ht="42" customHeight="1">
      <x:c r="A41" s="57" t="n">
        <x:v>45323</x:v>
      </x:c>
      <x:c r="B41" s="52" t="str">
        <x:v>evt-20240201-released-gpt-3-5-turbo-0125</x:v>
      </x:c>
      <x:c r="C41" s="60" t="n">
        <x:v>2024</x:v>
      </x:c>
      <x:c r="D41" s="52" t="str">
        <x:v>Q1</x:v>
      </x:c>
      <x:c r="E41" s="52" t="str">
        <x:v>Platform Expansion</x:v>
      </x:c>
      <x:c r="F41" s="52" t="str">
        <x:v>models_reasoning</x:v>
      </x:c>
      <x:c r="G41" s="52" t="str">
        <x:v>Model Mountains</x:v>
      </x:c>
      <x:c r="H41" s="52" t="n">
        <x:v>1</x:v>
      </x:c>
      <x:c r="I41" s="52" t="str">
        <x:v>^</x:v>
      </x:c>
      <x:c r="J41" s="52" t="str">
        <x:v>Model Platform</x:v>
      </x:c>
      <x:c r="K41" s="52" t="str">
        <x:v>model_release</x:v>
      </x:c>
      <x:c r="L41" s="52" t="str">
        <x:v>active</x:v>
      </x:c>
      <x:c r="M41" s="63" t="str">
        <x:v>Released gpt-3.5-turbo-0125</x:v>
      </x:c>
      <x:c r="N41" s="63" t="str">
        <x:v>推出：gpt-3.5-turbo-0125, an updated GPT-3.5 Turbo 模型</x:v>
      </x:c>
      <x:c r="O41" s="63" t="str">
        <x:v>Released gpt-3.5-turbo-0125, an updated GPT-3.5 Turbo model</x:v>
      </x:c>
      <x:c r="P41" s="63" t="str">
        <x:v>推出：gpt-3.5-turbo-0125, an updated GPT-3.5 Turbo 模型。OpenAI 將此列為 2024-02-01 的更新；重點涉及平台功能與可用性，模型、端點與參數名稱依官方英文保留。</x:v>
      </x:c>
      <x:c r="Q41" s="60" t="n">
        <x:v>4</x:v>
      </x:c>
      <x:c r="R41" s="60" t="str">
        <x:v>major</x:v>
      </x:c>
      <x:c r="S41" s="60" t="n">
        <x:v>1312</x:v>
      </x:c>
      <x:c r="T41" s="60" t="n">
        <x:v>294</x:v>
      </x:c>
      <x:c r="U41" s="52" t="str">
        <x:v>OpenAI API Changelog</x:v>
      </x:c>
      <x:c r="V41" s="52" t="str">
        <x:v>https://developers.openai.com/api/docs/changelog</x:v>
      </x:c>
      <x:c r="W41" s="52" t="str">
        <x:v>official_changelog</x:v>
      </x:c>
      <x:c r="X41" s="52" t="str">
        <x:v>complete</x:v>
      </x:c>
      <x:c r="Y41" s="52" t="str">
        <x:v>high</x:v>
      </x:c>
      <x:c r="Z41" s="52" t="str">
        <x:v>models_reasoning | model_release | Model Platform | api | models | update</x:v>
      </x:c>
      <x:c r="AA41" s="52" t="n">
        <x:v>1</x:v>
      </x:c>
      <x:c r="AB41" s="53" t="b">
        <x:v>0</x:v>
      </x:c>
    </x:row>
    <x:row r="42" ht="42" customHeight="1">
      <x:c r="A42" s="57" t="n">
        <x:v>45335</x:v>
      </x:c>
      <x:c r="B42" s="52" t="str">
        <x:v>evt-20240213-temporary-chat-for-conversations-without-memory</x:v>
      </x:c>
      <x:c r="C42" s="60" t="n">
        <x:v>2024</x:v>
      </x:c>
      <x:c r="D42" s="52" t="str">
        <x:v>Q1</x:v>
      </x:c>
      <x:c r="E42" s="52" t="str">
        <x:v>Platform Expansion</x:v>
      </x:c>
      <x:c r="F42" s="52" t="str">
        <x:v>safety_lifecycle</x:v>
      </x:c>
      <x:c r="G42" s="52" t="str">
        <x:v>Safety Wall</x:v>
      </x:c>
      <x:c r="H42" s="52" t="n">
        <x:v>9</x:v>
      </x:c>
      <x:c r="I42" s="52" t="str">
        <x:v>!</x:v>
      </x:c>
      <x:c r="J42" s="52" t="str">
        <x:v>Temporary Chat</x:v>
      </x:c>
      <x:c r="K42" s="52" t="str">
        <x:v>safety</x:v>
      </x:c>
      <x:c r="L42" s="52" t="str">
        <x:v>active</x:v>
      </x:c>
      <x:c r="M42" s="63" t="str">
        <x:v>Temporary Chat for conversations without memory</x:v>
      </x:c>
      <x:c r="N42" s="63" t="str">
        <x:v>不使用記憶的 Temporary Chat</x:v>
      </x:c>
      <x:c r="O42" s="63" t="str">
        <x:v>OpenAI introduced Temporary Chat for conversations that do not appear in history, do not use memory, and are not used to train models.</x:v>
      </x:c>
      <x:c r="P42" s="63" t="str">
        <x:v>OpenAI 推出 Temporary Chat；這類對話不出現在紀錄、不使用記憶，也不會用於模型訓練。</x:v>
      </x:c>
      <x:c r="Q42" s="60" t="n">
        <x:v>4</x:v>
      </x:c>
      <x:c r="R42" s="60" t="str">
        <x:v>major</x:v>
      </x:c>
      <x:c r="S42" s="60" t="n">
        <x:v>1343</x:v>
      </x:c>
      <x:c r="T42" s="60" t="n">
        <x:v>1533</x:v>
      </x:c>
      <x:c r="U42" s="52" t="str">
        <x:v>Memory and new controls for ChatGPT</x:v>
      </x:c>
      <x:c r="V42" s="52" t="str">
        <x:v>https://openai.com/index/memory-and-new-controls-for-chatgpt/</x:v>
      </x:c>
      <x:c r="W42" s="52" t="str">
        <x:v>product_post</x:v>
      </x:c>
      <x:c r="X42" s="52" t="str">
        <x:v>complete</x:v>
      </x:c>
      <x:c r="Y42" s="52" t="str">
        <x:v>high</x:v>
      </x:c>
      <x:c r="Z42" s="52" t="str">
        <x:v>safety_lifecycle | safety | Temporary Chat | chatgpt | temporary-chat | privacy | memory</x:v>
      </x:c>
      <x:c r="AA42" s="52" t="n">
        <x:v>1</x:v>
      </x:c>
      <x:c r="AB42" s="53" t="b">
        <x:v>0</x:v>
      </x:c>
    </x:row>
    <x:row r="43" ht="42" customHeight="1">
      <x:c r="A43" s="57" t="n">
        <x:v>45335</x:v>
      </x:c>
      <x:c r="B43" s="52" t="str">
        <x:v>evt-20240213-memory-beta-for-chatgpt</x:v>
      </x:c>
      <x:c r="C43" s="60" t="n">
        <x:v>2024</x:v>
      </x:c>
      <x:c r="D43" s="52" t="str">
        <x:v>Q1</x:v>
      </x:c>
      <x:c r="E43" s="52" t="str">
        <x:v>Platform Expansion</x:v>
      </x:c>
      <x:c r="F43" s="52" t="str">
        <x:v>memory_knowledge</x:v>
      </x:c>
      <x:c r="G43" s="52" t="str">
        <x:v>Memory Forest</x:v>
      </x:c>
      <x:c r="H43" s="52" t="n">
        <x:v>5</x:v>
      </x:c>
      <x:c r="I43" s="52" t="str">
        <x:v>&amp;</x:v>
      </x:c>
      <x:c r="J43" s="52" t="str">
        <x:v>ChatGPT Memory</x:v>
      </x:c>
      <x:c r="K43" s="52" t="str">
        <x:v>feature</x:v>
      </x:c>
      <x:c r="L43" s="52" t="str">
        <x:v>beta</x:v>
      </x:c>
      <x:c r="M43" s="63" t="str">
        <x:v>Memory beta for ChatGPT</x:v>
      </x:c>
      <x:c r="N43" s="63" t="str">
        <x:v>ChatGPT 記憶 Beta</x:v>
      </x:c>
      <x:c r="O43" s="63" t="str">
        <x:v>OpenAI began testing cross-chat memory with a small portion of Free and Plus users, including conversational controls to remember, inspect, forget, or disable memories.</x:v>
      </x:c>
      <x:c r="P43" s="63" t="str">
        <x:v>OpenAI 開始對少量 Free 與 Plus 使用者測試跨聊天記憶，並提供以對話要求記住、檢視、忘記或停用記憶的控制。</x:v>
      </x:c>
      <x:c r="Q43" s="60" t="n">
        <x:v>3</x:v>
      </x:c>
      <x:c r="R43" s="60" t="str">
        <x:v>update</x:v>
      </x:c>
      <x:c r="S43" s="60" t="n">
        <x:v>1343</x:v>
      </x:c>
      <x:c r="T43" s="60" t="n">
        <x:v>925</x:v>
      </x:c>
      <x:c r="U43" s="52" t="str">
        <x:v>Memory and new controls for ChatGPT</x:v>
      </x:c>
      <x:c r="V43" s="52" t="str">
        <x:v>https://openai.com/index/memory-and-new-controls-for-chatgpt/</x:v>
      </x:c>
      <x:c r="W43" s="52" t="str">
        <x:v>product_post</x:v>
      </x:c>
      <x:c r="X43" s="52" t="str">
        <x:v>complete</x:v>
      </x:c>
      <x:c r="Y43" s="52" t="str">
        <x:v>high</x:v>
      </x:c>
      <x:c r="Z43" s="52" t="str">
        <x:v>memory_knowledge | feature | ChatGPT Memory | chatgpt | memory | personalization | beta</x:v>
      </x:c>
      <x:c r="AA43" s="52" t="n">
        <x:v>1</x:v>
      </x:c>
      <x:c r="AB43" s="53" t="b">
        <x:v>0</x:v>
      </x:c>
    </x:row>
    <x:row r="44" ht="42" customHeight="1">
      <x:c r="A44" s="57" t="n">
        <x:v>45337</x:v>
      </x:c>
      <x:c r="B44" s="52" t="str">
        <x:v>evt-20240215-sora-research-preview</x:v>
      </x:c>
      <x:c r="C44" s="60" t="n">
        <x:v>2024</x:v>
      </x:c>
      <x:c r="D44" s="52" t="str">
        <x:v>Q1</x:v>
      </x:c>
      <x:c r="E44" s="52" t="str">
        <x:v>Platform Expansion</x:v>
      </x:c>
      <x:c r="F44" s="52" t="str">
        <x:v>multimodal</x:v>
      </x:c>
      <x:c r="G44" s="52" t="str">
        <x:v>Multimodal Coast</x:v>
      </x:c>
      <x:c r="H44" s="52" t="n">
        <x:v>4</x:v>
      </x:c>
      <x:c r="I44" s="52" t="str">
        <x:v>~</x:v>
      </x:c>
      <x:c r="J44" s="52" t="str">
        <x:v>Sora</x:v>
      </x:c>
      <x:c r="K44" s="52" t="str">
        <x:v>model_release</x:v>
      </x:c>
      <x:c r="L44" s="52" t="str">
        <x:v>research_preview</x:v>
      </x:c>
      <x:c r="M44" s="63" t="str">
        <x:v>Sora research preview</x:v>
      </x:c>
      <x:c r="N44" s="63" t="str">
        <x:v>Sora 研究預覽</x:v>
      </x:c>
      <x:c r="O44" s="63" t="str">
        <x:v>OpenAI unveiled Sora, a text-conditioned video-generation model capable of producing up to one minute of high-fidelity video, as research progress rather than a public product.</x:v>
      </x:c>
      <x:c r="P44" s="63" t="str">
        <x:v>OpenAI 公布文字條件式影片生成模型 Sora，可生成最長一分鐘的高擬真影片；當時屬研究進展而非公開產品。</x:v>
      </x:c>
      <x:c r="Q44" s="60" t="n">
        <x:v>5</x:v>
      </x:c>
      <x:c r="R44" s="60" t="str">
        <x:v>landmark</x:v>
      </x:c>
      <x:c r="S44" s="60" t="n">
        <x:v>1348</x:v>
      </x:c>
      <x:c r="T44" s="60" t="n">
        <x:v>758</x:v>
      </x:c>
      <x:c r="U44" s="52" t="str">
        <x:v>Video generation models as world simulators</x:v>
      </x:c>
      <x:c r="V44" s="52" t="str">
        <x:v>https://openai.com/index/video-generation-models-as-world-simulators/</x:v>
      </x:c>
      <x:c r="W44" s="52" t="str">
        <x:v>research_report</x:v>
      </x:c>
      <x:c r="X44" s="52" t="str">
        <x:v>complete</x:v>
      </x:c>
      <x:c r="Y44" s="52" t="str">
        <x:v>high</x:v>
      </x:c>
      <x:c r="Z44" s="52" t="str">
        <x:v>multimodal | model_release | Sora | sora | video-generation | world-simulator | research-preview</x:v>
      </x:c>
      <x:c r="AA44" s="52" t="n">
        <x:v>1</x:v>
      </x:c>
      <x:c r="AB44" s="53" t="b">
        <x:v>0</x:v>
      </x:c>
    </x:row>
    <x:row r="45" ht="42" customHeight="1">
      <x:c r="A45" s="57" t="n">
        <x:v>45391</x:v>
      </x:c>
      <x:c r="B45" s="52" t="str">
        <x:v>evt-20240409-released-gpt-4-turbo-with-vision-in-general-availability-i</x:v>
      </x:c>
      <x:c r="C45" s="60" t="n">
        <x:v>2024</x:v>
      </x:c>
      <x:c r="D45" s="52" t="str">
        <x:v>Q2</x:v>
      </x:c>
      <x:c r="E45" s="52" t="str">
        <x:v>Platform Expansion</x:v>
      </x:c>
      <x:c r="F45" s="52" t="str">
        <x:v>models_reasoning</x:v>
      </x:c>
      <x:c r="G45" s="52" t="str">
        <x:v>Model Mountains</x:v>
      </x:c>
      <x:c r="H45" s="52" t="n">
        <x:v>1</x:v>
      </x:c>
      <x:c r="I45" s="52" t="str">
        <x:v>^</x:v>
      </x:c>
      <x:c r="J45" s="52" t="str">
        <x:v>Model Platform</x:v>
      </x:c>
      <x:c r="K45" s="52" t="str">
        <x:v>availability</x:v>
      </x:c>
      <x:c r="L45" s="52" t="str">
        <x:v>general_availability</x:v>
      </x:c>
      <x:c r="M45" s="63" t="str">
        <x:v>Released GPT-4 Turbo with Vision in general availability in the API</x:v>
      </x:c>
      <x:c r="N45" s="63" t="str">
        <x:v>GPT‑4 Turbo with Vision 在 API 正式 GA</x:v>
      </x:c>
      <x:c r="O45" s="63" t="str">
        <x:v>Released GPT-4 Turbo with Vision in general availability in the API</x:v>
      </x:c>
      <x:c r="P45" s="63" t="str">
        <x:v>GPT‑4 Turbo with Vision 在 API 正式 GA。OpenAI 將此列為 2024-04-09 的更新；重點涉及平台功能與可用性，模型、端點與參數名稱依官方英文保留。</x:v>
      </x:c>
      <x:c r="Q45" s="60" t="n">
        <x:v>4</x:v>
      </x:c>
      <x:c r="R45" s="60" t="str">
        <x:v>major</x:v>
      </x:c>
      <x:c r="S45" s="60" t="n">
        <x:v>1485</x:v>
      </x:c>
      <x:c r="T45" s="60" t="n">
        <x:v>335</x:v>
      </x:c>
      <x:c r="U45" s="52" t="str">
        <x:v>OpenAI API Changelog</x:v>
      </x:c>
      <x:c r="V45" s="52" t="str">
        <x:v>https://developers.openai.com/api/docs/changelog</x:v>
      </x:c>
      <x:c r="W45" s="52" t="str">
        <x:v>official_changelog</x:v>
      </x:c>
      <x:c r="X45" s="52" t="str">
        <x:v>complete</x:v>
      </x:c>
      <x:c r="Y45" s="52" t="str">
        <x:v>high</x:v>
      </x:c>
      <x:c r="Z45" s="52" t="str">
        <x:v>models_reasoning | availability | Model Platform | api | models | update</x:v>
      </x:c>
      <x:c r="AA45" s="52" t="n">
        <x:v>1</x:v>
      </x:c>
      <x:c r="AB45" s="53" t="b">
        <x:v>0</x:v>
      </x:c>
    </x:row>
    <x:row r="46" ht="42" customHeight="1">
      <x:c r="A46" s="57" t="n">
        <x:v>45397</x:v>
      </x:c>
      <x:c r="B46" s="52" t="str">
        <x:v>evt-20240415-released-batch-api</x:v>
      </x:c>
      <x:c r="C46" s="60" t="n">
        <x:v>2024</x:v>
      </x:c>
      <x:c r="D46" s="52" t="str">
        <x:v>Q2</x:v>
      </x:c>
      <x:c r="E46" s="52" t="str">
        <x:v>Platform Expansion</x:v>
      </x:c>
      <x:c r="F46" s="52" t="str">
        <x:v>developer_platform</x:v>
      </x:c>
      <x:c r="G46" s="52" t="str">
        <x:v>Toolsmith Harbor</x:v>
      </x:c>
      <x:c r="H46" s="52" t="n">
        <x:v>3</x:v>
      </x:c>
      <x:c r="I46" s="52" t="str">
        <x:v>#</x:v>
      </x:c>
      <x:c r="J46" s="52" t="str">
        <x:v>Batch API</x:v>
      </x:c>
      <x:c r="K46" s="52" t="str">
        <x:v>launch</x:v>
      </x:c>
      <x:c r="L46" s="52" t="str">
        <x:v>active</x:v>
      </x:c>
      <x:c r="M46" s="63" t="str">
        <x:v>Released Batch API</x:v>
      </x:c>
      <x:c r="N46" s="63" t="str">
        <x:v>推出 Batch API</x:v>
      </x:c>
      <x:c r="O46" s="63" t="str">
        <x:v>Released Batch API</x:v>
      </x:c>
      <x:c r="P46" s="63" t="str">
        <x:v>推出 Batch API。OpenAI 將此列為 2024-04-15 的更新；重點涉及平台功能與可用性，模型、端點與參數名稱依官方英文保留。</x:v>
      </x:c>
      <x:c r="Q46" s="60" t="n">
        <x:v>4</x:v>
      </x:c>
      <x:c r="R46" s="60" t="str">
        <x:v>major</x:v>
      </x:c>
      <x:c r="S46" s="60" t="n">
        <x:v>1501</x:v>
      </x:c>
      <x:c r="T46" s="60" t="n">
        <x:v>632</x:v>
      </x:c>
      <x:c r="U46" s="52" t="str">
        <x:v>OpenAI API Changelog</x:v>
      </x:c>
      <x:c r="V46" s="52" t="str">
        <x:v>https://developers.openai.com/api/docs/changelog</x:v>
      </x:c>
      <x:c r="W46" s="52" t="str">
        <x:v>official_changelog</x:v>
      </x:c>
      <x:c r="X46" s="52" t="str">
        <x:v>complete</x:v>
      </x:c>
      <x:c r="Y46" s="52" t="str">
        <x:v>high</x:v>
      </x:c>
      <x:c r="Z46" s="52" t="str">
        <x:v>developer_platform | launch | Batch API | batch | cost-optimization | update</x:v>
      </x:c>
      <x:c r="AA46" s="52" t="n">
        <x:v>1</x:v>
      </x:c>
      <x:c r="AB46" s="53" t="b">
        <x:v>0</x:v>
      </x:c>
    </x:row>
    <x:row r="47" ht="42" customHeight="1">
      <x:c r="A47" s="57" t="n">
        <x:v>45398</x:v>
      </x:c>
      <x:c r="B47" s="52" t="str">
        <x:v>evt-20240416-introduced-project-based-hierarchy-for-organizing-work-by-</x:v>
      </x:c>
      <x:c r="C47" s="60" t="n">
        <x:v>2024</x:v>
      </x:c>
      <x:c r="D47" s="52" t="str">
        <x:v>Q2</x:v>
      </x:c>
      <x:c r="E47" s="52" t="str">
        <x:v>Platform Expansion</x:v>
      </x:c>
      <x:c r="F47" s="52" t="str">
        <x:v>developer_platform</x:v>
      </x:c>
      <x:c r="G47" s="52" t="str">
        <x:v>Toolsmith Harbor</x:v>
      </x:c>
      <x:c r="H47" s="52" t="n">
        <x:v>3</x:v>
      </x:c>
      <x:c r="I47" s="52" t="str">
        <x:v>#</x:v>
      </x:c>
      <x:c r="J47" s="52" t="str">
        <x:v>OpenAI API Platform</x:v>
      </x:c>
      <x:c r="K47" s="52" t="str">
        <x:v>launch</x:v>
      </x:c>
      <x:c r="L47" s="52" t="str">
        <x:v>active</x:v>
      </x:c>
      <x:c r="M47" s="63" t="str">
        <x:v>Introduced project based hierarchy for organizing work by projects</x:v>
      </x:c>
      <x:c r="N47" s="63" t="str">
        <x:v>推出：OpenAI API Platform</x:v>
      </x:c>
      <x:c r="O47" s="63" t="str">
        <x:v>Introduced project based hierarchy for organizing work by projects, including the ability to create API keys and manage rate and cost limits on a per-project basis (cost limits available only for Enterprise customers).</x:v>
      </x:c>
      <x:c r="P47" s="63" t="str">
        <x:v>API 更新：Introduced project based hierarchy for organizing work by projects, including ability to create API keys and manage rate and cost limits on a per-project basis (cost…。OpenAI 將此列為 2024-04-16 的更新；重點涉及定價與用量，模型、端點與參數名稱依官方英文保留。</x:v>
      </x:c>
      <x:c r="Q47" s="60" t="n">
        <x:v>4</x:v>
      </x:c>
      <x:c r="R47" s="60" t="str">
        <x:v>major</x:v>
      </x:c>
      <x:c r="S47" s="60" t="n">
        <x:v>1503</x:v>
      </x:c>
      <x:c r="T47" s="60" t="n">
        <x:v>639</x:v>
      </x:c>
      <x:c r="U47" s="52" t="str">
        <x:v>OpenAI API Changelog</x:v>
      </x:c>
      <x:c r="V47" s="52" t="str">
        <x:v>https://developers.openai.com/api/docs/changelog</x:v>
      </x:c>
      <x:c r="W47" s="52" t="str">
        <x:v>official_changelog</x:v>
      </x:c>
      <x:c r="X47" s="52" t="str">
        <x:v>complete</x:v>
      </x:c>
      <x:c r="Y47" s="52" t="str">
        <x:v>high</x:v>
      </x:c>
      <x:c r="Z47" s="52" t="str">
        <x:v>developer_platform | launch | OpenAI API Platform | api-platform | update</x:v>
      </x:c>
      <x:c r="AA47" s="52" t="n">
        <x:v>1</x:v>
      </x:c>
      <x:c r="AB47" s="53" t="b">
        <x:v>0</x:v>
      </x:c>
    </x:row>
    <x:row r="48" ht="42" customHeight="1">
      <x:c r="A48" s="57" t="n">
        <x:v>45399</x:v>
      </x:c>
      <x:c r="B48" s="52" t="str">
        <x:v>evt-20240417-introduced-a-series-of-updates-to-the-assistants-api</x:v>
      </x:c>
      <x:c r="C48" s="60" t="n">
        <x:v>2024</x:v>
      </x:c>
      <x:c r="D48" s="52" t="str">
        <x:v>Q2</x:v>
      </x:c>
      <x:c r="E48" s="52" t="str">
        <x:v>Platform Expansion</x:v>
      </x:c>
      <x:c r="F48" s="52" t="str">
        <x:v>developer_platform</x:v>
      </x:c>
      <x:c r="G48" s="52" t="str">
        <x:v>Toolsmith Harbor</x:v>
      </x:c>
      <x:c r="H48" s="52" t="n">
        <x:v>3</x:v>
      </x:c>
      <x:c r="I48" s="52" t="str">
        <x:v>#</x:v>
      </x:c>
      <x:c r="J48" s="52" t="str">
        <x:v>OpenAI API Platform</x:v>
      </x:c>
      <x:c r="K48" s="52" t="str">
        <x:v>launch</x:v>
      </x:c>
      <x:c r="L48" s="52" t="str">
        <x:v>active</x:v>
      </x:c>
      <x:c r="M48" s="63" t="str">
        <x:v>Introduced a series of updates to the Assistants API</x:v>
      </x:c>
      <x:c r="N48" s="63" t="str">
        <x:v>推出：OpenAI API Platform</x:v>
      </x:c>
      <x:c r="O48" s="63" t="str">
        <x:v>Introduced a series of updates to the Assistants API , including a new file search tool allowing up to 10,000 files per assistant, new token controls, and support for tool choice.</x:v>
      </x:c>
      <x:c r="P48" s="63" t="str">
        <x:v>API 更新：Introduced a series of updates to Assistants API , including a 全新 file search tool allowing up to 10,000 files per assistant, 全新 token controls, and 支援 tool choice。OpenAI 將此列為 2024-04-17 的更新；重點涉及代理與工具調用，模型、端點與參數名稱依官方英文保留。</x:v>
      </x:c>
      <x:c r="Q48" s="60" t="n">
        <x:v>4</x:v>
      </x:c>
      <x:c r="R48" s="60" t="str">
        <x:v>major</x:v>
      </x:c>
      <x:c r="S48" s="60" t="n">
        <x:v>1506</x:v>
      </x:c>
      <x:c r="T48" s="60" t="n">
        <x:v>612</x:v>
      </x:c>
      <x:c r="U48" s="52" t="str">
        <x:v>OpenAI API Changelog</x:v>
      </x:c>
      <x:c r="V48" s="52" t="str">
        <x:v>https://developers.openai.com/api/docs/changelog</x:v>
      </x:c>
      <x:c r="W48" s="52" t="str">
        <x:v>official_changelog</x:v>
      </x:c>
      <x:c r="X48" s="52" t="str">
        <x:v>complete</x:v>
      </x:c>
      <x:c r="Y48" s="52" t="str">
        <x:v>high</x:v>
      </x:c>
      <x:c r="Z48" s="52" t="str">
        <x:v>developer_platform | launch | OpenAI API Platform | api-platform | update</x:v>
      </x:c>
      <x:c r="AA48" s="52" t="n">
        <x:v>1</x:v>
      </x:c>
      <x:c r="AB48" s="53" t="b">
        <x:v>0</x:v>
      </x:c>
    </x:row>
    <x:row r="49" ht="42" customHeight="1">
      <x:c r="A49" s="57" t="n">
        <x:v>45411</x:v>
      </x:c>
      <x:c r="B49" s="52" t="str">
        <x:v>evt-20240429-memory-available-to-chatgpt-plus-users</x:v>
      </x:c>
      <x:c r="C49" s="60" t="n">
        <x:v>2024</x:v>
      </x:c>
      <x:c r="D49" s="52" t="str">
        <x:v>Q2</x:v>
      </x:c>
      <x:c r="E49" s="52" t="str">
        <x:v>Platform Expansion</x:v>
      </x:c>
      <x:c r="F49" s="52" t="str">
        <x:v>memory_knowledge</x:v>
      </x:c>
      <x:c r="G49" s="52" t="str">
        <x:v>Memory Forest</x:v>
      </x:c>
      <x:c r="H49" s="52" t="n">
        <x:v>5</x:v>
      </x:c>
      <x:c r="I49" s="52" t="str">
        <x:v>&amp;</x:v>
      </x:c>
      <x:c r="J49" s="52" t="str">
        <x:v>ChatGPT Memory</x:v>
      </x:c>
      <x:c r="K49" s="52" t="str">
        <x:v>availability</x:v>
      </x:c>
      <x:c r="L49" s="52" t="str">
        <x:v>general_availability</x:v>
      </x:c>
      <x:c r="M49" s="63" t="str">
        <x:v>Memory available to ChatGPT Plus users</x:v>
      </x:c>
      <x:c r="N49" s="63" t="str">
        <x:v>記憶功能開放 ChatGPT Plus</x:v>
      </x:c>
      <x:c r="O49" s="63" t="str">
        <x:v>ChatGPT Memory became available to Plus users outside Europe and Korea, with settings to review or disable it.</x:v>
      </x:c>
      <x:c r="P49" s="63" t="str">
        <x:v>ChatGPT 記憶功能向歐洲與韓國以外的 Plus 使用者開放，並可在設定中檢視或停用。</x:v>
      </x:c>
      <x:c r="Q49" s="60" t="n">
        <x:v>4</x:v>
      </x:c>
      <x:c r="R49" s="60" t="str">
        <x:v>major</x:v>
      </x:c>
      <x:c r="S49" s="60" t="n">
        <x:v>1536</x:v>
      </x:c>
      <x:c r="T49" s="60" t="n">
        <x:v>904</x:v>
      </x:c>
      <x:c r="U49" s="52" t="str">
        <x:v>ChatGPT — Release Notes</x:v>
      </x:c>
      <x:c r="V49" s="52" t="str">
        <x:v>https://help.openai.com/en/articles/6825453-chatgpt-release-notes</x:v>
      </x:c>
      <x:c r="W49" s="52" t="str">
        <x:v>help_center_release_notes</x:v>
      </x:c>
      <x:c r="X49" s="52" t="str">
        <x:v>parsed</x:v>
      </x:c>
      <x:c r="Y49" s="52" t="str">
        <x:v>high</x:v>
      </x:c>
      <x:c r="Z49" s="52" t="str">
        <x:v>memory_knowledge | availability | ChatGPT Memory | chatgpt | memory | plus | personalization</x:v>
      </x:c>
      <x:c r="AA49" s="52" t="n">
        <x:v>1</x:v>
      </x:c>
      <x:c r="AB49" s="53" t="b">
        <x:v>0</x:v>
      </x:c>
    </x:row>
    <x:row r="50" ht="42" customHeight="1">
      <x:c r="A50" s="57" t="n">
        <x:v>45425</x:v>
      </x:c>
      <x:c r="B50" s="52" t="str">
        <x:v>evt-20240513-chatgpt-desktop-app-for-macos</x:v>
      </x:c>
      <x:c r="C50" s="60" t="n">
        <x:v>2024</x:v>
      </x:c>
      <x:c r="D50" s="52" t="str">
        <x:v>Q2</x:v>
      </x:c>
      <x:c r="E50" s="52" t="str">
        <x:v>Omni &amp; Reasoning</x:v>
      </x:c>
      <x:c r="F50" s="52" t="str">
        <x:v>clients_surfaces</x:v>
      </x:c>
      <x:c r="G50" s="52" t="str">
        <x:v>Client Archipelago</x:v>
      </x:c>
      <x:c r="H50" s="52" t="n">
        <x:v>8</x:v>
      </x:c>
      <x:c r="I50" s="52" t="str">
        <x:v>+</x:v>
      </x:c>
      <x:c r="J50" s="52" t="str">
        <x:v>ChatGPT macOS</x:v>
      </x:c>
      <x:c r="K50" s="52" t="str">
        <x:v>launch</x:v>
      </x:c>
      <x:c r="L50" s="52" t="str">
        <x:v>active</x:v>
      </x:c>
      <x:c r="M50" s="63" t="str">
        <x:v>ChatGPT desktop app for macOS</x:v>
      </x:c>
      <x:c r="N50" s="63" t="str">
        <x:v>ChatGPT macOS 桌面 App</x:v>
      </x:c>
      <x:c r="O50" s="63" t="str">
        <x:v>OpenAI began rolling out a macOS desktop app to Plus users with Option-Space access, screenshot discussion, and voice conversations, with broader availability planned.</x:v>
      </x:c>
      <x:c r="P50" s="63" t="str">
        <x:v>OpenAI 開始向 Plus 使用者推出 macOS 桌面 App，支援 Option-Space 快速喚起、截圖討論與語音對話，之後再擴大開放。</x:v>
      </x:c>
      <x:c r="Q50" s="60" t="n">
        <x:v>5</x:v>
      </x:c>
      <x:c r="R50" s="60" t="str">
        <x:v>landmark</x:v>
      </x:c>
      <x:c r="S50" s="60" t="n">
        <x:v>1572</x:v>
      </x:c>
      <x:c r="T50" s="60" t="n">
        <x:v>1379</x:v>
      </x:c>
      <x:c r="U50" s="52" t="str">
        <x:v>Hello GPT-4o</x:v>
      </x:c>
      <x:c r="V50" s="52" t="str">
        <x:v>https://openai.com/index/hello-gpt-4o/</x:v>
      </x:c>
      <x:c r="W50" s="52" t="str">
        <x:v>official_launch_post</x:v>
      </x:c>
      <x:c r="X50" s="52" t="str">
        <x:v>corroborated</x:v>
      </x:c>
      <x:c r="Y50" s="52" t="str">
        <x:v>high</x:v>
      </x:c>
      <x:c r="Z50" s="52" t="str">
        <x:v>clients_surfaces | launch | ChatGPT macOS | desktop | macos</x:v>
      </x:c>
      <x:c r="AA50" s="52" t="n">
        <x:v>2</x:v>
      </x:c>
      <x:c r="AB50" s="53" t="b">
        <x:v>1</x:v>
      </x:c>
    </x:row>
    <x:row r="51" ht="42" customHeight="1">
      <x:c r="A51" s="57" t="n">
        <x:v>45425</x:v>
      </x:c>
      <x:c r="B51" s="52" t="str">
        <x:v>evt-20240513-hello-gpt-4o</x:v>
      </x:c>
      <x:c r="C51" s="60" t="n">
        <x:v>2024</x:v>
      </x:c>
      <x:c r="D51" s="52" t="str">
        <x:v>Q2</x:v>
      </x:c>
      <x:c r="E51" s="52" t="str">
        <x:v>Omni &amp; Reasoning</x:v>
      </x:c>
      <x:c r="F51" s="52" t="str">
        <x:v>models_reasoning</x:v>
      </x:c>
      <x:c r="G51" s="52" t="str">
        <x:v>Model Mountains</x:v>
      </x:c>
      <x:c r="H51" s="52" t="n">
        <x:v>1</x:v>
      </x:c>
      <x:c r="I51" s="52" t="str">
        <x:v>^</x:v>
      </x:c>
      <x:c r="J51" s="52" t="str">
        <x:v>GPT-4o</x:v>
      </x:c>
      <x:c r="K51" s="52" t="str">
        <x:v>model_release</x:v>
      </x:c>
      <x:c r="L51" s="52" t="str">
        <x:v>active</x:v>
      </x:c>
      <x:c r="M51" s="63" t="str">
        <x:v>Hello GPT-4o</x:v>
      </x:c>
      <x:c r="N51" s="63" t="str">
        <x:v>GPT-4o 正式亮相</x:v>
      </x:c>
      <x:c r="O51" s="63" t="str">
        <x:v>OpenAI announced GPT-4o, its omni flagship model designed to reason across audio, vision, and text in real time, and initially released text and image inputs with text output.</x:v>
      </x:c>
      <x:c r="P51" s="63" t="str">
        <x:v>OpenAI 發布可即時跨音訊、視覺與文字推理的全模態旗艦模型 GPT-4o，首波開放文字與圖像輸入、文字輸出。</x:v>
      </x:c>
      <x:c r="Q51" s="60" t="n">
        <x:v>5</x:v>
      </x:c>
      <x:c r="R51" s="60" t="str">
        <x:v>landmark</x:v>
      </x:c>
      <x:c r="S51" s="60" t="n">
        <x:v>1572</x:v>
      </x:c>
      <x:c r="T51" s="60" t="n">
        <x:v>324</x:v>
      </x:c>
      <x:c r="U51" s="52" t="str">
        <x:v>Hello GPT-4o</x:v>
      </x:c>
      <x:c r="V51" s="52" t="str">
        <x:v>https://openai.com/index/hello-gpt-4o/</x:v>
      </x:c>
      <x:c r="W51" s="52" t="str">
        <x:v>model_release_post</x:v>
      </x:c>
      <x:c r="X51" s="52" t="str">
        <x:v>complete</x:v>
      </x:c>
      <x:c r="Y51" s="52" t="str">
        <x:v>high</x:v>
      </x:c>
      <x:c r="Z51" s="52" t="str">
        <x:v>models_reasoning | model_release | GPT-4o | gpt-4o | omni | multimodal | model-release</x:v>
      </x:c>
      <x:c r="AA51" s="52" t="n">
        <x:v>1</x:v>
      </x:c>
      <x:c r="AB51" s="53" t="b">
        <x:v>0</x:v>
      </x:c>
    </x:row>
    <x:row r="52" ht="42" customHeight="1">
      <x:c r="A52" s="57" t="n">
        <x:v>45425</x:v>
      </x:c>
      <x:c r="B52" s="52" t="str">
        <x:v>evt-20240513-released-gpt-4o-in-the-api</x:v>
      </x:c>
      <x:c r="C52" s="60" t="n">
        <x:v>2024</x:v>
      </x:c>
      <x:c r="D52" s="52" t="str">
        <x:v>Q2</x:v>
      </x:c>
      <x:c r="E52" s="52" t="str">
        <x:v>Omni &amp; Reasoning</x:v>
      </x:c>
      <x:c r="F52" s="52" t="str">
        <x:v>models_reasoning</x:v>
      </x:c>
      <x:c r="G52" s="52" t="str">
        <x:v>Model Mountains</x:v>
      </x:c>
      <x:c r="H52" s="52" t="n">
        <x:v>1</x:v>
      </x:c>
      <x:c r="I52" s="52" t="str">
        <x:v>^</x:v>
      </x:c>
      <x:c r="J52" s="52" t="str">
        <x:v>Model Platform</x:v>
      </x:c>
      <x:c r="K52" s="52" t="str">
        <x:v>model_release</x:v>
      </x:c>
      <x:c r="L52" s="52" t="str">
        <x:v>active</x:v>
      </x:c>
      <x:c r="M52" s="63" t="str">
        <x:v>Released GPT-4o in the API.</x:v>
      </x:c>
      <x:c r="N52" s="63" t="str">
        <x:v>API 推出 GPT‑4o</x:v>
      </x:c>
      <x:c r="O52" s="63" t="str">
        <x:v>Released GPT-4o in the API. GPT-4o is our fastest and most affordable flagship model.</x:v>
      </x:c>
      <x:c r="P52" s="63" t="str">
        <x:v>API 推出 GPT‑4o。OpenAI 將此列為 2024-05-13 的更新；重點涉及平台功能與可用性，模型、端點與參數名稱依官方英文保留。</x:v>
      </x:c>
      <x:c r="Q52" s="60" t="n">
        <x:v>4</x:v>
      </x:c>
      <x:c r="R52" s="60" t="str">
        <x:v>major</x:v>
      </x:c>
      <x:c r="S52" s="60" t="n">
        <x:v>1572</x:v>
      </x:c>
      <x:c r="T52" s="60" t="n">
        <x:v>336</x:v>
      </x:c>
      <x:c r="U52" s="52" t="str">
        <x:v>OpenAI API Changelog</x:v>
      </x:c>
      <x:c r="V52" s="52" t="str">
        <x:v>https://developers.openai.com/api/docs/changelog</x:v>
      </x:c>
      <x:c r="W52" s="52" t="str">
        <x:v>official_changelog</x:v>
      </x:c>
      <x:c r="X52" s="52" t="str">
        <x:v>corroborated</x:v>
      </x:c>
      <x:c r="Y52" s="52" t="str">
        <x:v>high</x:v>
      </x:c>
      <x:c r="Z52" s="52" t="str">
        <x:v>models_reasoning | model_release | Model Platform | api | models | update</x:v>
      </x:c>
      <x:c r="AA52" s="52" t="n">
        <x:v>2</x:v>
      </x:c>
      <x:c r="AB52" s="53" t="b">
        <x:v>1</x:v>
      </x:c>
    </x:row>
    <x:row r="53" ht="42" customHeight="1">
      <x:c r="A53" s="57" t="n">
        <x:v>45425</x:v>
      </x:c>
      <x:c r="B53" s="52" t="str">
        <x:v>evt-20240513-introducing-gpt-4o</x:v>
      </x:c>
      <x:c r="C53" s="60" t="n">
        <x:v>2024</x:v>
      </x:c>
      <x:c r="D53" s="52" t="str">
        <x:v>Q2</x:v>
      </x:c>
      <x:c r="E53" s="52" t="str">
        <x:v>Omni &amp; Reasoning</x:v>
      </x:c>
      <x:c r="F53" s="52" t="str">
        <x:v>enterprise_vertical</x:v>
      </x:c>
      <x:c r="G53" s="52" t="str">
        <x:v>Enterprise Citadel</x:v>
      </x:c>
      <x:c r="H53" s="52" t="n">
        <x:v>7</x:v>
      </x:c>
      <x:c r="I53" s="52" t="str">
        <x:v>H</x:v>
      </x:c>
      <x:c r="J53" s="52" t="str">
        <x:v>GPT-4o</x:v>
      </x:c>
      <x:c r="K53" s="52" t="str">
        <x:v>model_release</x:v>
      </x:c>
      <x:c r="L53" s="52" t="str">
        <x:v>active</x:v>
      </x:c>
      <x:c r="M53" s="63" t="str">
        <x:v>Introducing GPT-4o</x:v>
      </x:c>
      <x:c r="N53" s="63" t="str">
        <x:v>推出GPT-4o</x:v>
      </x:c>
      <x:c r="O53" s="63" t="str">
        <x:v>GPT-4o is our newest flagship model that provides GPT-4-level intelligence that is much faster and improves on its capabilities across text, voice, and vision. Currently, only the new text and image capabilities have been rolled out. You can read more about the announcement here. Plus users will have a message limit that is up to 5x greater than free users, and Team and Enterprise users will have even higher limits.</x:v>
      </x:c>
      <x:c r="P53" s="63" t="str">
        <x:v>OpenAI 於 2024-05-13 為 GPT-4o 發布模型；此節點依官方發布記錄整理，完整能力、適用方案與限制請見來源。</x:v>
      </x:c>
      <x:c r="Q53" s="60" t="n">
        <x:v>4</x:v>
      </x:c>
      <x:c r="R53" s="60" t="str">
        <x:v>major</x:v>
      </x:c>
      <x:c r="S53" s="60" t="n">
        <x:v>1572</x:v>
      </x:c>
      <x:c r="T53" s="60" t="n">
        <x:v>1215</x:v>
      </x:c>
      <x:c r="U53" s="52" t="str">
        <x:v>ChatGPT — Release Notes</x:v>
      </x:c>
      <x:c r="V53" s="52" t="str">
        <x:v>https://help.openai.com/en/articles/6825453-chatgpt-release-notes</x:v>
      </x:c>
      <x:c r="W53" s="52" t="str">
        <x:v>help_center_release_notes</x:v>
      </x:c>
      <x:c r="X53" s="52" t="str">
        <x:v>parsed</x:v>
      </x:c>
      <x:c r="Y53" s="52" t="str">
        <x:v>high</x:v>
      </x:c>
      <x:c r="Z53" s="52" t="str">
        <x:v>enterprise_vertical | model_release | GPT-4o</x:v>
      </x:c>
      <x:c r="AA53" s="52" t="n">
        <x:v>1</x:v>
      </x:c>
      <x:c r="AB53" s="53" t="b">
        <x:v>0</x:v>
      </x:c>
    </x:row>
    <x:row r="54" ht="42" customHeight="1">
      <x:c r="A54" s="57" t="n">
        <x:v>45425</x:v>
      </x:c>
      <x:c r="B54" s="52" t="str">
        <x:v>evt-20240513-gpt-4o-and-advanced-tools-roll-out-to-free-users</x:v>
      </x:c>
      <x:c r="C54" s="60" t="n">
        <x:v>2024</x:v>
      </x:c>
      <x:c r="D54" s="52" t="str">
        <x:v>Q2</x:v>
      </x:c>
      <x:c r="E54" s="52" t="str">
        <x:v>Omni &amp; Reasoning</x:v>
      </x:c>
      <x:c r="F54" s="52" t="str">
        <x:v>chatgpt_core</x:v>
      </x:c>
      <x:c r="G54" s="52" t="str">
        <x:v>Origin Plaza</x:v>
      </x:c>
      <x:c r="H54" s="52" t="n">
        <x:v>0</x:v>
      </x:c>
      <x:c r="I54" s="52" t="str">
        <x:v>@</x:v>
      </x:c>
      <x:c r="J54" s="52" t="str">
        <x:v>ChatGPT Free</x:v>
      </x:c>
      <x:c r="K54" s="52" t="str">
        <x:v>availability</x:v>
      </x:c>
      <x:c r="L54" s="52" t="str">
        <x:v>active</x:v>
      </x:c>
      <x:c r="M54" s="63" t="str">
        <x:v>GPT-4o and advanced tools roll out to free users</x:v>
      </x:c>
      <x:c r="N54" s="63" t="str">
        <x:v>GPT-4o 與進階工具推向免費使用者</x:v>
      </x:c>
      <x:c r="O54" s="63" t="str">
        <x:v>OpenAI began giving Free users limited GPT-4o plus web answers, data analysis, charts, image discussion, file uploads, GPT Store access, and memory.</x:v>
      </x:c>
      <x:c r="P54" s="63" t="str">
        <x:v>OpenAI 開始向 Free 使用者提供有限的 GPT-4o，以及網路回答、資料分析、圖表、圖像討論、檔案上傳、GPT Store 與記憶。</x:v>
      </x:c>
      <x:c r="Q54" s="60" t="n">
        <x:v>4</x:v>
      </x:c>
      <x:c r="R54" s="60" t="str">
        <x:v>major</x:v>
      </x:c>
      <x:c r="S54" s="60" t="n">
        <x:v>1572</x:v>
      </x:c>
      <x:c r="T54" s="60" t="n">
        <x:v>209</x:v>
      </x:c>
      <x:c r="U54" s="52" t="str">
        <x:v>Introducing GPT-4o and more tools to ChatGPT free users</x:v>
      </x:c>
      <x:c r="V54" s="52" t="str">
        <x:v>https://openai.com/index/gpt-4o-and-more-tools-to-chatgpt-free/</x:v>
      </x:c>
      <x:c r="W54" s="52" t="str">
        <x:v>product_post</x:v>
      </x:c>
      <x:c r="X54" s="52" t="str">
        <x:v>complete</x:v>
      </x:c>
      <x:c r="Y54" s="52" t="str">
        <x:v>high</x:v>
      </x:c>
      <x:c r="Z54" s="52" t="str">
        <x:v>chatgpt_core | availability | ChatGPT Free | chatgpt | free | gpt-4o | tools</x:v>
      </x:c>
      <x:c r="AA54" s="52" t="n">
        <x:v>1</x:v>
      </x:c>
      <x:c r="AB54" s="53" t="b">
        <x:v>0</x:v>
      </x:c>
    </x:row>
    <x:row r="55" ht="42" customHeight="1">
      <x:c r="A55" s="57" t="n">
        <x:v>45442</x:v>
      </x:c>
      <x:c r="B55" s="52" t="str">
        <x:v>evt-20240530-introducing-chatgpt-edu</x:v>
      </x:c>
      <x:c r="C55" s="60" t="n">
        <x:v>2024</x:v>
      </x:c>
      <x:c r="D55" s="52" t="str">
        <x:v>Q2</x:v>
      </x:c>
      <x:c r="E55" s="52" t="str">
        <x:v>Omni &amp; Reasoning</x:v>
      </x:c>
      <x:c r="F55" s="52" t="str">
        <x:v>enterprise_vertical</x:v>
      </x:c>
      <x:c r="G55" s="52" t="str">
        <x:v>Enterprise Citadel</x:v>
      </x:c>
      <x:c r="H55" s="52" t="n">
        <x:v>7</x:v>
      </x:c>
      <x:c r="I55" s="52" t="str">
        <x:v>H</x:v>
      </x:c>
      <x:c r="J55" s="52" t="str">
        <x:v>ChatGPT Edu</x:v>
      </x:c>
      <x:c r="K55" s="52" t="str">
        <x:v>launch</x:v>
      </x:c>
      <x:c r="L55" s="52" t="str">
        <x:v>active</x:v>
      </x:c>
      <x:c r="M55" s="63" t="str">
        <x:v>Introducing ChatGPT Edu</x:v>
      </x:c>
      <x:c r="N55" s="63" t="str">
        <x:v>推出 ChatGPT Edu</x:v>
      </x:c>
      <x:c r="O55" s="63" t="str">
        <x:v>OpenAI launched a university offering powered by GPT-4o with advanced tools, higher limits, shared GPTs, enterprise security, and no training on institutional conversations or data.</x:v>
      </x:c>
      <x:c r="P55" s="63" t="str">
        <x:v>OpenAI 為大學推出 ChatGPT Edu，包含 GPT‑4o、進階工具、自訂 GPT 分享、企業安全、SSO、SCIM 與管理控制。</x:v>
      </x:c>
      <x:c r="Q55" s="60" t="n">
        <x:v>5</x:v>
      </x:c>
      <x:c r="R55" s="60" t="str">
        <x:v>landmark</x:v>
      </x:c>
      <x:c r="S55" s="60" t="n">
        <x:v>1616</x:v>
      </x:c>
      <x:c r="T55" s="60" t="n">
        <x:v>1206</x:v>
      </x:c>
      <x:c r="U55" s="52" t="str">
        <x:v>Introducing ChatGPT Edu</x:v>
      </x:c>
      <x:c r="V55" s="52" t="str">
        <x:v>https://openai.com/index/introducing-chatgpt-edu/</x:v>
      </x:c>
      <x:c r="W55" s="52" t="str">
        <x:v>launch_post</x:v>
      </x:c>
      <x:c r="X55" s="52" t="str">
        <x:v>complete</x:v>
      </x:c>
      <x:c r="Y55" s="52" t="str">
        <x:v>high</x:v>
      </x:c>
      <x:c r="Z55" s="52" t="str">
        <x:v>enterprise_vertical | launch | ChatGPT Edu | chatgpt | education | universities | gpt-4o | admin | enterprise</x:v>
      </x:c>
      <x:c r="AA55" s="52" t="n">
        <x:v>1</x:v>
      </x:c>
      <x:c r="AB55" s="53" t="b">
        <x:v>0</x:v>
      </x:c>
    </x:row>
    <x:row r="56" ht="42" customHeight="1">
      <x:c r="A56" s="57" t="n">
        <x:v>45449</x:v>
      </x:c>
      <x:c r="B56" s="52" t="str">
        <x:v>evt-20240606-parallel-function-calling-can-be-disabled-in-chat-completi</x:v>
      </x:c>
      <x:c r="C56" s="60" t="n">
        <x:v>2024</x:v>
      </x:c>
      <x:c r="D56" s="52" t="str">
        <x:v>Q2</x:v>
      </x:c>
      <x:c r="E56" s="52" t="str">
        <x:v>Omni &amp; Reasoning</x:v>
      </x:c>
      <x:c r="F56" s="52" t="str">
        <x:v>developer_platform</x:v>
      </x:c>
      <x:c r="G56" s="52" t="str">
        <x:v>Toolsmith Harbor</x:v>
      </x:c>
      <x:c r="H56" s="52" t="n">
        <x:v>3</x:v>
      </x:c>
      <x:c r="I56" s="52" t="str">
        <x:v>#</x:v>
      </x:c>
      <x:c r="J56" s="52" t="str">
        <x:v>OpenAI API Platform</x:v>
      </x:c>
      <x:c r="K56" s="52" t="str">
        <x:v>launch</x:v>
      </x:c>
      <x:c r="L56" s="52" t="str">
        <x:v>active</x:v>
      </x:c>
      <x:c r="M56" s="63" t="str">
        <x:v>Parallel function calling can be disabled in Chat Completions and the Assistants API by passing paralleltoolcalls=false.</x:v>
      </x:c>
      <x:c r="N56" s="63" t="str">
        <x:v>推出：OpenAI API Platform</x:v>
      </x:c>
      <x:c r="O56" s="63" t="str">
        <x:v>Parallel function calling can be disabled in Chat Completions and the Assistants API by passing paralleltoolcalls=false . .NET SDK launched in Beta.</x:v>
      </x:c>
      <x:c r="P56" s="63" t="str">
        <x:v>API 更新：Parallel function calling can be disabled in Chat Completions and Assistants API by passing paralleltoolcalls=false。OpenAI 將此列為 2024-06-06 的更新；重點涉及代理與工具調用，模型、端點與參數名稱依官方英文保留。</x:v>
      </x:c>
      <x:c r="Q56" s="60" t="n">
        <x:v>4</x:v>
      </x:c>
      <x:c r="R56" s="60" t="str">
        <x:v>major</x:v>
      </x:c>
      <x:c r="S56" s="60" t="n">
        <x:v>1633</x:v>
      </x:c>
      <x:c r="T56" s="60" t="n">
        <x:v>646</x:v>
      </x:c>
      <x:c r="U56" s="52" t="str">
        <x:v>OpenAI API Changelog</x:v>
      </x:c>
      <x:c r="V56" s="52" t="str">
        <x:v>https://developers.openai.com/api/docs/changelog</x:v>
      </x:c>
      <x:c r="W56" s="52" t="str">
        <x:v>official_changelog</x:v>
      </x:c>
      <x:c r="X56" s="52" t="str">
        <x:v>complete</x:v>
      </x:c>
      <x:c r="Y56" s="52" t="str">
        <x:v>high</x:v>
      </x:c>
      <x:c r="Z56" s="52" t="str">
        <x:v>developer_platform | launch | OpenAI API Platform | api-platform | update</x:v>
      </x:c>
      <x:c r="AA56" s="52" t="n">
        <x:v>1</x:v>
      </x:c>
      <x:c r="AB56" s="53" t="b">
        <x:v>0</x:v>
      </x:c>
    </x:row>
    <x:row r="57" ht="42" customHeight="1">
      <x:c r="A57" s="57" t="n">
        <x:v>45449</x:v>
      </x:c>
      <x:c r="B57" s="52" t="str">
        <x:v>evt-20240606-gpt-4-32k-and-vision-preview-models-deprecation</x:v>
      </x:c>
      <x:c r="C57" s="60" t="n">
        <x:v>2024</x:v>
      </x:c>
      <x:c r="D57" s="52" t="str">
        <x:v>Q2</x:v>
      </x:c>
      <x:c r="E57" s="52" t="str">
        <x:v>Omni &amp; Reasoning</x:v>
      </x:c>
      <x:c r="F57" s="52" t="str">
        <x:v>safety_lifecycle</x:v>
      </x:c>
      <x:c r="G57" s="52" t="str">
        <x:v>Safety Wall</x:v>
      </x:c>
      <x:c r="H57" s="52" t="n">
        <x:v>9</x:v>
      </x:c>
      <x:c r="I57" s="52" t="str">
        <x:v>!</x:v>
      </x:c>
      <x:c r="J57" s="52" t="str">
        <x:v>Model Platform</x:v>
      </x:c>
      <x:c r="K57" s="52" t="str">
        <x:v>deprecation</x:v>
      </x:c>
      <x:c r="L57" s="52" t="str">
        <x:v>deprecated</x:v>
      </x:c>
      <x:c r="M57" s="63" t="str">
        <x:v>GPT-4-32K and Vision Preview models deprecation</x:v>
      </x:c>
      <x:c r="N57" s="63" t="str">
        <x:v>GPT-4-32K and Vision Preview models 棄用公告</x:v>
      </x:c>
      <x:c r="O57" s="63" t="str">
        <x:v>On June 6th, 2024, we notified developers using gpt-4-32k and gpt-4-vision-preview of their upcoming deprecations in one year and six months respectively. As of June 17, 2024, only existing users of these models will be able to continue using them. Schedule/replacements: 2025-06-06 gpt-4-32k $60.00 / 1M input tokens + $120 / 1M output tokens gpt-4o; 2025-06-06 gpt-4-32k-0613 $60.00 / 1M input tokens + $120 / 1M output tokens gpt-4o;…</x:v>
      </x:c>
      <x:c r="P57" s="63" t="str">
        <x:v>OpenAI 於 2024-06-06 公告 GPT-4-32K and Vision Preview models 的棄用或下線時程，並列出替代方案與遷移方向。</x:v>
      </x:c>
      <x:c r="Q57" s="60" t="n">
        <x:v>4</x:v>
      </x:c>
      <x:c r="R57" s="60" t="str">
        <x:v>major</x:v>
      </x:c>
      <x:c r="S57" s="60" t="n">
        <x:v>1633</x:v>
      </x:c>
      <x:c r="T57" s="60" t="n">
        <x:v>1523</x:v>
      </x:c>
      <x:c r="U57" s="52" t="str">
        <x:v>OpenAI API Deprecations</x:v>
      </x:c>
      <x:c r="V57" s="52" t="str">
        <x:v>https://developers.openai.com/api/docs/deprecations#2024-06-06-gpt-4-32k-and-vision-preview-models</x:v>
      </x:c>
      <x:c r="W57" s="52" t="str">
        <x:v>official_deprecation_registry</x:v>
      </x:c>
      <x:c r="X57" s="52" t="str">
        <x:v>corroborated</x:v>
      </x:c>
      <x:c r="Y57" s="52" t="str">
        <x:v>high</x:v>
      </x:c>
      <x:c r="Z57" s="52" t="str">
        <x:v>safety_lifecycle | deprecation | Model Platform | api | model-platform</x:v>
      </x:c>
      <x:c r="AA57" s="52" t="n">
        <x:v>2</x:v>
      </x:c>
      <x:c r="AB57" s="53" t="b">
        <x:v>1</x:v>
      </x:c>
    </x:row>
    <x:row r="58" ht="42" customHeight="1">
      <x:c r="A58" s="57" t="n">
        <x:v>45453</x:v>
      </x:c>
      <x:c r="B58" s="52" t="str">
        <x:v>evt-20240610-chatgpt-integration-announced-for-apple-intelligence</x:v>
      </x:c>
      <x:c r="C58" s="60" t="n">
        <x:v>2024</x:v>
      </x:c>
      <x:c r="D58" s="52" t="str">
        <x:v>Q2</x:v>
      </x:c>
      <x:c r="E58" s="52" t="str">
        <x:v>Omni &amp; Reasoning</x:v>
      </x:c>
      <x:c r="F58" s="52" t="str">
        <x:v>clients_surfaces</x:v>
      </x:c>
      <x:c r="G58" s="52" t="str">
        <x:v>Client Archipelago</x:v>
      </x:c>
      <x:c r="H58" s="52" t="n">
        <x:v>8</x:v>
      </x:c>
      <x:c r="I58" s="52" t="str">
        <x:v>+</x:v>
      </x:c>
      <x:c r="J58" s="52" t="str">
        <x:v>ChatGPT in Apple Intelligence</x:v>
      </x:c>
      <x:c r="K58" s="52" t="str">
        <x:v>integration</x:v>
      </x:c>
      <x:c r="L58" s="52" t="str">
        <x:v>active</x:v>
      </x:c>
      <x:c r="M58" s="63" t="str">
        <x:v>ChatGPT integration announced for Apple Intelligence</x:v>
      </x:c>
      <x:c r="N58" s="63" t="str">
        <x:v>宣布 ChatGPT 整合 Apple Intelligence</x:v>
      </x:c>
      <x:c r="O58" s="63" t="str">
        <x:v>OpenAI and Apple announced GPT-4o-powered ChatGPT integration for Siri and systemwide Writing Tools in iOS, iPadOS, and macOS, with no account required for free access.</x:v>
      </x:c>
      <x:c r="P58" s="63" t="str">
        <x:v>OpenAI 與 Apple 宣布將 GPT-4o 驅動的 ChatGPT 整合至 iOS、iPadOS 與 macOS 的 Siri 和系統級 Writing Tools，免費使用無須帳戶。</x:v>
      </x:c>
      <x:c r="Q58" s="60" t="n">
        <x:v>4</x:v>
      </x:c>
      <x:c r="R58" s="60" t="str">
        <x:v>major</x:v>
      </x:c>
      <x:c r="S58" s="60" t="n">
        <x:v>1644</x:v>
      </x:c>
      <x:c r="T58" s="60" t="n">
        <x:v>1332</x:v>
      </x:c>
      <x:c r="U58" s="52" t="str">
        <x:v>OpenAI and Apple announce partnership</x:v>
      </x:c>
      <x:c r="V58" s="52" t="str">
        <x:v>https://openai.com/index/openai-and-apple-announce-partnership/</x:v>
      </x:c>
      <x:c r="W58" s="52" t="str">
        <x:v>partnership_post</x:v>
      </x:c>
      <x:c r="X58" s="52" t="str">
        <x:v>complete</x:v>
      </x:c>
      <x:c r="Y58" s="52" t="str">
        <x:v>high</x:v>
      </x:c>
      <x:c r="Z58" s="52" t="str">
        <x:v>clients_surfaces | integration | ChatGPT in Apple Intelligence | chatgpt | apple | siri | apple-intelligence</x:v>
      </x:c>
      <x:c r="AA58" s="52" t="n">
        <x:v>1</x:v>
      </x:c>
      <x:c r="AB58" s="53" t="b">
        <x:v>0</x:v>
      </x:c>
    </x:row>
    <x:row r="59" ht="42" customHeight="1">
      <x:c r="A59" s="57" t="n">
        <x:v>45491</x:v>
      </x:c>
      <x:c r="B59" s="52" t="str">
        <x:v>evt-20240718-released-gpt-4o-mini-our-affordable-an-intelligent-small-m</x:v>
      </x:c>
      <x:c r="C59" s="60" t="n">
        <x:v>2024</x:v>
      </x:c>
      <x:c r="D59" s="52" t="str">
        <x:v>Q3</x:v>
      </x:c>
      <x:c r="E59" s="52" t="str">
        <x:v>Omni &amp; Reasoning</x:v>
      </x:c>
      <x:c r="F59" s="52" t="str">
        <x:v>models_reasoning</x:v>
      </x:c>
      <x:c r="G59" s="52" t="str">
        <x:v>Model Mountains</x:v>
      </x:c>
      <x:c r="H59" s="52" t="n">
        <x:v>1</x:v>
      </x:c>
      <x:c r="I59" s="52" t="str">
        <x:v>^</x:v>
      </x:c>
      <x:c r="J59" s="52" t="str">
        <x:v>Model Platform</x:v>
      </x:c>
      <x:c r="K59" s="52" t="str">
        <x:v>model_release</x:v>
      </x:c>
      <x:c r="L59" s="52" t="str">
        <x:v>active</x:v>
      </x:c>
      <x:c r="M59" s="63" t="str">
        <x:v>Released GPT-4o mini, our affordable an intelligent small model for fast, lightweight tasks.</x:v>
      </x:c>
      <x:c r="N59" s="63" t="str">
        <x:v>模型發布：Model Platform</x:v>
      </x:c>
      <x:c r="O59" s="63" t="str">
        <x:v>Released GPT-4o mini , our affordable an intelligent small model for fast, lightweight tasks.</x:v>
      </x:c>
      <x:c r="P59" s="63" t="str">
        <x:v>推出：GPT-4o mini , our affordable an intelligent small 模型 for fast, lightweight tasks。OpenAI 將此列為 2024-07-18 的更新；重點涉及平台功能與可用性，模型、端點與參數名稱依官方英文保留。</x:v>
      </x:c>
      <x:c r="Q59" s="60" t="n">
        <x:v>4</x:v>
      </x:c>
      <x:c r="R59" s="60" t="str">
        <x:v>major</x:v>
      </x:c>
      <x:c r="S59" s="60" t="n">
        <x:v>1741</x:v>
      </x:c>
      <x:c r="T59" s="60" t="n">
        <x:v>352</x:v>
      </x:c>
      <x:c r="U59" s="52" t="str">
        <x:v>OpenAI API Changelog</x:v>
      </x:c>
      <x:c r="V59" s="52" t="str">
        <x:v>https://developers.openai.com/api/docs/changelog</x:v>
      </x:c>
      <x:c r="W59" s="52" t="str">
        <x:v>official_changelog</x:v>
      </x:c>
      <x:c r="X59" s="52" t="str">
        <x:v>corroborated</x:v>
      </x:c>
      <x:c r="Y59" s="52" t="str">
        <x:v>high</x:v>
      </x:c>
      <x:c r="Z59" s="52" t="str">
        <x:v>models_reasoning | model_release | Model Platform | api | models | update</x:v>
      </x:c>
      <x:c r="AA59" s="52" t="n">
        <x:v>2</x:v>
      </x:c>
      <x:c r="AB59" s="53" t="b">
        <x:v>1</x:v>
      </x:c>
    </x:row>
    <x:row r="60" ht="42" customHeight="1">
      <x:c r="A60" s="57" t="n">
        <x:v>45491</x:v>
      </x:c>
      <x:c r="B60" s="52" t="str">
        <x:v>evt-20240718-introducing-gpt-4o-mini</x:v>
      </x:c>
      <x:c r="C60" s="60" t="n">
        <x:v>2024</x:v>
      </x:c>
      <x:c r="D60" s="52" t="str">
        <x:v>Q3</x:v>
      </x:c>
      <x:c r="E60" s="52" t="str">
        <x:v>Omni &amp; Reasoning</x:v>
      </x:c>
      <x:c r="F60" s="52" t="str">
        <x:v>multimodal</x:v>
      </x:c>
      <x:c r="G60" s="52" t="str">
        <x:v>Multimodal Coast</x:v>
      </x:c>
      <x:c r="H60" s="52" t="n">
        <x:v>4</x:v>
      </x:c>
      <x:c r="I60" s="52" t="str">
        <x:v>~</x:v>
      </x:c>
      <x:c r="J60" s="52" t="str">
        <x:v>GPT-4o</x:v>
      </x:c>
      <x:c r="K60" s="52" t="str">
        <x:v>model_release</x:v>
      </x:c>
      <x:c r="L60" s="52" t="str">
        <x:v>active</x:v>
      </x:c>
      <x:c r="M60" s="63" t="str">
        <x:v>Introducing GPT-4o mini</x:v>
      </x:c>
      <x:c r="N60" s="63" t="str">
        <x:v>推出GPT-4o mini</x:v>
      </x:c>
      <x:c r="O60" s="63" t="str">
        <x:v>We’re introducing GPT-4o mini, the most capable and cost-efficient small model available today. GPT-4o mini surpasses GPT-3.5 Turbo and other small models on academic benchmarks across both textual intelligence and multimodal reasoning and supports the same range of languages as GPT-4o. It also demonstrates strong performance in function calling, which can enable developers to build applications that fetch data or take actions with e…</x:v>
      </x:c>
      <x:c r="P60" s="63" t="str">
        <x:v>OpenAI 於 2024-07-18 為 GPT-4o 發布模型；此節點依官方發布記錄整理，完整能力、適用方案與限制請見來源。</x:v>
      </x:c>
      <x:c r="Q60" s="60" t="n">
        <x:v>4</x:v>
      </x:c>
      <x:c r="R60" s="60" t="str">
        <x:v>major</x:v>
      </x:c>
      <x:c r="S60" s="60" t="n">
        <x:v>1741</x:v>
      </x:c>
      <x:c r="T60" s="60" t="n">
        <x:v>758</x:v>
      </x:c>
      <x:c r="U60" s="52" t="str">
        <x:v>ChatGPT — Release Notes</x:v>
      </x:c>
      <x:c r="V60" s="52" t="str">
        <x:v>https://help.openai.com/en/articles/6825453-chatgpt-release-notes</x:v>
      </x:c>
      <x:c r="W60" s="52" t="str">
        <x:v>help_center_release_notes</x:v>
      </x:c>
      <x:c r="X60" s="52" t="str">
        <x:v>parsed</x:v>
      </x:c>
      <x:c r="Y60" s="52" t="str">
        <x:v>high</x:v>
      </x:c>
      <x:c r="Z60" s="52" t="str">
        <x:v>multimodal | model_release | GPT-4o</x:v>
      </x:c>
      <x:c r="AA60" s="52" t="n">
        <x:v>1</x:v>
      </x:c>
      <x:c r="AB60" s="53" t="b">
        <x:v>0</x:v>
      </x:c>
    </x:row>
    <x:row r="61" ht="42" customHeight="1">
      <x:c r="A61" s="57" t="n">
        <x:v>45496</x:v>
      </x:c>
      <x:c r="B61" s="52" t="str">
        <x:v>evt-20240723-launched-fine-tuning-for-gpt-4o-mini</x:v>
      </x:c>
      <x:c r="C61" s="60" t="n">
        <x:v>2024</x:v>
      </x:c>
      <x:c r="D61" s="52" t="str">
        <x:v>Q3</x:v>
      </x:c>
      <x:c r="E61" s="52" t="str">
        <x:v>Omni &amp; Reasoning</x:v>
      </x:c>
      <x:c r="F61" s="52" t="str">
        <x:v>models_reasoning</x:v>
      </x:c>
      <x:c r="G61" s="52" t="str">
        <x:v>Model Mountains</x:v>
      </x:c>
      <x:c r="H61" s="52" t="n">
        <x:v>1</x:v>
      </x:c>
      <x:c r="I61" s="52" t="str">
        <x:v>^</x:v>
      </x:c>
      <x:c r="J61" s="52" t="str">
        <x:v>Model Platform</x:v>
      </x:c>
      <x:c r="K61" s="52" t="str">
        <x:v>model_release</x:v>
      </x:c>
      <x:c r="L61" s="52" t="str">
        <x:v>active</x:v>
      </x:c>
      <x:c r="M61" s="63" t="str">
        <x:v>Launched fine-tuning for GPT-4o mini</x:v>
      </x:c>
      <x:c r="N61" s="63" t="str">
        <x:v>模型發布：Model Platform</x:v>
      </x:c>
      <x:c r="O61" s="63" t="str">
        <x:v>Launched fine-tuning for GPT-4o mini , enabling even higher performance for specific use cases.</x:v>
      </x:c>
      <x:c r="P61" s="63" t="str">
        <x:v>推出：fine-tuning for GPT-4o mini , enabling even higher performance for specific use cases。OpenAI 將此列為 2024-07-23 的更新；重點涉及模型微調、可靠性與效能修正，模型、端點與參數名稱依官方英文保留。</x:v>
      </x:c>
      <x:c r="Q61" s="60" t="n">
        <x:v>4</x:v>
      </x:c>
      <x:c r="R61" s="60" t="str">
        <x:v>major</x:v>
      </x:c>
      <x:c r="S61" s="60" t="n">
        <x:v>1753</x:v>
      </x:c>
      <x:c r="T61" s="60" t="n">
        <x:v>284</x:v>
      </x:c>
      <x:c r="U61" s="52" t="str">
        <x:v>OpenAI API Changelog</x:v>
      </x:c>
      <x:c r="V61" s="52" t="str">
        <x:v>https://developers.openai.com/api/docs/changelog</x:v>
      </x:c>
      <x:c r="W61" s="52" t="str">
        <x:v>official_changelog</x:v>
      </x:c>
      <x:c r="X61" s="52" t="str">
        <x:v>complete</x:v>
      </x:c>
      <x:c r="Y61" s="52" t="str">
        <x:v>high</x:v>
      </x:c>
      <x:c r="Z61" s="52" t="str">
        <x:v>models_reasoning | model_release | Model Platform | api | models | update</x:v>
      </x:c>
      <x:c r="AA61" s="52" t="n">
        <x:v>1</x:v>
      </x:c>
      <x:c r="AB61" s="53" t="b">
        <x:v>0</x:v>
      </x:c>
    </x:row>
    <x:row r="62" ht="42" customHeight="1">
      <x:c r="A62" s="57" t="n">
        <x:v>45497</x:v>
      </x:c>
      <x:c r="B62" s="52" t="str">
        <x:v>evt-20240724-launched-self-serve-sso-configuration</x:v>
      </x:c>
      <x:c r="C62" s="60" t="n">
        <x:v>2024</x:v>
      </x:c>
      <x:c r="D62" s="52" t="str">
        <x:v>Q3</x:v>
      </x:c>
      <x:c r="E62" s="52" t="str">
        <x:v>Omni &amp; Reasoning</x:v>
      </x:c>
      <x:c r="F62" s="52" t="str">
        <x:v>developer_platform</x:v>
      </x:c>
      <x:c r="G62" s="52" t="str">
        <x:v>Toolsmith Harbor</x:v>
      </x:c>
      <x:c r="H62" s="52" t="n">
        <x:v>3</x:v>
      </x:c>
      <x:c r="I62" s="52" t="str">
        <x:v>#</x:v>
      </x:c>
      <x:c r="J62" s="52" t="str">
        <x:v>OpenAI API Platform</x:v>
      </x:c>
      <x:c r="K62" s="52" t="str">
        <x:v>launch</x:v>
      </x:c>
      <x:c r="L62" s="52" t="str">
        <x:v>active</x:v>
      </x:c>
      <x:c r="M62" s="63" t="str">
        <x:v>Launched self-serve SSO configuration</x:v>
      </x:c>
      <x:c r="N62" s="63" t="str">
        <x:v>推出：OpenAI API Platform</x:v>
      </x:c>
      <x:c r="O62" s="63" t="str">
        <x:v>Launched self-serve SSO configuration , allowing Enterprise customers on custom and unlimited billing to set up authentication against their desired IDP.</x:v>
      </x:c>
      <x:c r="P62" s="63" t="str">
        <x:v>推出：self-serve SSO configuration , allowing Enterprise customers on custom and unlimited billing to set up authentication against their desired IDP。OpenAI 將此列為 2024-07-24 的更新；重點涉及定價與用量，模型、端點與參數名稱依官方英文保留。</x:v>
      </x:c>
      <x:c r="Q62" s="60" t="n">
        <x:v>4</x:v>
      </x:c>
      <x:c r="R62" s="60" t="str">
        <x:v>major</x:v>
      </x:c>
      <x:c r="S62" s="60" t="n">
        <x:v>1756</x:v>
      </x:c>
      <x:c r="T62" s="60" t="n">
        <x:v>631</x:v>
      </x:c>
      <x:c r="U62" s="52" t="str">
        <x:v>OpenAI API Changelog</x:v>
      </x:c>
      <x:c r="V62" s="52" t="str">
        <x:v>https://developers.openai.com/api/docs/changelog</x:v>
      </x:c>
      <x:c r="W62" s="52" t="str">
        <x:v>official_changelog</x:v>
      </x:c>
      <x:c r="X62" s="52" t="str">
        <x:v>complete</x:v>
      </x:c>
      <x:c r="Y62" s="52" t="str">
        <x:v>high</x:v>
      </x:c>
      <x:c r="Z62" s="52" t="str">
        <x:v>developer_platform | launch | OpenAI API Platform | api-platform | update</x:v>
      </x:c>
      <x:c r="AA62" s="52" t="n">
        <x:v>1</x:v>
      </x:c>
      <x:c r="AB62" s="53" t="b">
        <x:v>0</x:v>
      </x:c>
    </x:row>
    <x:row r="63" ht="42" customHeight="1">
      <x:c r="A63" s="57" t="n">
        <x:v>45498</x:v>
      </x:c>
      <x:c r="B63" s="52" t="str">
        <x:v>evt-20240725-searchgpt-prototype</x:v>
      </x:c>
      <x:c r="C63" s="60" t="n">
        <x:v>2024</x:v>
      </x:c>
      <x:c r="D63" s="52" t="str">
        <x:v>Q3</x:v>
      </x:c>
      <x:c r="E63" s="52" t="str">
        <x:v>Omni &amp; Reasoning</x:v>
      </x:c>
      <x:c r="F63" s="52" t="str">
        <x:v>search_commerce</x:v>
      </x:c>
      <x:c r="G63" s="52" t="str">
        <x:v>Commerce Bazaar</x:v>
      </x:c>
      <x:c r="H63" s="52" t="n">
        <x:v>6</x:v>
      </x:c>
      <x:c r="I63" s="52" t="str">
        <x:v>$</x:v>
      </x:c>
      <x:c r="J63" s="52" t="str">
        <x:v>SearchGPT</x:v>
      </x:c>
      <x:c r="K63" s="52" t="str">
        <x:v>launch</x:v>
      </x:c>
      <x:c r="L63" s="52" t="str">
        <x:v>research_preview</x:v>
      </x:c>
      <x:c r="M63" s="63" t="str">
        <x:v>SearchGPT prototype</x:v>
      </x:c>
      <x:c r="N63" s="63" t="str">
        <x:v>SearchGPT 原型</x:v>
      </x:c>
      <x:c r="O63" s="63" t="str">
        <x:v>OpenAI launched a temporary search prototype to a small group of users and publishers, combining conversational models with timely web answers and explicit source links.</x:v>
      </x:c>
      <x:c r="P63" s="63" t="str">
        <x:v>OpenAI 向少量使用者與出版商推出暫時性的搜尋原型，結合對話模型、即時網路答案與清楚的來源連結。</x:v>
      </x:c>
      <x:c r="Q63" s="60" t="n">
        <x:v>4</x:v>
      </x:c>
      <x:c r="R63" s="60" t="str">
        <x:v>major</x:v>
      </x:c>
      <x:c r="S63" s="60" t="n">
        <x:v>1758</x:v>
      </x:c>
      <x:c r="T63" s="60" t="n">
        <x:v>1063</x:v>
      </x:c>
      <x:c r="U63" s="52" t="str">
        <x:v>SearchGPT Prototype</x:v>
      </x:c>
      <x:c r="V63" s="52" t="str">
        <x:v>https://openai.com/index/searchgpt-prototype/</x:v>
      </x:c>
      <x:c r="W63" s="52" t="str">
        <x:v>launch_post</x:v>
      </x:c>
      <x:c r="X63" s="52" t="str">
        <x:v>complete</x:v>
      </x:c>
      <x:c r="Y63" s="52" t="str">
        <x:v>high</x:v>
      </x:c>
      <x:c r="Z63" s="52" t="str">
        <x:v>search_commerce | launch | SearchGPT | searchgpt | search | publishers | prototype</x:v>
      </x:c>
      <x:c r="AA63" s="52" t="n">
        <x:v>1</x:v>
      </x:c>
      <x:c r="AB63" s="53" t="b">
        <x:v>0</x:v>
      </x:c>
    </x:row>
    <x:row r="64" ht="42" customHeight="1">
      <x:c r="A64" s="57" t="n">
        <x:v>45510</x:v>
      </x:c>
      <x:c r="B64" s="52" t="str">
        <x:v>evt-20240806-launched-structured-outputs</x:v>
      </x:c>
      <x:c r="C64" s="60" t="n">
        <x:v>2024</x:v>
      </x:c>
      <x:c r="D64" s="52" t="str">
        <x:v>Q3</x:v>
      </x:c>
      <x:c r="E64" s="52" t="str">
        <x:v>Omni &amp; Reasoning</x:v>
      </x:c>
      <x:c r="F64" s="52" t="str">
        <x:v>models_reasoning</x:v>
      </x:c>
      <x:c r="G64" s="52" t="str">
        <x:v>Model Mountains</x:v>
      </x:c>
      <x:c r="H64" s="52" t="n">
        <x:v>1</x:v>
      </x:c>
      <x:c r="I64" s="52" t="str">
        <x:v>^</x:v>
      </x:c>
      <x:c r="J64" s="52" t="str">
        <x:v>Model Platform</x:v>
      </x:c>
      <x:c r="K64" s="52" t="str">
        <x:v>model_release</x:v>
      </x:c>
      <x:c r="L64" s="52" t="str">
        <x:v>active</x:v>
      </x:c>
      <x:c r="M64" s="63" t="str">
        <x:v>Launched Structured Outputs</x:v>
      </x:c>
      <x:c r="N64" s="63" t="str">
        <x:v>API 推出 Structured Outputs</x:v>
      </x:c>
      <x:c r="O64" s="63" t="str">
        <x:v>Launched Structured Outputs —model outputs now reliably adhere to developer supplied JSON Schemas. Released gpt-4o-2024-08-06 , our newest model in the gpt-4o series.</x:v>
      </x:c>
      <x:c r="P64" s="63" t="str">
        <x:v>API 推出 Structured Outputs。OpenAI 將此列為 2024-08-06 的更新；重點涉及平台功能與可用性，模型、端點與參數名稱依官方英文保留。</x:v>
      </x:c>
      <x:c r="Q64" s="60" t="n">
        <x:v>4</x:v>
      </x:c>
      <x:c r="R64" s="60" t="str">
        <x:v>major</x:v>
      </x:c>
      <x:c r="S64" s="60" t="n">
        <x:v>1789</x:v>
      </x:c>
      <x:c r="T64" s="60" t="n">
        <x:v>340</x:v>
      </x:c>
      <x:c r="U64" s="52" t="str">
        <x:v>OpenAI API Changelog</x:v>
      </x:c>
      <x:c r="V64" s="52" t="str">
        <x:v>https://developers.openai.com/api/docs/changelog</x:v>
      </x:c>
      <x:c r="W64" s="52" t="str">
        <x:v>official_changelog</x:v>
      </x:c>
      <x:c r="X64" s="52" t="str">
        <x:v>complete</x:v>
      </x:c>
      <x:c r="Y64" s="52" t="str">
        <x:v>high</x:v>
      </x:c>
      <x:c r="Z64" s="52" t="str">
        <x:v>models_reasoning | model_release | Model Platform | api | models | update</x:v>
      </x:c>
      <x:c r="AA64" s="52" t="n">
        <x:v>1</x:v>
      </x:c>
      <x:c r="AB64" s="53" t="b">
        <x:v>0</x:v>
      </x:c>
    </x:row>
    <x:row r="65" ht="42" customHeight="1">
      <x:c r="A65" s="57" t="n">
        <x:v>45519</x:v>
      </x:c>
      <x:c r="B65" s="52" t="str">
        <x:v>evt-20240815-released-dynamic-model-for-chatgpt-4o-latest</x:v>
      </x:c>
      <x:c r="C65" s="60" t="n">
        <x:v>2024</x:v>
      </x:c>
      <x:c r="D65" s="52" t="str">
        <x:v>Q3</x:v>
      </x:c>
      <x:c r="E65" s="52" t="str">
        <x:v>Omni &amp; Reasoning</x:v>
      </x:c>
      <x:c r="F65" s="52" t="str">
        <x:v>models_reasoning</x:v>
      </x:c>
      <x:c r="G65" s="52" t="str">
        <x:v>Model Mountains</x:v>
      </x:c>
      <x:c r="H65" s="52" t="n">
        <x:v>1</x:v>
      </x:c>
      <x:c r="I65" s="52" t="str">
        <x:v>^</x:v>
      </x:c>
      <x:c r="J65" s="52" t="str">
        <x:v>Model Platform</x:v>
      </x:c>
      <x:c r="K65" s="52" t="str">
        <x:v>model_release</x:v>
      </x:c>
      <x:c r="L65" s="52" t="str">
        <x:v>active</x:v>
      </x:c>
      <x:c r="M65" s="63" t="str">
        <x:v>Released dynamic model for chatgpt-4o-latest</x:v>
      </x:c>
      <x:c r="N65" s="63" t="str">
        <x:v>模型發布：Model Platform</x:v>
      </x:c>
      <x:c r="O65" s="63" t="str">
        <x:v>Released dynamic model for chatgpt-4o-latest —this model will point to the latest GPT-4o model used by ChatGPT.</x:v>
      </x:c>
      <x:c r="P65" s="63" t="str">
        <x:v>推出：dynamic 模型 for chatgpt-4o-latest —this 模型 will point to latest GPT-4o 模型 used by ChatGPT。OpenAI 將此列為 2024-08-15 的更新；重點涉及平台功能與可用性，模型、端點與參數名稱依官方英文保留。</x:v>
      </x:c>
      <x:c r="Q65" s="60" t="n">
        <x:v>4</x:v>
      </x:c>
      <x:c r="R65" s="60" t="str">
        <x:v>major</x:v>
      </x:c>
      <x:c r="S65" s="60" t="n">
        <x:v>1812</x:v>
      </x:c>
      <x:c r="T65" s="60" t="n">
        <x:v>349</x:v>
      </x:c>
      <x:c r="U65" s="52" t="str">
        <x:v>OpenAI API Changelog</x:v>
      </x:c>
      <x:c r="V65" s="52" t="str">
        <x:v>https://developers.openai.com/api/docs/changelog</x:v>
      </x:c>
      <x:c r="W65" s="52" t="str">
        <x:v>official_changelog</x:v>
      </x:c>
      <x:c r="X65" s="52" t="str">
        <x:v>complete</x:v>
      </x:c>
      <x:c r="Y65" s="52" t="str">
        <x:v>high</x:v>
      </x:c>
      <x:c r="Z65" s="52" t="str">
        <x:v>models_reasoning | model_release | Model Platform | api | models | update</x:v>
      </x:c>
      <x:c r="AA65" s="52" t="n">
        <x:v>1</x:v>
      </x:c>
      <x:c r="AB65" s="53" t="b">
        <x:v>0</x:v>
      </x:c>
    </x:row>
    <x:row r="66" ht="42" customHeight="1">
      <x:c r="A66" s="57" t="n">
        <x:v>45524</x:v>
      </x:c>
      <x:c r="B66" s="52" t="str">
        <x:v>evt-20240820-ga-release-for-gpt-4o-2024-08-06-fine-tuning</x:v>
      </x:c>
      <x:c r="C66" s="60" t="n">
        <x:v>2024</x:v>
      </x:c>
      <x:c r="D66" s="52" t="str">
        <x:v>Q3</x:v>
      </x:c>
      <x:c r="E66" s="52" t="str">
        <x:v>Omni &amp; Reasoning</x:v>
      </x:c>
      <x:c r="F66" s="52" t="str">
        <x:v>developer_platform</x:v>
      </x:c>
      <x:c r="G66" s="52" t="str">
        <x:v>Toolsmith Harbor</x:v>
      </x:c>
      <x:c r="H66" s="52" t="n">
        <x:v>3</x:v>
      </x:c>
      <x:c r="I66" s="52" t="str">
        <x:v>#</x:v>
      </x:c>
      <x:c r="J66" s="52" t="str">
        <x:v>Fine-tuning API</x:v>
      </x:c>
      <x:c r="K66" s="52" t="str">
        <x:v>model_release</x:v>
      </x:c>
      <x:c r="L66" s="52" t="str">
        <x:v>general_availability</x:v>
      </x:c>
      <x:c r="M66" s="63" t="str">
        <x:v>GA release for gpt-4o-2024-08-06 fine-tuning</x:v>
      </x:c>
      <x:c r="N66" s="63" t="str">
        <x:v>模型發布：Fine-tuning API</x:v>
      </x:c>
      <x:c r="O66" s="63" t="str">
        <x:v>GA release for gpt-4o-2024-08-06 fine-tuning —all API users can now fine-tune the latest GPT-4o model.</x:v>
      </x:c>
      <x:c r="P66" s="63" t="str">
        <x:v>API 更新：GA release for gpt-4o-2024-08-06 fine-tuning —all API users can now fine-tune latest GPT-4o 模型。OpenAI 將此列為 2024-08-20 的功能；重點涉及模型微調，模型、端點與參數名稱依官方英文保留。</x:v>
      </x:c>
      <x:c r="Q66" s="60" t="n">
        <x:v>4</x:v>
      </x:c>
      <x:c r="R66" s="60" t="str">
        <x:v>major</x:v>
      </x:c>
      <x:c r="S66" s="60" t="n">
        <x:v>1825</x:v>
      </x:c>
      <x:c r="T66" s="60" t="n">
        <x:v>635</x:v>
      </x:c>
      <x:c r="U66" s="52" t="str">
        <x:v>OpenAI API Changelog</x:v>
      </x:c>
      <x:c r="V66" s="52" t="str">
        <x:v>https://developers.openai.com/api/docs/changelog</x:v>
      </x:c>
      <x:c r="W66" s="52" t="str">
        <x:v>official_changelog</x:v>
      </x:c>
      <x:c r="X66" s="52" t="str">
        <x:v>complete</x:v>
      </x:c>
      <x:c r="Y66" s="52" t="str">
        <x:v>high</x:v>
      </x:c>
      <x:c r="Z66" s="52" t="str">
        <x:v>developer_platform | model_release | Fine-tuning API | custom-models | feature | fine-tuning</x:v>
      </x:c>
      <x:c r="AA66" s="52" t="n">
        <x:v>1</x:v>
      </x:c>
      <x:c r="AB66" s="53" t="b">
        <x:v>0</x:v>
      </x:c>
    </x:row>
    <x:row r="67" ht="42" customHeight="1">
      <x:c r="A67" s="57" t="n">
        <x:v>45540</x:v>
      </x:c>
      <x:c r="B67" s="52" t="str">
        <x:v>evt-20240905-memory-expands-across-chatgpt-plans</x:v>
      </x:c>
      <x:c r="C67" s="60" t="n">
        <x:v>2024</x:v>
      </x:c>
      <x:c r="D67" s="52" t="str">
        <x:v>Q3</x:v>
      </x:c>
      <x:c r="E67" s="52" t="str">
        <x:v>Omni &amp; Reasoning</x:v>
      </x:c>
      <x:c r="F67" s="52" t="str">
        <x:v>memory_knowledge</x:v>
      </x:c>
      <x:c r="G67" s="52" t="str">
        <x:v>Memory Forest</x:v>
      </x:c>
      <x:c r="H67" s="52" t="n">
        <x:v>5</x:v>
      </x:c>
      <x:c r="I67" s="52" t="str">
        <x:v>&amp;</x:v>
      </x:c>
      <x:c r="J67" s="52" t="str">
        <x:v>ChatGPT Memory</x:v>
      </x:c>
      <x:c r="K67" s="52" t="str">
        <x:v>availability</x:v>
      </x:c>
      <x:c r="L67" s="52" t="str">
        <x:v>general_availability</x:v>
      </x:c>
      <x:c r="M67" s="63" t="str">
        <x:v>Memory expands across ChatGPT plans</x:v>
      </x:c>
      <x:c r="N67" s="63" t="str">
        <x:v>記憶功能擴展至各 ChatGPT 方案</x:v>
      </x:c>
      <x:c r="O67" s="63" t="str">
        <x:v>OpenAI expanded Memory to Free, Plus, Team, and Enterprise users and added visible memory-update notices with direct access to memory management.</x:v>
      </x:c>
      <x:c r="P67" s="63" t="str">
        <x:v>OpenAI 將記憶擴展至 Free、Plus、Team 與 Enterprise，並新增可見的記憶更新提示與直接管理入口。</x:v>
      </x:c>
      <x:c r="Q67" s="60" t="n">
        <x:v>4</x:v>
      </x:c>
      <x:c r="R67" s="60" t="str">
        <x:v>major</x:v>
      </x:c>
      <x:c r="S67" s="60" t="n">
        <x:v>1866</x:v>
      </x:c>
      <x:c r="T67" s="60" t="n">
        <x:v>937</x:v>
      </x:c>
      <x:c r="U67" s="52" t="str">
        <x:v>Memory and new controls for ChatGPT</x:v>
      </x:c>
      <x:c r="V67" s="52" t="str">
        <x:v>https://openai.com/index/memory-and-new-controls-for-chatgpt/</x:v>
      </x:c>
      <x:c r="W67" s="52" t="str">
        <x:v>product_post_update</x:v>
      </x:c>
      <x:c r="X67" s="52" t="str">
        <x:v>complete</x:v>
      </x:c>
      <x:c r="Y67" s="52" t="str">
        <x:v>high</x:v>
      </x:c>
      <x:c r="Z67" s="52" t="str">
        <x:v>memory_knowledge | availability | ChatGPT Memory | chatgpt | memory | free | enterprise</x:v>
      </x:c>
      <x:c r="AA67" s="52" t="n">
        <x:v>1</x:v>
      </x:c>
      <x:c r="AB67" s="53" t="b">
        <x:v>0</x:v>
      </x:c>
    </x:row>
    <x:row r="68" ht="42" customHeight="1">
      <x:c r="A68" s="57" t="n">
        <x:v>45547</x:v>
      </x:c>
      <x:c r="B68" s="52" t="str">
        <x:v>evt-20240912-introducing-openai-o1-mini</x:v>
      </x:c>
      <x:c r="C68" s="60" t="n">
        <x:v>2024</x:v>
      </x:c>
      <x:c r="D68" s="52" t="str">
        <x:v>Q3</x:v>
      </x:c>
      <x:c r="E68" s="52" t="str">
        <x:v>Omni &amp; Reasoning</x:v>
      </x:c>
      <x:c r="F68" s="52" t="str">
        <x:v>models_reasoning</x:v>
      </x:c>
      <x:c r="G68" s="52" t="str">
        <x:v>Model Mountains</x:v>
      </x:c>
      <x:c r="H68" s="52" t="n">
        <x:v>1</x:v>
      </x:c>
      <x:c r="I68" s="52" t="str">
        <x:v>^</x:v>
      </x:c>
      <x:c r="J68" s="52" t="str">
        <x:v>OpenAI o1-mini</x:v>
      </x:c>
      <x:c r="K68" s="52" t="str">
        <x:v>model_release</x:v>
      </x:c>
      <x:c r="L68" s="52" t="str">
        <x:v>research_preview</x:v>
      </x:c>
      <x:c r="M68" s="63" t="str">
        <x:v>Introducing OpenAI o1-mini</x:v>
      </x:c>
      <x:c r="N68" s="63" t="str">
        <x:v>推出 OpenAI o1-mini</x:v>
      </x:c>
      <x:c r="O68" s="63" t="str">
        <x:v>OpenAI released o1-mini as a faster, cheaper reasoning model focused especially on coding, initially available alongside o1-preview to ChatGPT Plus and Team users.</x:v>
      </x:c>
      <x:c r="P68" s="63" t="str">
        <x:v>OpenAI 發布速度更快、成本更低且特別聚焦程式工作的推理模型 o1-mini，首波與 o1-preview 一同向 ChatGPT Plus 與 Team 開放。</x:v>
      </x:c>
      <x:c r="Q68" s="60" t="n">
        <x:v>5</x:v>
      </x:c>
      <x:c r="R68" s="60" t="str">
        <x:v>landmark</x:v>
      </x:c>
      <x:c r="S68" s="60" t="n">
        <x:v>1883</x:v>
      </x:c>
      <x:c r="T68" s="60" t="n">
        <x:v>298</x:v>
      </x:c>
      <x:c r="U68" s="52" t="str">
        <x:v>Introducing OpenAI o1-preview</x:v>
      </x:c>
      <x:c r="V68" s="52" t="str">
        <x:v>https://openai.com/index/introducing-openai-o1-preview/</x:v>
      </x:c>
      <x:c r="W68" s="52" t="str">
        <x:v>model_release_post</x:v>
      </x:c>
      <x:c r="X68" s="52" t="str">
        <x:v>complete</x:v>
      </x:c>
      <x:c r="Y68" s="52" t="str">
        <x:v>high</x:v>
      </x:c>
      <x:c r="Z68" s="52" t="str">
        <x:v>models_reasoning | model_release | OpenAI o1-mini | o1-mini | reasoning | coding | small-model</x:v>
      </x:c>
      <x:c r="AA68" s="52" t="n">
        <x:v>1</x:v>
      </x:c>
      <x:c r="AB68" s="53" t="b">
        <x:v>0</x:v>
      </x:c>
    </x:row>
    <x:row r="69" ht="42" customHeight="1">
      <x:c r="A69" s="57" t="n">
        <x:v>45547</x:v>
      </x:c>
      <x:c r="B69" s="52" t="str">
        <x:v>evt-20240912-introducing-openai-o1-preview</x:v>
      </x:c>
      <x:c r="C69" s="60" t="n">
        <x:v>2024</x:v>
      </x:c>
      <x:c r="D69" s="52" t="str">
        <x:v>Q3</x:v>
      </x:c>
      <x:c r="E69" s="52" t="str">
        <x:v>Omni &amp; Reasoning</x:v>
      </x:c>
      <x:c r="F69" s="52" t="str">
        <x:v>models_reasoning</x:v>
      </x:c>
      <x:c r="G69" s="52" t="str">
        <x:v>Model Mountains</x:v>
      </x:c>
      <x:c r="H69" s="52" t="n">
        <x:v>1</x:v>
      </x:c>
      <x:c r="I69" s="52" t="str">
        <x:v>^</x:v>
      </x:c>
      <x:c r="J69" s="52" t="str">
        <x:v>OpenAI o1-preview</x:v>
      </x:c>
      <x:c r="K69" s="52" t="str">
        <x:v>model_release</x:v>
      </x:c>
      <x:c r="L69" s="52" t="str">
        <x:v>research_preview</x:v>
      </x:c>
      <x:c r="M69" s="63" t="str">
        <x:v>Introducing OpenAI o1-preview</x:v>
      </x:c>
      <x:c r="N69" s="63" t="str">
        <x:v>推出 OpenAI o1-preview</x:v>
      </x:c>
      <x:c r="O69" s="63" t="str">
        <x:v>OpenAI released the first preview of its reasoning model series in ChatGPT and the API, designed to spend more time thinking through difficult science, coding, and math problems.</x:v>
      </x:c>
      <x:c r="P69" s="63" t="str">
        <x:v>OpenAI 在 ChatGPT 與 API 發布首個推理模型系列預覽，設計上會花更多時間思考困難的科學、程式與數學問題。</x:v>
      </x:c>
      <x:c r="Q69" s="60" t="n">
        <x:v>4</x:v>
      </x:c>
      <x:c r="R69" s="60" t="str">
        <x:v>major</x:v>
      </x:c>
      <x:c r="S69" s="60" t="n">
        <x:v>1883</x:v>
      </x:c>
      <x:c r="T69" s="60" t="n">
        <x:v>289</x:v>
      </x:c>
      <x:c r="U69" s="52" t="str">
        <x:v>Introducing OpenAI o1-preview</x:v>
      </x:c>
      <x:c r="V69" s="52" t="str">
        <x:v>https://openai.com/index/introducing-openai-o1-preview/</x:v>
      </x:c>
      <x:c r="W69" s="52" t="str">
        <x:v>model_release_post</x:v>
      </x:c>
      <x:c r="X69" s="52" t="str">
        <x:v>complete</x:v>
      </x:c>
      <x:c r="Y69" s="52" t="str">
        <x:v>high</x:v>
      </x:c>
      <x:c r="Z69" s="52" t="str">
        <x:v>models_reasoning | model_release | OpenAI o1-preview | o1-preview | reasoning | chatgpt | model-release</x:v>
      </x:c>
      <x:c r="AA69" s="52" t="n">
        <x:v>1</x:v>
      </x:c>
      <x:c r="AB69" s="53" t="b">
        <x:v>0</x:v>
      </x:c>
    </x:row>
    <x:row r="70" ht="42" customHeight="1">
      <x:c r="A70" s="57" t="n">
        <x:v>45559</x:v>
      </x:c>
      <x:c r="B70" s="52" t="str">
        <x:v>evt-20240924-advanced-voice-mode</x:v>
      </x:c>
      <x:c r="C70" s="60" t="n">
        <x:v>2024</x:v>
      </x:c>
      <x:c r="D70" s="52" t="str">
        <x:v>Q3</x:v>
      </x:c>
      <x:c r="E70" s="52" t="str">
        <x:v>Omni &amp; Reasoning</x:v>
      </x:c>
      <x:c r="F70" s="52" t="str">
        <x:v>multimodal</x:v>
      </x:c>
      <x:c r="G70" s="52" t="str">
        <x:v>Multimodal Coast</x:v>
      </x:c>
      <x:c r="H70" s="52" t="n">
        <x:v>4</x:v>
      </x:c>
      <x:c r="I70" s="52" t="str">
        <x:v>~</x:v>
      </x:c>
      <x:c r="J70" s="52" t="str">
        <x:v>Advanced Voice Mode</x:v>
      </x:c>
      <x:c r="K70" s="52" t="str">
        <x:v>feature</x:v>
      </x:c>
      <x:c r="L70" s="52" t="str">
        <x:v>active</x:v>
      </x:c>
      <x:c r="M70" s="63" t="str">
        <x:v>Advanced Voice Mode</x:v>
      </x:c>
      <x:c r="N70" s="63" t="str">
        <x:v>功能更新：Advanced Voice Mode</x:v>
      </x:c>
      <x:c r="O70" s="63" t="str">
        <x:v>OpenAI began rolling GPT-4o-native Advanced Voice to Plus and Team users with low-latency conversation, nonverbal-cue awareness, and emotional expressiveness.</x:v>
      </x:c>
      <x:c r="P70" s="63" t="str">
        <x:v>OpenAI 開始向 Plus 與 Team 推出 GPT-4o 原生的 Advanced Voice，具低延遲對話、非語言線索感知與情緒表達。</x:v>
      </x:c>
      <x:c r="Q70" s="60" t="n">
        <x:v>4</x:v>
      </x:c>
      <x:c r="R70" s="60" t="str">
        <x:v>major</x:v>
      </x:c>
      <x:c r="S70" s="60" t="n">
        <x:v>1914</x:v>
      </x:c>
      <x:c r="T70" s="60" t="n">
        <x:v>730</x:v>
      </x:c>
      <x:c r="U70" s="52" t="str">
        <x:v>Model Release Notes</x:v>
      </x:c>
      <x:c r="V70" s="52" t="str">
        <x:v>https://help.openai.com/en/articles/9624314-model-release-notes</x:v>
      </x:c>
      <x:c r="W70" s="52" t="str">
        <x:v>help_center_release_notes</x:v>
      </x:c>
      <x:c r="X70" s="52" t="str">
        <x:v>parsed</x:v>
      </x:c>
      <x:c r="Y70" s="52" t="str">
        <x:v>high</x:v>
      </x:c>
      <x:c r="Z70" s="52" t="str">
        <x:v>multimodal | feature | Advanced Voice Mode | chatgpt | advanced-voice | gpt-4o | audio</x:v>
      </x:c>
      <x:c r="AA70" s="52" t="n">
        <x:v>1</x:v>
      </x:c>
      <x:c r="AB70" s="53" t="b">
        <x:v>0</x:v>
      </x:c>
    </x:row>
    <x:row r="71" ht="42" customHeight="1">
      <x:c r="A71" s="57" t="n">
        <x:v>45566</x:v>
      </x:c>
      <x:c r="B71" s="52" t="str">
        <x:v>evt-20241001-released-several-new-features-at-openai-devday-in-san-fran</x:v>
      </x:c>
      <x:c r="C71" s="60" t="n">
        <x:v>2024</x:v>
      </x:c>
      <x:c r="D71" s="52" t="str">
        <x:v>Q4</x:v>
      </x:c>
      <x:c r="E71" s="52" t="str">
        <x:v>Omni &amp; Reasoning</x:v>
      </x:c>
      <x:c r="F71" s="52" t="str">
        <x:v>multimodal</x:v>
      </x:c>
      <x:c r="G71" s="52" t="str">
        <x:v>Multimodal Coast</x:v>
      </x:c>
      <x:c r="H71" s="52" t="n">
        <x:v>4</x:v>
      </x:c>
      <x:c r="I71" s="52" t="str">
        <x:v>~</x:v>
      </x:c>
      <x:c r="J71" s="52" t="str">
        <x:v>Realtime &amp; Audio API</x:v>
      </x:c>
      <x:c r="K71" s="52" t="str">
        <x:v>model_release</x:v>
      </x:c>
      <x:c r="L71" s="52" t="str">
        <x:v>active</x:v>
      </x:c>
      <x:c r="M71" s="63" t="str">
        <x:v>Released several new features at OpenAI DevDay in San Francisco</x:v>
      </x:c>
      <x:c r="N71" s="63" t="str">
        <x:v>OpenAI DevDay API 與代理平台更新</x:v>
      </x:c>
      <x:c r="O71" s="63" t="str">
        <x:v>Released several new features at OpenAI DevDay in San Francisco : Realtime API : Build fast speech-to-speech experiences into your applications using a WebSockets interface. Model distillation : Platform for fine-tuning cost-efficient models with your outputs from a large frontier model. Image fine-tuning : Fine-tune GPT-4o with images and text to improve vision capabilities. Evals : Create and run custom evaluations to measure model…</x:v>
      </x:c>
      <x:c r="P71" s="63" t="str">
        <x:v>OpenAI DevDay API 與代理平台更新。OpenAI 將此列為 2024-10-01 的功能；重點涉及即時語音與音訊、圖像與影片、模型微調，模型、端點與參數名稱依官方英文保留。</x:v>
      </x:c>
      <x:c r="Q71" s="60" t="n">
        <x:v>4</x:v>
      </x:c>
      <x:c r="R71" s="60" t="str">
        <x:v>major</x:v>
      </x:c>
      <x:c r="S71" s="60" t="n">
        <x:v>1932</x:v>
      </x:c>
      <x:c r="T71" s="60" t="n">
        <x:v>759</x:v>
      </x:c>
      <x:c r="U71" s="52" t="str">
        <x:v>OpenAI API Changelog</x:v>
      </x:c>
      <x:c r="V71" s="52" t="str">
        <x:v>https://developers.openai.com/api/docs/changelog</x:v>
      </x:c>
      <x:c r="W71" s="52" t="str">
        <x:v>official_changelog</x:v>
      </x:c>
      <x:c r="X71" s="52" t="str">
        <x:v>complete</x:v>
      </x:c>
      <x:c r="Y71" s="52" t="str">
        <x:v>high</x:v>
      </x:c>
      <x:c r="Z71" s="52" t="str">
        <x:v>multimodal | model_release | Realtime &amp; Audio API | audio | feature | realtime</x:v>
      </x:c>
      <x:c r="AA71" s="52" t="n">
        <x:v>1</x:v>
      </x:c>
      <x:c r="AB71" s="53" t="b">
        <x:v>0</x:v>
      </x:c>
    </x:row>
    <x:row r="72" ht="42" customHeight="1">
      <x:c r="A72" s="57" t="n">
        <x:v>45582</x:v>
      </x:c>
      <x:c r="B72" s="52" t="str">
        <x:v>evt-20241017-early-chatgpt-windows-app</x:v>
      </x:c>
      <x:c r="C72" s="60" t="n">
        <x:v>2024</x:v>
      </x:c>
      <x:c r="D72" s="52" t="str">
        <x:v>Q4</x:v>
      </x:c>
      <x:c r="E72" s="52" t="str">
        <x:v>Omni &amp; Reasoning</x:v>
      </x:c>
      <x:c r="F72" s="52" t="str">
        <x:v>clients_surfaces</x:v>
      </x:c>
      <x:c r="G72" s="52" t="str">
        <x:v>Client Archipelago</x:v>
      </x:c>
      <x:c r="H72" s="52" t="n">
        <x:v>8</x:v>
      </x:c>
      <x:c r="I72" s="52" t="str">
        <x:v>+</x:v>
      </x:c>
      <x:c r="J72" s="52" t="str">
        <x:v>ChatGPT Windows</x:v>
      </x:c>
      <x:c r="K72" s="52" t="str">
        <x:v>launch</x:v>
      </x:c>
      <x:c r="L72" s="52" t="str">
        <x:v>research_preview</x:v>
      </x:c>
      <x:c r="M72" s="63" t="str">
        <x:v>Early ChatGPT Windows app</x:v>
      </x:c>
      <x:c r="N72" s="63" t="str">
        <x:v>ChatGPT Windows App 早期版本</x:v>
      </x:c>
      <x:c r="O72" s="63" t="str">
        <x:v>OpenAI released an early Windows app for Plus, Team, Enterprise and Edu, including an Alt+Space companion window.</x:v>
      </x:c>
      <x:c r="P72" s="63" t="str">
        <x:v>OpenAI 向 Plus、Team、Enterprise 與 Edu 推出 Windows App 搶先版，包含 Alt-Space Companion Window。</x:v>
      </x:c>
      <x:c r="Q72" s="60" t="n">
        <x:v>5</x:v>
      </x:c>
      <x:c r="R72" s="60" t="str">
        <x:v>landmark</x:v>
      </x:c>
      <x:c r="S72" s="60" t="n">
        <x:v>1973</x:v>
      </x:c>
      <x:c r="T72" s="60" t="n">
        <x:v>1335</x:v>
      </x:c>
      <x:c r="U72" s="52" t="str">
        <x:v>Windows App — Release Notes</x:v>
      </x:c>
      <x:c r="V72" s="52" t="str">
        <x:v>https://help.openai.com/en/articles/10003026-windows-app-release-notes</x:v>
      </x:c>
      <x:c r="W72" s="52" t="str">
        <x:v>help_center_release_notes</x:v>
      </x:c>
      <x:c r="X72" s="52" t="str">
        <x:v>parsed</x:v>
      </x:c>
      <x:c r="Y72" s="52" t="str">
        <x:v>high</x:v>
      </x:c>
      <x:c r="Z72" s="52" t="str">
        <x:v>clients_surfaces | launch | ChatGPT Windows | desktop | windows</x:v>
      </x:c>
      <x:c r="AA72" s="52" t="n">
        <x:v>1</x:v>
      </x:c>
      <x:c r="AB72" s="53" t="b">
        <x:v>0</x:v>
      </x:c>
    </x:row>
    <x:row r="73" ht="42" customHeight="1">
      <x:c r="A73" s="57" t="n">
        <x:v>45582</x:v>
      </x:c>
      <x:c r="B73" s="52" t="str">
        <x:v>evt-20241017-released-new-gpt-4o-audio-preview-model-for-chat-completio</x:v>
      </x:c>
      <x:c r="C73" s="60" t="n">
        <x:v>2024</x:v>
      </x:c>
      <x:c r="D73" s="52" t="str">
        <x:v>Q4</x:v>
      </x:c>
      <x:c r="E73" s="52" t="str">
        <x:v>Omni &amp; Reasoning</x:v>
      </x:c>
      <x:c r="F73" s="52" t="str">
        <x:v>models_reasoning</x:v>
      </x:c>
      <x:c r="G73" s="52" t="str">
        <x:v>Model Mountains</x:v>
      </x:c>
      <x:c r="H73" s="52" t="n">
        <x:v>1</x:v>
      </x:c>
      <x:c r="I73" s="52" t="str">
        <x:v>^</x:v>
      </x:c>
      <x:c r="J73" s="52" t="str">
        <x:v>Model Platform</x:v>
      </x:c>
      <x:c r="K73" s="52" t="str">
        <x:v>model_release</x:v>
      </x:c>
      <x:c r="L73" s="52" t="str">
        <x:v>research_preview</x:v>
      </x:c>
      <x:c r="M73" s="63" t="str">
        <x:v>Released new gpt-4o-audio-preview model for chat completions</x:v>
      </x:c>
      <x:c r="N73" s="63" t="str">
        <x:v>模型發布：Model Platform</x:v>
      </x:c>
      <x:c r="O73" s="63" t="str">
        <x:v>Released new gpt-4o-audio-preview model for chat completions, which supports both audio inputs and outputs. Uses the same underlying model as the Realtime API .</x:v>
      </x:c>
      <x:c r="P73" s="63" t="str">
        <x:v>推出：全新 gpt-4o-audio-preview 模型 for chat completions, which supports both audio inputs and outputs。OpenAI 將此列為 2024-10-17 的功能；重點涉及即時語音與音訊，模型、端點與參數名稱依官方英文保留。</x:v>
      </x:c>
      <x:c r="Q73" s="60" t="n">
        <x:v>4</x:v>
      </x:c>
      <x:c r="R73" s="60" t="str">
        <x:v>major</x:v>
      </x:c>
      <x:c r="S73" s="60" t="n">
        <x:v>1973</x:v>
      </x:c>
      <x:c r="T73" s="60" t="n">
        <x:v>290</x:v>
      </x:c>
      <x:c r="U73" s="52" t="str">
        <x:v>OpenAI API Changelog</x:v>
      </x:c>
      <x:c r="V73" s="52" t="str">
        <x:v>https://developers.openai.com/api/docs/changelog</x:v>
      </x:c>
      <x:c r="W73" s="52" t="str">
        <x:v>official_changelog</x:v>
      </x:c>
      <x:c r="X73" s="52" t="str">
        <x:v>complete</x:v>
      </x:c>
      <x:c r="Y73" s="52" t="str">
        <x:v>high</x:v>
      </x:c>
      <x:c r="Z73" s="52" t="str">
        <x:v>models_reasoning | model_release | Model Platform | api | feature | models</x:v>
      </x:c>
      <x:c r="AA73" s="52" t="n">
        <x:v>1</x:v>
      </x:c>
      <x:c r="AB73" s="53" t="b">
        <x:v>0</x:v>
      </x:c>
    </x:row>
    <x:row r="74" ht="42" customHeight="1">
      <x:c r="A74" s="57" t="n">
        <x:v>45596</x:v>
      </x:c>
      <x:c r="B74" s="52" t="str">
        <x:v>evt-20241031-introducing-chatgpt-search</x:v>
      </x:c>
      <x:c r="C74" s="60" t="n">
        <x:v>2024</x:v>
      </x:c>
      <x:c r="D74" s="52" t="str">
        <x:v>Q4</x:v>
      </x:c>
      <x:c r="E74" s="52" t="str">
        <x:v>Omni &amp; Reasoning</x:v>
      </x:c>
      <x:c r="F74" s="52" t="str">
        <x:v>search_commerce</x:v>
      </x:c>
      <x:c r="G74" s="52" t="str">
        <x:v>Commerce Bazaar</x:v>
      </x:c>
      <x:c r="H74" s="52" t="n">
        <x:v>6</x:v>
      </x:c>
      <x:c r="I74" s="52" t="str">
        <x:v>$</x:v>
      </x:c>
      <x:c r="J74" s="52" t="str">
        <x:v>ChatGPT Search</x:v>
      </x:c>
      <x:c r="K74" s="52" t="str">
        <x:v>launch</x:v>
      </x:c>
      <x:c r="L74" s="52" t="str">
        <x:v>active</x:v>
      </x:c>
      <x:c r="M74" s="63" t="str">
        <x:v>Introducing ChatGPT search</x:v>
      </x:c>
      <x:c r="N74" s="63" t="str">
        <x:v>推出 ChatGPT Search</x:v>
      </x:c>
      <x:c r="O74" s="63" t="str">
        <x:v>OpenAI integrated web search into ChatGPT with automatic or manual activation, timely answers, source links, and new visual treatments for weather, stocks, sports, news, and maps.</x:v>
      </x:c>
      <x:c r="P74" s="63" t="str">
        <x:v>OpenAI 將網路搜尋整合進 ChatGPT，可自動或手動啟動，提供即時答案、來源連結，以及天氣、股票、運動、新聞與地圖的新視覺呈現。</x:v>
      </x:c>
      <x:c r="Q74" s="60" t="n">
        <x:v>5</x:v>
      </x:c>
      <x:c r="R74" s="60" t="str">
        <x:v>landmark</x:v>
      </x:c>
      <x:c r="S74" s="60" t="n">
        <x:v>2008</x:v>
      </x:c>
      <x:c r="T74" s="60" t="n">
        <x:v>1023</x:v>
      </x:c>
      <x:c r="U74" s="52" t="str">
        <x:v>Introducing ChatGPT search</x:v>
      </x:c>
      <x:c r="V74" s="52" t="str">
        <x:v>https://openai.com/index/introducing-chatgpt-search/</x:v>
      </x:c>
      <x:c r="W74" s="52" t="str">
        <x:v>launch_post</x:v>
      </x:c>
      <x:c r="X74" s="52" t="str">
        <x:v>complete</x:v>
      </x:c>
      <x:c r="Y74" s="52" t="str">
        <x:v>high</x:v>
      </x:c>
      <x:c r="Z74" s="52" t="str">
        <x:v>search_commerce | launch | ChatGPT Search | chatgpt | search | web | sources</x:v>
      </x:c>
      <x:c r="AA74" s="52" t="n">
        <x:v>1</x:v>
      </x:c>
      <x:c r="AB74" s="53" t="b">
        <x:v>0</x:v>
      </x:c>
    </x:row>
    <x:row r="75" ht="42" customHeight="1">
      <x:c r="A75" s="57" t="n">
        <x:v>45615</x:v>
      </x:c>
      <x:c r="B75" s="52" t="str">
        <x:v>evt-20241119-advanced-voice-for-chatgpt-web</x:v>
      </x:c>
      <x:c r="C75" s="60" t="n">
        <x:v>2024</x:v>
      </x:c>
      <x:c r="D75" s="52" t="str">
        <x:v>Q4</x:v>
      </x:c>
      <x:c r="E75" s="52" t="str">
        <x:v>Omni &amp; Reasoning</x:v>
      </x:c>
      <x:c r="F75" s="52" t="str">
        <x:v>multimodal</x:v>
      </x:c>
      <x:c r="G75" s="52" t="str">
        <x:v>Multimodal Coast</x:v>
      </x:c>
      <x:c r="H75" s="52" t="n">
        <x:v>4</x:v>
      </x:c>
      <x:c r="I75" s="52" t="str">
        <x:v>~</x:v>
      </x:c>
      <x:c r="J75" s="52" t="str">
        <x:v>Advanced Voice Mode</x:v>
      </x:c>
      <x:c r="K75" s="52" t="str">
        <x:v>availability</x:v>
      </x:c>
      <x:c r="L75" s="52" t="str">
        <x:v>active</x:v>
      </x:c>
      <x:c r="M75" s="63" t="str">
        <x:v>Advanced Voice for ChatGPT Web</x:v>
      </x:c>
      <x:c r="N75" s="63" t="str">
        <x:v>Advanced Voice 登陸 ChatGPT Web</x:v>
      </x:c>
      <x:c r="O75" s="63" t="str">
        <x:v>Starting today, we’re beginning to roll out Advanced Voice Mode on web (already available on mobile and desktop apps). You can now start a voice chat on chatgpt.com on your desktop and have real-time, natural conversations with ChatGPT while doing tasks like shopping, planning, writing, and brainstorming. We’re starting to roll out to all paid (Plus, Team, Enterprise, and Edu) users today, and expect it to take a few days.</x:v>
      </x:c>
      <x:c r="P75" s="63" t="str">
        <x:v>OpenAI 於 2024-11-19 為 ChatGPT Voice 調整方案、額度或計費；此節點依官方發布記錄整理，完整能力、適用方案與限制請見來源。</x:v>
      </x:c>
      <x:c r="Q75" s="60" t="n">
        <x:v>4</x:v>
      </x:c>
      <x:c r="R75" s="60" t="str">
        <x:v>major</x:v>
      </x:c>
      <x:c r="S75" s="60" t="n">
        <x:v>2057</x:v>
      </x:c>
      <x:c r="T75" s="60" t="n">
        <x:v>733</x:v>
      </x:c>
      <x:c r="U75" s="52" t="str">
        <x:v>ChatGPT — Release Notes</x:v>
      </x:c>
      <x:c r="V75" s="52" t="str">
        <x:v>https://help.openai.com/en/articles/6825453-chatgpt-release-notes</x:v>
      </x:c>
      <x:c r="W75" s="52" t="str">
        <x:v>help_center_release_notes</x:v>
      </x:c>
      <x:c r="X75" s="52" t="str">
        <x:v>parsed</x:v>
      </x:c>
      <x:c r="Y75" s="52" t="str">
        <x:v>high</x:v>
      </x:c>
      <x:c r="Z75" s="52" t="str">
        <x:v>multimodal | availability | Advanced Voice Mode | chatgpt | advanced-voice | web | paid-plans</x:v>
      </x:c>
      <x:c r="AA75" s="52" t="n">
        <x:v>1</x:v>
      </x:c>
      <x:c r="AB75" s="53" t="b">
        <x:v>0</x:v>
      </x:c>
    </x:row>
    <x:row r="76" ht="42" customHeight="1">
      <x:c r="A76" s="57" t="n">
        <x:v>45616</x:v>
      </x:c>
      <x:c r="B76" s="52" t="str">
        <x:v>evt-20241120-released-gpt-4o-2024-11-20</x:v>
      </x:c>
      <x:c r="C76" s="60" t="n">
        <x:v>2024</x:v>
      </x:c>
      <x:c r="D76" s="52" t="str">
        <x:v>Q4</x:v>
      </x:c>
      <x:c r="E76" s="52" t="str">
        <x:v>Omni &amp; Reasoning</x:v>
      </x:c>
      <x:c r="F76" s="52" t="str">
        <x:v>models_reasoning</x:v>
      </x:c>
      <x:c r="G76" s="52" t="str">
        <x:v>Model Mountains</x:v>
      </x:c>
      <x:c r="H76" s="52" t="n">
        <x:v>1</x:v>
      </x:c>
      <x:c r="I76" s="52" t="str">
        <x:v>^</x:v>
      </x:c>
      <x:c r="J76" s="52" t="str">
        <x:v>Model Platform</x:v>
      </x:c>
      <x:c r="K76" s="52" t="str">
        <x:v>model_release</x:v>
      </x:c>
      <x:c r="L76" s="52" t="str">
        <x:v>active</x:v>
      </x:c>
      <x:c r="M76" s="63" t="str">
        <x:v>Released gpt-4o-2024-11-20</x:v>
      </x:c>
      <x:c r="N76" s="63" t="str">
        <x:v>推出：gpt-4o-2024-11-20 , our newest 模型 in gpt-4o series.</x:v>
      </x:c>
      <x:c r="O76" s="63" t="str">
        <x:v>v1/chat/completions Released gpt-4o-2024-11-20, our newest model in the gpt-4o series.</x:v>
      </x:c>
      <x:c r="P76" s="63" t="str">
        <x:v>推出：gpt-4o-2024-11-20 , our newest 模型 in gpt-4o series。OpenAI 將此列為 2024-11-20 的更新；重點涉及平台功能與可用性，模型、端點與參數名稱依官方英文保留。</x:v>
      </x:c>
      <x:c r="Q76" s="60" t="n">
        <x:v>4</x:v>
      </x:c>
      <x:c r="R76" s="60" t="str">
        <x:v>major</x:v>
      </x:c>
      <x:c r="S76" s="60" t="n">
        <x:v>2059</x:v>
      </x:c>
      <x:c r="T76" s="60" t="n">
        <x:v>294</x:v>
      </x:c>
      <x:c r="U76" s="52" t="str">
        <x:v>OpenAI API Changelog</x:v>
      </x:c>
      <x:c r="V76" s="52" t="str">
        <x:v>https://developers.openai.com/api/docs/changelog</x:v>
      </x:c>
      <x:c r="W76" s="52" t="str">
        <x:v>official_changelog</x:v>
      </x:c>
      <x:c r="X76" s="52" t="str">
        <x:v>corroborated</x:v>
      </x:c>
      <x:c r="Y76" s="52" t="str">
        <x:v>high</x:v>
      </x:c>
      <x:c r="Z76" s="52" t="str">
        <x:v>models_reasoning | model_release | Model Platform | api | models | update</x:v>
      </x:c>
      <x:c r="AA76" s="52" t="n">
        <x:v>2</x:v>
      </x:c>
      <x:c r="AB76" s="53" t="b">
        <x:v>1</x:v>
      </x:c>
    </x:row>
    <x:row r="77" ht="42" customHeight="1">
      <x:c r="A77" s="57" t="n">
        <x:v>45618</x:v>
      </x:c>
      <x:c r="B77" s="52" t="str">
        <x:v>evt-20241122-chatgpt-web-sidebar-and-responsive-experience-redesign</x:v>
      </x:c>
      <x:c r="C77" s="60" t="n">
        <x:v>2024</x:v>
      </x:c>
      <x:c r="D77" s="52" t="str">
        <x:v>Q4</x:v>
      </x:c>
      <x:c r="E77" s="52" t="str">
        <x:v>Omni &amp; Reasoning</x:v>
      </x:c>
      <x:c r="F77" s="52" t="str">
        <x:v>clients_surfaces</x:v>
      </x:c>
      <x:c r="G77" s="52" t="str">
        <x:v>Client Archipelago</x:v>
      </x:c>
      <x:c r="H77" s="52" t="n">
        <x:v>8</x:v>
      </x:c>
      <x:c r="I77" s="52" t="str">
        <x:v>+</x:v>
      </x:c>
      <x:c r="J77" s="52" t="str">
        <x:v>ChatGPT Web</x:v>
      </x:c>
      <x:c r="K77" s="52" t="str">
        <x:v>feature</x:v>
      </x:c>
      <x:c r="L77" s="52" t="str">
        <x:v>active</x:v>
      </x:c>
      <x:c r="M77" s="63" t="str">
        <x:v>ChatGPT Web sidebar and responsive-experience redesign</x:v>
      </x:c>
      <x:c r="N77" s="63" t="str">
        <x:v>ChatGPT Web 側邊欄與響應式體驗改版</x:v>
      </x:c>
      <x:c r="O77" s="63" t="str">
        <x:v>OpenAI rolled out a floating sidebar, revised conversation and GPT navigation, an updated composer, improved Canvas coexistence, and a more robust mobile web experience.</x:v>
      </x:c>
      <x:c r="P77" s="63" t="str">
        <x:v>OpenAI 推出浮動側邊欄、改版的對話與 GPT 導覽、新輸入列、更佳 Canvas 並列顯示，以及更穩健的行動網頁體驗。</x:v>
      </x:c>
      <x:c r="Q77" s="60" t="n">
        <x:v>4</x:v>
      </x:c>
      <x:c r="R77" s="60" t="str">
        <x:v>major</x:v>
      </x:c>
      <x:c r="S77" s="60" t="n">
        <x:v>2065</x:v>
      </x:c>
      <x:c r="T77" s="60" t="n">
        <x:v>1320</x:v>
      </x:c>
      <x:c r="U77" s="52" t="str">
        <x:v>ChatGPT — Release Notes</x:v>
      </x:c>
      <x:c r="V77" s="52" t="str">
        <x:v>https://help.openai.com/en/articles/6825453-chatgpt-release-notes</x:v>
      </x:c>
      <x:c r="W77" s="52" t="str">
        <x:v>help_center_release_notes</x:v>
      </x:c>
      <x:c r="X77" s="52" t="str">
        <x:v>parsed</x:v>
      </x:c>
      <x:c r="Y77" s="52" t="str">
        <x:v>high</x:v>
      </x:c>
      <x:c r="Z77" s="52" t="str">
        <x:v>clients_surfaces | feature | ChatGPT Web | chatgpt | web | sidebar | redesign</x:v>
      </x:c>
      <x:c r="AA77" s="52" t="n">
        <x:v>1</x:v>
      </x:c>
      <x:c r="AB77" s="53" t="b">
        <x:v>0</x:v>
      </x:c>
    </x:row>
    <x:row r="78" ht="42" customHeight="1">
      <x:c r="A78" s="57" t="n">
        <x:v>45631</x:v>
      </x:c>
      <x:c r="B78" s="52" t="str">
        <x:v>evt-20241205-introducing-chatgpt-pro</x:v>
      </x:c>
      <x:c r="C78" s="60" t="n">
        <x:v>2024</x:v>
      </x:c>
      <x:c r="D78" s="52" t="str">
        <x:v>Q4</x:v>
      </x:c>
      <x:c r="E78" s="52" t="str">
        <x:v>Omni &amp; Reasoning</x:v>
      </x:c>
      <x:c r="F78" s="52" t="str">
        <x:v>chatgpt_core</x:v>
      </x:c>
      <x:c r="G78" s="52" t="str">
        <x:v>Origin Plaza</x:v>
      </x:c>
      <x:c r="H78" s="52" t="n">
        <x:v>0</x:v>
      </x:c>
      <x:c r="I78" s="52" t="str">
        <x:v>@</x:v>
      </x:c>
      <x:c r="J78" s="52" t="str">
        <x:v>ChatGPT Pro</x:v>
      </x:c>
      <x:c r="K78" s="52" t="str">
        <x:v>launch</x:v>
      </x:c>
      <x:c r="L78" s="52" t="str">
        <x:v>active</x:v>
      </x:c>
      <x:c r="M78" s="63" t="str">
        <x:v>Introducing ChatGPT Pro</x:v>
      </x:c>
      <x:c r="N78" s="63" t="str">
        <x:v>推出 ChatGPT Pro</x:v>
      </x:c>
      <x:c r="O78" s="63" t="str">
        <x:v>OpenAI launched a $200-per-month plan with unlimited access to o1, o1-mini, GPT-4o, and Advanced Voice plus access to o1 pro mode.</x:v>
      </x:c>
      <x:c r="P78" s="63" t="str">
        <x:v>OpenAI 推出每月 200 美元的方案，提供 o1、o1-mini、GPT-4o 與 Advanced Voice 無上限使用，以及 o1 pro mode。</x:v>
      </x:c>
      <x:c r="Q78" s="60" t="n">
        <x:v>5</x:v>
      </x:c>
      <x:c r="R78" s="60" t="str">
        <x:v>landmark</x:v>
      </x:c>
      <x:c r="S78" s="60" t="n">
        <x:v>2098</x:v>
      </x:c>
      <x:c r="T78" s="60" t="n">
        <x:v>132</x:v>
      </x:c>
      <x:c r="U78" s="52" t="str">
        <x:v>Introducing ChatGPT Pro</x:v>
      </x:c>
      <x:c r="V78" s="52" t="str">
        <x:v>https://openai.com/index/introducing-chatgpt-pro/</x:v>
      </x:c>
      <x:c r="W78" s="52" t="str">
        <x:v>launch_post</x:v>
      </x:c>
      <x:c r="X78" s="52" t="str">
        <x:v>complete</x:v>
      </x:c>
      <x:c r="Y78" s="52" t="str">
        <x:v>high</x:v>
      </x:c>
      <x:c r="Z78" s="52" t="str">
        <x:v>chatgpt_core | launch | ChatGPT Pro | chatgpt | pro | subscription | o1</x:v>
      </x:c>
      <x:c r="AA78" s="52" t="n">
        <x:v>1</x:v>
      </x:c>
      <x:c r="AB78" s="53" t="b">
        <x:v>0</x:v>
      </x:c>
    </x:row>
    <x:row r="79" ht="42" customHeight="1">
      <x:c r="A79" s="57" t="n">
        <x:v>45631</x:v>
      </x:c>
      <x:c r="B79" s="52" t="str">
        <x:v>evt-20241205-full-openai-o1-released-in-chatgpt</x:v>
      </x:c>
      <x:c r="C79" s="60" t="n">
        <x:v>2024</x:v>
      </x:c>
      <x:c r="D79" s="52" t="str">
        <x:v>Q4</x:v>
      </x:c>
      <x:c r="E79" s="52" t="str">
        <x:v>Omni &amp; Reasoning</x:v>
      </x:c>
      <x:c r="F79" s="52" t="str">
        <x:v>models_reasoning</x:v>
      </x:c>
      <x:c r="G79" s="52" t="str">
        <x:v>Model Mountains</x:v>
      </x:c>
      <x:c r="H79" s="52" t="n">
        <x:v>1</x:v>
      </x:c>
      <x:c r="I79" s="52" t="str">
        <x:v>^</x:v>
      </x:c>
      <x:c r="J79" s="52" t="str">
        <x:v>OpenAI o1</x:v>
      </x:c>
      <x:c r="K79" s="52" t="str">
        <x:v>model_release</x:v>
      </x:c>
      <x:c r="L79" s="52" t="str">
        <x:v>general_availability</x:v>
      </x:c>
      <x:c r="M79" s="63" t="str">
        <x:v>Full OpenAI o1 released in ChatGPT</x:v>
      </x:c>
      <x:c r="N79" s="63" t="str">
        <x:v>完整版 OpenAI o1 登陸 ChatGPT</x:v>
      </x:c>
      <x:c r="O79" s="63" t="str">
        <x:v>OpenAI made the production o1 model available in ChatGPT alongside the new Pro plan, presenting it as its most intelligent model for difficult reasoning tasks.</x:v>
      </x:c>
      <x:c r="P79" s="63" t="str">
        <x:v>OpenAI 隨新的 Pro 方案在 ChatGPT 中提供正式版 o1，並將其定位為處理困難推理工作的最智慧模型。</x:v>
      </x:c>
      <x:c r="Q79" s="60" t="n">
        <x:v>4</x:v>
      </x:c>
      <x:c r="R79" s="60" t="str">
        <x:v>major</x:v>
      </x:c>
      <x:c r="S79" s="60" t="n">
        <x:v>2098</x:v>
      </x:c>
      <x:c r="T79" s="60" t="n">
        <x:v>325</x:v>
      </x:c>
      <x:c r="U79" s="52" t="str">
        <x:v>Introducing ChatGPT Pro</x:v>
      </x:c>
      <x:c r="V79" s="52" t="str">
        <x:v>https://openai.com/index/introducing-chatgpt-pro/</x:v>
      </x:c>
      <x:c r="W79" s="52" t="str">
        <x:v>launch_post</x:v>
      </x:c>
      <x:c r="X79" s="52" t="str">
        <x:v>complete</x:v>
      </x:c>
      <x:c r="Y79" s="52" t="str">
        <x:v>high</x:v>
      </x:c>
      <x:c r="Z79" s="52" t="str">
        <x:v>models_reasoning | model_release | OpenAI o1 | o1 | reasoning | chatgpt | model-release</x:v>
      </x:c>
      <x:c r="AA79" s="52" t="n">
        <x:v>1</x:v>
      </x:c>
      <x:c r="AB79" s="53" t="b">
        <x:v>0</x:v>
      </x:c>
    </x:row>
    <x:row r="80" ht="42" customHeight="1">
      <x:c r="A80" s="57" t="n">
        <x:v>45635</x:v>
      </x:c>
      <x:c r="B80" s="52" t="str">
        <x:v>evt-20241209-sora-is-here</x:v>
      </x:c>
      <x:c r="C80" s="60" t="n">
        <x:v>2024</x:v>
      </x:c>
      <x:c r="D80" s="52" t="str">
        <x:v>Q4</x:v>
      </x:c>
      <x:c r="E80" s="52" t="str">
        <x:v>Omni &amp; Reasoning</x:v>
      </x:c>
      <x:c r="F80" s="52" t="str">
        <x:v>multimodal</x:v>
      </x:c>
      <x:c r="G80" s="52" t="str">
        <x:v>Multimodal Coast</x:v>
      </x:c>
      <x:c r="H80" s="52" t="n">
        <x:v>4</x:v>
      </x:c>
      <x:c r="I80" s="52" t="str">
        <x:v>~</x:v>
      </x:c>
      <x:c r="J80" s="52" t="str">
        <x:v>Sora Turbo</x:v>
      </x:c>
      <x:c r="K80" s="52" t="str">
        <x:v>launch</x:v>
      </x:c>
      <x:c r="L80" s="52" t="str">
        <x:v>general_availability</x:v>
      </x:c>
      <x:c r="M80" s="63" t="str">
        <x:v>Sora is here</x:v>
      </x:c>
      <x:c r="N80" s="63" t="str">
        <x:v>Sora 正式上線</x:v>
      </x:c>
      <x:c r="O80" s="63" t="str">
        <x:v>OpenAI moved Sora out of research preview by launching the faster Sora Turbo as a standalone product for Plus and Pro users, with storyboards, remixing, blending, and up to 1080p 20-second output.</x:v>
      </x:c>
      <x:c r="P80" s="63" t="str">
        <x:v>OpenAI 將 Sora 移出研究預覽，向 Plus 與 Pro 推出更快的獨立產品 Sora Turbo，具 Storyboard、Remix、Blend 與最高 1080p、20 秒輸出。</x:v>
      </x:c>
      <x:c r="Q80" s="60" t="n">
        <x:v>5</x:v>
      </x:c>
      <x:c r="R80" s="60" t="str">
        <x:v>landmark</x:v>
      </x:c>
      <x:c r="S80" s="60" t="n">
        <x:v>2108</x:v>
      </x:c>
      <x:c r="T80" s="60" t="n">
        <x:v>734</x:v>
      </x:c>
      <x:c r="U80" s="52" t="str">
        <x:v>Sora is here</x:v>
      </x:c>
      <x:c r="V80" s="52" t="str">
        <x:v>https://openai.com/index/sora-is-here/</x:v>
      </x:c>
      <x:c r="W80" s="52" t="str">
        <x:v>launch_post</x:v>
      </x:c>
      <x:c r="X80" s="52" t="str">
        <x:v>complete</x:v>
      </x:c>
      <x:c r="Y80" s="52" t="str">
        <x:v>high</x:v>
      </x:c>
      <x:c r="Z80" s="52" t="str">
        <x:v>multimodal | launch | Sora Turbo | sora | sora-turbo | video-generation | standalone-product</x:v>
      </x:c>
      <x:c r="AA80" s="52" t="n">
        <x:v>1</x:v>
      </x:c>
      <x:c r="AB80" s="53" t="b">
        <x:v>0</x:v>
      </x:c>
    </x:row>
    <x:row r="81" ht="42" customHeight="1">
      <x:c r="A81" s="57" t="n">
        <x:v>45636</x:v>
      </x:c>
      <x:c r="B81" s="52" t="str">
        <x:v>evt-20241210-canvas-becomes-default-in-gpt-4o-for-all-users</x:v>
      </x:c>
      <x:c r="C81" s="60" t="n">
        <x:v>2024</x:v>
      </x:c>
      <x:c r="D81" s="52" t="str">
        <x:v>Q4</x:v>
      </x:c>
      <x:c r="E81" s="52" t="str">
        <x:v>Omni &amp; Reasoning</x:v>
      </x:c>
      <x:c r="F81" s="52" t="str">
        <x:v>chatgpt_core</x:v>
      </x:c>
      <x:c r="G81" s="52" t="str">
        <x:v>Origin Plaza</x:v>
      </x:c>
      <x:c r="H81" s="52" t="n">
        <x:v>0</x:v>
      </x:c>
      <x:c r="I81" s="52" t="str">
        <x:v>@</x:v>
      </x:c>
      <x:c r="J81" s="52" t="str">
        <x:v>Canvas</x:v>
      </x:c>
      <x:c r="K81" s="52" t="str">
        <x:v>availability</x:v>
      </x:c>
      <x:c r="L81" s="52" t="str">
        <x:v>general_availability</x:v>
      </x:c>
      <x:c r="M81" s="63" t="str">
        <x:v>Canvas becomes default in GPT-4o for all users</x:v>
      </x:c>
      <x:c r="N81" s="63" t="str">
        <x:v>Canvas 成為所有使用者的 GPT-4o 預設能力</x:v>
      </x:c>
      <x:c r="O81" s="63" t="str">
        <x:v>OpenAI made Canvas available by default in GPT-4o to both free and paid ChatGPT users.</x:v>
      </x:c>
      <x:c r="P81" s="63" t="str">
        <x:v>OpenAI 將 Canvas 設為 GPT-4o 的預設可用能力，向 ChatGPT 免費與付費使用者全面開放。</x:v>
      </x:c>
      <x:c r="Q81" s="60" t="n">
        <x:v>4</x:v>
      </x:c>
      <x:c r="R81" s="60" t="str">
        <x:v>major</x:v>
      </x:c>
      <x:c r="S81" s="60" t="n">
        <x:v>2110</x:v>
      </x:c>
      <x:c r="T81" s="60" t="n">
        <x:v>155</x:v>
      </x:c>
      <x:c r="U81" s="52" t="str">
        <x:v>ChatGPT — Release Notes</x:v>
      </x:c>
      <x:c r="V81" s="52" t="str">
        <x:v>https://help.openai.com/en/articles/6825453-chatgpt-release-notes</x:v>
      </x:c>
      <x:c r="W81" s="52" t="str">
        <x:v>help_center_release_notes</x:v>
      </x:c>
      <x:c r="X81" s="52" t="str">
        <x:v>parsed</x:v>
      </x:c>
      <x:c r="Y81" s="52" t="str">
        <x:v>high</x:v>
      </x:c>
      <x:c r="Z81" s="52" t="str">
        <x:v>chatgpt_core | availability | Canvas | chatgpt | canvas | gpt-4o | free</x:v>
      </x:c>
      <x:c r="AA81" s="52" t="n">
        <x:v>1</x:v>
      </x:c>
      <x:c r="AB81" s="53" t="b">
        <x:v>0</x:v>
      </x:c>
    </x:row>
    <x:row r="82" ht="42" customHeight="1">
      <x:c r="A82" s="57" t="n">
        <x:v>45636</x:v>
      </x:c>
      <x:c r="B82" s="52" t="str">
        <x:v>evt-20241210-canvas</x:v>
      </x:c>
      <x:c r="C82" s="60" t="n">
        <x:v>2024</x:v>
      </x:c>
      <x:c r="D82" s="52" t="str">
        <x:v>Q4</x:v>
      </x:c>
      <x:c r="E82" s="52" t="str">
        <x:v>Omni &amp; Reasoning</x:v>
      </x:c>
      <x:c r="F82" s="52" t="str">
        <x:v>memory_knowledge</x:v>
      </x:c>
      <x:c r="G82" s="52" t="str">
        <x:v>Memory Forest</x:v>
      </x:c>
      <x:c r="H82" s="52" t="n">
        <x:v>5</x:v>
      </x:c>
      <x:c r="I82" s="52" t="str">
        <x:v>&amp;</x:v>
      </x:c>
      <x:c r="J82" s="52" t="str">
        <x:v>ChatGPT</x:v>
      </x:c>
      <x:c r="K82" s="52" t="str">
        <x:v>launch</x:v>
      </x:c>
      <x:c r="L82" s="52" t="str">
        <x:v>active</x:v>
      </x:c>
      <x:c r="M82" s="63" t="str">
        <x:v>Canvas</x:v>
      </x:c>
      <x:c r="N82" s="63" t="str">
        <x:v>推出：Canvas</x:v>
      </x:c>
      <x:c r="O82" s="63" t="str">
        <x:v>Today we made Canvas available in 4o by default for all users, Free and Paid. Additionally, we launched a number of new capabilities for canvas, including: Canvas in GPTs: Canvas can now be used with GPTs when enabled in the GPT creator. This toggle will be enabled for newly created GPTs by default.</x:v>
      </x:c>
      <x:c r="P82" s="63" t="str">
        <x:v>OpenAI 於 2024-12-10 為 ChatGPT 推出新產品或能力；此節點依官方發布記錄整理，完整能力、適用方案與限制請見來源。</x:v>
      </x:c>
      <x:c r="Q82" s="60" t="n">
        <x:v>4</x:v>
      </x:c>
      <x:c r="R82" s="60" t="str">
        <x:v>major</x:v>
      </x:c>
      <x:c r="S82" s="60" t="n">
        <x:v>2110</x:v>
      </x:c>
      <x:c r="T82" s="60" t="n">
        <x:v>886</x:v>
      </x:c>
      <x:c r="U82" s="52" t="str">
        <x:v>ChatGPT — Release Notes</x:v>
      </x:c>
      <x:c r="V82" s="52" t="str">
        <x:v>https://help.openai.com/en/articles/6825453-chatgpt-release-notes</x:v>
      </x:c>
      <x:c r="W82" s="52" t="str">
        <x:v>help_center_release_notes</x:v>
      </x:c>
      <x:c r="X82" s="52" t="str">
        <x:v>parsed</x:v>
      </x:c>
      <x:c r="Y82" s="52" t="str">
        <x:v>high</x:v>
      </x:c>
      <x:c r="Z82" s="52" t="str">
        <x:v>memory_knowledge | launch | ChatGPT</x:v>
      </x:c>
      <x:c r="AA82" s="52" t="n">
        <x:v>1</x:v>
      </x:c>
      <x:c r="AB82" s="53" t="b">
        <x:v>0</x:v>
      </x:c>
    </x:row>
    <x:row r="83" ht="42" customHeight="1">
      <x:c r="A83" s="57" t="n">
        <x:v>45636</x:v>
      </x:c>
      <x:c r="B83" s="52" t="str">
        <x:v>evt-20241210-canvas-gains-gpts-python-execution-and-shortcuts</x:v>
      </x:c>
      <x:c r="C83" s="60" t="n">
        <x:v>2024</x:v>
      </x:c>
      <x:c r="D83" s="52" t="str">
        <x:v>Q4</x:v>
      </x:c>
      <x:c r="E83" s="52" t="str">
        <x:v>Omni &amp; Reasoning</x:v>
      </x:c>
      <x:c r="F83" s="52" t="str">
        <x:v>developer_platform</x:v>
      </x:c>
      <x:c r="G83" s="52" t="str">
        <x:v>Toolsmith Harbor</x:v>
      </x:c>
      <x:c r="H83" s="52" t="n">
        <x:v>3</x:v>
      </x:c>
      <x:c r="I83" s="52" t="str">
        <x:v>#</x:v>
      </x:c>
      <x:c r="J83" s="52" t="str">
        <x:v>Canvas</x:v>
      </x:c>
      <x:c r="K83" s="52" t="str">
        <x:v>feature</x:v>
      </x:c>
      <x:c r="L83" s="52" t="str">
        <x:v>active</x:v>
      </x:c>
      <x:c r="M83" s="63" t="str">
        <x:v>Canvas gains GPTs, Python execution, and shortcuts</x:v>
      </x:c>
      <x:c r="N83" s="63" t="str">
        <x:v>Canvas 新增 GPT、Python 執行與捷徑</x:v>
      </x:c>
      <x:c r="O83" s="63" t="str">
        <x:v>Canvas gained optional use inside GPTs, Python code execution with automatic bug-fix attempts, paste-to-canvas shortcuts, and a toolbox entry.</x:v>
      </x:c>
      <x:c r="P83" s="63" t="str">
        <x:v>Canvas 新增在 GPT 中選用、Python 程式碼執行與自動修錯嘗試、貼上即開 Canvas 的捷徑，以及工具箱入口。</x:v>
      </x:c>
      <x:c r="Q83" s="60" t="n">
        <x:v>4</x:v>
      </x:c>
      <x:c r="R83" s="60" t="str">
        <x:v>major</x:v>
      </x:c>
      <x:c r="S83" s="60" t="n">
        <x:v>2110</x:v>
      </x:c>
      <x:c r="T83" s="60" t="n">
        <x:v>615</x:v>
      </x:c>
      <x:c r="U83" s="52" t="str">
        <x:v>ChatGPT — Release Notes</x:v>
      </x:c>
      <x:c r="V83" s="52" t="str">
        <x:v>https://help.openai.com/en/articles/6825453-chatgpt-release-notes</x:v>
      </x:c>
      <x:c r="W83" s="52" t="str">
        <x:v>help_center_release_notes</x:v>
      </x:c>
      <x:c r="X83" s="52" t="str">
        <x:v>parsed</x:v>
      </x:c>
      <x:c r="Y83" s="52" t="str">
        <x:v>high</x:v>
      </x:c>
      <x:c r="Z83" s="52" t="str">
        <x:v>developer_platform | feature | Canvas | chatgpt | canvas | python | gpts</x:v>
      </x:c>
      <x:c r="AA83" s="52" t="n">
        <x:v>1</x:v>
      </x:c>
      <x:c r="AB83" s="53" t="b">
        <x:v>0</x:v>
      </x:c>
    </x:row>
    <x:row r="84" ht="42" customHeight="1">
      <x:c r="A84" s="57" t="n">
        <x:v>45638</x:v>
      </x:c>
      <x:c r="B84" s="52" t="str">
        <x:v>evt-20241212-video-and-screen-sharing-in-advanced-voice</x:v>
      </x:c>
      <x:c r="C84" s="60" t="n">
        <x:v>2024</x:v>
      </x:c>
      <x:c r="D84" s="52" t="str">
        <x:v>Q4</x:v>
      </x:c>
      <x:c r="E84" s="52" t="str">
        <x:v>Omni &amp; Reasoning</x:v>
      </x:c>
      <x:c r="F84" s="52" t="str">
        <x:v>multimodal</x:v>
      </x:c>
      <x:c r="G84" s="52" t="str">
        <x:v>Multimodal Coast</x:v>
      </x:c>
      <x:c r="H84" s="52" t="n">
        <x:v>4</x:v>
      </x:c>
      <x:c r="I84" s="52" t="str">
        <x:v>~</x:v>
      </x:c>
      <x:c r="J84" s="52" t="str">
        <x:v>Advanced Voice Mode</x:v>
      </x:c>
      <x:c r="K84" s="52" t="str">
        <x:v>feature</x:v>
      </x:c>
      <x:c r="L84" s="52" t="str">
        <x:v>active</x:v>
      </x:c>
      <x:c r="M84" s="63" t="str">
        <x:v>Video and screen sharing in Advanced Voice</x:v>
      </x:c>
      <x:c r="N84" s="63" t="str">
        <x:v>Advanced Voice 支援視訊與螢幕分享</x:v>
      </x:c>
      <x:c r="O84" s="63" t="str">
        <x:v>OpenAI began rolling real-time video, screen sharing, and image uploads in Advanced Voice on mobile to Team and most Plus and Pro users outside several European regions.</x:v>
      </x:c>
      <x:c r="P84" s="63" t="str">
        <x:v>OpenAI 開始在行動版 Advanced Voice 向 Team 與多數 Plus、Pro 使用者推出即時視訊、螢幕分享與圖像上傳，部分歐洲地區除外。</x:v>
      </x:c>
      <x:c r="Q84" s="60" t="n">
        <x:v>4</x:v>
      </x:c>
      <x:c r="R84" s="60" t="str">
        <x:v>major</x:v>
      </x:c>
      <x:c r="S84" s="60" t="n">
        <x:v>2116</x:v>
      </x:c>
      <x:c r="T84" s="60" t="n">
        <x:v>726</x:v>
      </x:c>
      <x:c r="U84" s="52" t="str">
        <x:v>ChatGPT — Release Notes</x:v>
      </x:c>
      <x:c r="V84" s="52" t="str">
        <x:v>https://help.openai.com/en/articles/6825453-chatgpt-release-notes</x:v>
      </x:c>
      <x:c r="W84" s="52" t="str">
        <x:v>help_center_release_notes</x:v>
      </x:c>
      <x:c r="X84" s="52" t="str">
        <x:v>parsed</x:v>
      </x:c>
      <x:c r="Y84" s="52" t="str">
        <x:v>high</x:v>
      </x:c>
      <x:c r="Z84" s="52" t="str">
        <x:v>multimodal | feature | Advanced Voice Mode | chatgpt | advanced-voice | video | screen-share</x:v>
      </x:c>
      <x:c r="AA84" s="52" t="n">
        <x:v>1</x:v>
      </x:c>
      <x:c r="AB84" s="53" t="b">
        <x:v>0</x:v>
      </x:c>
    </x:row>
    <x:row r="85" ht="42" customHeight="1">
      <x:c r="A85" s="57" t="n">
        <x:v>45639</x:v>
      </x:c>
      <x:c r="B85" s="52" t="str">
        <x:v>evt-20241213-projects-in-chatgpt</x:v>
      </x:c>
      <x:c r="C85" s="60" t="n">
        <x:v>2024</x:v>
      </x:c>
      <x:c r="D85" s="52" t="str">
        <x:v>Q4</x:v>
      </x:c>
      <x:c r="E85" s="52" t="str">
        <x:v>Omni &amp; Reasoning</x:v>
      </x:c>
      <x:c r="F85" s="52" t="str">
        <x:v>memory_knowledge</x:v>
      </x:c>
      <x:c r="G85" s="52" t="str">
        <x:v>Memory Forest</x:v>
      </x:c>
      <x:c r="H85" s="52" t="n">
        <x:v>5</x:v>
      </x:c>
      <x:c r="I85" s="52" t="str">
        <x:v>&amp;</x:v>
      </x:c>
      <x:c r="J85" s="52" t="str">
        <x:v>ChatGPT Projects</x:v>
      </x:c>
      <x:c r="K85" s="52" t="str">
        <x:v>launch</x:v>
      </x:c>
      <x:c r="L85" s="52" t="str">
        <x:v>general_availability</x:v>
      </x:c>
      <x:c r="M85" s="63" t="str">
        <x:v>Projects in ChatGPT</x:v>
      </x:c>
      <x:c r="N85" s="63" t="str">
        <x:v>推出：ChatGPT Projects</x:v>
      </x:c>
      <x:c r="O85" s="63" t="str">
        <x:v>Projects provide a new way to group files and chats for personal use, simplifying the management of work that involves multiple chats. You can set custom instructions and upload files in your Projects, and any conversations in your Project share context with your uploaded files and custom instructions. Chats in Projects use GPT-4o and support the following features:</x:v>
      </x:c>
      <x:c r="P85" s="63" t="str">
        <x:v>OpenAI 向 Plus、Team 與 Pro 推出 Projects，可將檔案、聊天與自訂指示集中並共享專案上下文，支援 Canvas、資料分析、DALL-E 與 Search。</x:v>
      </x:c>
      <x:c r="Q85" s="60" t="n">
        <x:v>5</x:v>
      </x:c>
      <x:c r="R85" s="60" t="str">
        <x:v>landmark</x:v>
      </x:c>
      <x:c r="S85" s="60" t="n">
        <x:v>2118</x:v>
      </x:c>
      <x:c r="T85" s="60" t="n">
        <x:v>931</x:v>
      </x:c>
      <x:c r="U85" s="52" t="str">
        <x:v>ChatGPT — Release Notes</x:v>
      </x:c>
      <x:c r="V85" s="52" t="str">
        <x:v>https://help.openai.com/en/articles/6825453-chatgpt-release-notes</x:v>
      </x:c>
      <x:c r="W85" s="52" t="str">
        <x:v>help_center_release_notes</x:v>
      </x:c>
      <x:c r="X85" s="52" t="str">
        <x:v>parsed</x:v>
      </x:c>
      <x:c r="Y85" s="52" t="str">
        <x:v>high</x:v>
      </x:c>
      <x:c r="Z85" s="52" t="str">
        <x:v>memory_knowledge | launch | ChatGPT Projects | chatgpt | projects | files | context</x:v>
      </x:c>
      <x:c r="AA85" s="52" t="n">
        <x:v>1</x:v>
      </x:c>
      <x:c r="AB85" s="53" t="b">
        <x:v>0</x:v>
      </x:c>
    </x:row>
    <x:row r="86" ht="42" customHeight="1">
      <x:c r="A86" s="57" t="n">
        <x:v>45642</x:v>
      </x:c>
      <x:c r="B86" s="52" t="str">
        <x:v>evt-20241216-chatgpt-search-available-to-all-logged-in-users</x:v>
      </x:c>
      <x:c r="C86" s="60" t="n">
        <x:v>2024</x:v>
      </x:c>
      <x:c r="D86" s="52" t="str">
        <x:v>Q4</x:v>
      </x:c>
      <x:c r="E86" s="52" t="str">
        <x:v>Omni &amp; Reasoning</x:v>
      </x:c>
      <x:c r="F86" s="52" t="str">
        <x:v>search_commerce</x:v>
      </x:c>
      <x:c r="G86" s="52" t="str">
        <x:v>Commerce Bazaar</x:v>
      </x:c>
      <x:c r="H86" s="52" t="n">
        <x:v>6</x:v>
      </x:c>
      <x:c r="I86" s="52" t="str">
        <x:v>$</x:v>
      </x:c>
      <x:c r="J86" s="52" t="str">
        <x:v>ChatGPT Search</x:v>
      </x:c>
      <x:c r="K86" s="52" t="str">
        <x:v>availability</x:v>
      </x:c>
      <x:c r="L86" s="52" t="str">
        <x:v>general_availability</x:v>
      </x:c>
      <x:c r="M86" s="63" t="str">
        <x:v>ChatGPT Search available to all logged-in users</x:v>
      </x:c>
      <x:c r="N86" s="63" t="str">
        <x:v>ChatGPT Search 開放所有已登入使用者</x:v>
      </x:c>
      <x:c r="O86" s="63" t="str">
        <x:v>OpenAI expanded ChatGPT Search from paid plans to every logged-in user in regions where ChatGPT was available.</x:v>
      </x:c>
      <x:c r="P86" s="63" t="str">
        <x:v>OpenAI 將 ChatGPT Search 從付費方案擴展至 ChatGPT 可用地區的所有已登入使用者。</x:v>
      </x:c>
      <x:c r="Q86" s="60" t="n">
        <x:v>4</x:v>
      </x:c>
      <x:c r="R86" s="60" t="str">
        <x:v>major</x:v>
      </x:c>
      <x:c r="S86" s="60" t="n">
        <x:v>2126</x:v>
      </x:c>
      <x:c r="T86" s="60" t="n">
        <x:v>1036</x:v>
      </x:c>
      <x:c r="U86" s="52" t="str">
        <x:v>Introducing ChatGPT search</x:v>
      </x:c>
      <x:c r="V86" s="52" t="str">
        <x:v>https://openai.com/index/introducing-chatgpt-search/</x:v>
      </x:c>
      <x:c r="W86" s="52" t="str">
        <x:v>launch_post_update</x:v>
      </x:c>
      <x:c r="X86" s="52" t="str">
        <x:v>complete</x:v>
      </x:c>
      <x:c r="Y86" s="52" t="str">
        <x:v>high</x:v>
      </x:c>
      <x:c r="Z86" s="52" t="str">
        <x:v>search_commerce | availability | ChatGPT Search | chatgpt | search | free | logged-in</x:v>
      </x:c>
      <x:c r="AA86" s="52" t="n">
        <x:v>1</x:v>
      </x:c>
      <x:c r="AB86" s="53" t="b">
        <x:v>0</x:v>
      </x:c>
    </x:row>
    <x:row r="87" ht="42" customHeight="1">
      <x:c r="A87" s="57" t="n">
        <x:v>45643</x:v>
      </x:c>
      <x:c r="B87" s="52" t="str">
        <x:v>evt-20241217-added-new-models-for-o1-gpt-4o-realtime-gpt-4o-audio-and-m</x:v>
      </x:c>
      <x:c r="C87" s="60" t="n">
        <x:v>2024</x:v>
      </x:c>
      <x:c r="D87" s="52" t="str">
        <x:v>Q4</x:v>
      </x:c>
      <x:c r="E87" s="52" t="str">
        <x:v>Omni &amp; Reasoning</x:v>
      </x:c>
      <x:c r="F87" s="52" t="str">
        <x:v>multimodal</x:v>
      </x:c>
      <x:c r="G87" s="52" t="str">
        <x:v>Multimodal Coast</x:v>
      </x:c>
      <x:c r="H87" s="52" t="n">
        <x:v>4</x:v>
      </x:c>
      <x:c r="I87" s="52" t="str">
        <x:v>~</x:v>
      </x:c>
      <x:c r="J87" s="52" t="str">
        <x:v>Realtime &amp; Audio API</x:v>
      </x:c>
      <x:c r="K87" s="52" t="str">
        <x:v>model_release</x:v>
      </x:c>
      <x:c r="L87" s="52" t="str">
        <x:v>active</x:v>
      </x:c>
      <x:c r="M87" s="63" t="str">
        <x:v>Added new models for o1, gpt-4o-realtime, gpt-4o-audio and more.</x:v>
      </x:c>
      <x:c r="N87" s="63" t="str">
        <x:v>API 推出 o1‑preview 與 o1‑mini 推理模型</x:v>
      </x:c>
      <x:c r="O87" s="63" t="str">
        <x:v>Added new models for o1 , gpt-4o-realtime , gpt-4o-audio and more . Added WebRTC connection method for the Realtime API . Added reasoningeffort parameter for o1 models. Added developer message role for o1 model. Note that o1-preview and o1-mini do not support system or developer messages. Launched Preference Fine-tuning using Direct Preference Optimization (DPO) . Launched beta SDKs for Go and Java. Learn more . Added Realtime API su…</x:v>
      </x:c>
      <x:c r="P87" s="63" t="str">
        <x:v>API 推出 o1‑preview 與 o1‑mini 推理模型。OpenAI 將此列為 2024-12-17 的功能；重點涉及即時語音與音訊、模型微調，模型、端點與參數名稱依官方英文保留。</x:v>
      </x:c>
      <x:c r="Q87" s="60" t="n">
        <x:v>4</x:v>
      </x:c>
      <x:c r="R87" s="60" t="str">
        <x:v>major</x:v>
      </x:c>
      <x:c r="S87" s="60" t="n">
        <x:v>2128</x:v>
      </x:c>
      <x:c r="T87" s="60" t="n">
        <x:v>750</x:v>
      </x:c>
      <x:c r="U87" s="52" t="str">
        <x:v>OpenAI API Changelog</x:v>
      </x:c>
      <x:c r="V87" s="52" t="str">
        <x:v>https://developers.openai.com/api/docs/changelog</x:v>
      </x:c>
      <x:c r="W87" s="52" t="str">
        <x:v>official_changelog</x:v>
      </x:c>
      <x:c r="X87" s="52" t="str">
        <x:v>complete</x:v>
      </x:c>
      <x:c r="Y87" s="52" t="str">
        <x:v>high</x:v>
      </x:c>
      <x:c r="Z87" s="52" t="str">
        <x:v>multimodal | model_release | Realtime &amp; Audio API | audio | feature | realtime</x:v>
      </x:c>
      <x:c r="AA87" s="52" t="n">
        <x:v>1</x:v>
      </x:c>
      <x:c r="AB87" s="53" t="b">
        <x:v>0</x:v>
      </x:c>
    </x:row>
    <x:row r="88" ht="42" customHeight="1">
      <x:c r="A88" s="57" t="n">
        <x:v>45644</x:v>
      </x:c>
      <x:c r="B88" s="52" t="str">
        <x:v>evt-20241218-launched-admin-api-key-rotations</x:v>
      </x:c>
      <x:c r="C88" s="60" t="n">
        <x:v>2024</x:v>
      </x:c>
      <x:c r="D88" s="52" t="str">
        <x:v>Q4</x:v>
      </x:c>
      <x:c r="E88" s="52" t="str">
        <x:v>Omni &amp; Reasoning</x:v>
      </x:c>
      <x:c r="F88" s="52" t="str">
        <x:v>enterprise_vertical</x:v>
      </x:c>
      <x:c r="G88" s="52" t="str">
        <x:v>Enterprise Citadel</x:v>
      </x:c>
      <x:c r="H88" s="52" t="n">
        <x:v>7</x:v>
      </x:c>
      <x:c r="I88" s="52" t="str">
        <x:v>H</x:v>
      </x:c>
      <x:c r="J88" s="52" t="str">
        <x:v>API Platform Admin</x:v>
      </x:c>
      <x:c r="K88" s="52" t="str">
        <x:v>launch</x:v>
      </x:c>
      <x:c r="L88" s="52" t="str">
        <x:v>active</x:v>
      </x:c>
      <x:c r="M88" s="63" t="str">
        <x:v>Launched Admin API Key Rotations</x:v>
      </x:c>
      <x:c r="N88" s="63" t="str">
        <x:v>推出：Launched Admin API Key Rotations</x:v>
      </x:c>
      <x:c r="O88" s="63" t="str">
        <x:v>Launched Admin API Key Rotations , enabling customers to programmatically rotate their admin api keys. Updated Admin API Invites , enabling customers to programmatically invite users to projects at the same time they are invited to organizations.</x:v>
      </x:c>
      <x:c r="P88" s="63" t="str">
        <x:v>推出：Admin API Key Rotations , enabling customers to programmatically rotate their admin api keys。OpenAI 將此列為 2024-12-18 的功能；重點涉及企業管理控制，模型、端點與參數名稱依官方英文保留。</x:v>
      </x:c>
      <x:c r="Q88" s="60" t="n">
        <x:v>4</x:v>
      </x:c>
      <x:c r="R88" s="60" t="str">
        <x:v>major</x:v>
      </x:c>
      <x:c r="S88" s="60" t="n">
        <x:v>2131</x:v>
      </x:c>
      <x:c r="T88" s="60" t="n">
        <x:v>1219</x:v>
      </x:c>
      <x:c r="U88" s="52" t="str">
        <x:v>OpenAI API Changelog</x:v>
      </x:c>
      <x:c r="V88" s="52" t="str">
        <x:v>https://developers.openai.com/api/docs/changelog</x:v>
      </x:c>
      <x:c r="W88" s="52" t="str">
        <x:v>official_changelog</x:v>
      </x:c>
      <x:c r="X88" s="52" t="str">
        <x:v>corroborated</x:v>
      </x:c>
      <x:c r="Y88" s="52" t="str">
        <x:v>high</x:v>
      </x:c>
      <x:c r="Z88" s="52" t="str">
        <x:v>enterprise_vertical | launch | API Platform Admin | admin | enterprise | feature</x:v>
      </x:c>
      <x:c r="AA88" s="52" t="n">
        <x:v>2</x:v>
      </x:c>
      <x:c r="AB88" s="53" t="b">
        <x:v>1</x:v>
      </x:c>
    </x:row>
    <x:row r="89" ht="42" customHeight="1">
      <x:c r="A89" s="57" t="n">
        <x:v>45646</x:v>
      </x:c>
      <x:c r="B89" s="52" t="str">
        <x:v>evt-20241220-openai-o3-and-o3-mini-preview-announced</x:v>
      </x:c>
      <x:c r="C89" s="60" t="n">
        <x:v>2024</x:v>
      </x:c>
      <x:c r="D89" s="52" t="str">
        <x:v>Q4</x:v>
      </x:c>
      <x:c r="E89" s="52" t="str">
        <x:v>Omni &amp; Reasoning</x:v>
      </x:c>
      <x:c r="F89" s="52" t="str">
        <x:v>models_reasoning</x:v>
      </x:c>
      <x:c r="G89" s="52" t="str">
        <x:v>Model Mountains</x:v>
      </x:c>
      <x:c r="H89" s="52" t="n">
        <x:v>1</x:v>
      </x:c>
      <x:c r="I89" s="52" t="str">
        <x:v>^</x:v>
      </x:c>
      <x:c r="J89" s="52" t="str">
        <x:v>OpenAI o3 and o3-mini</x:v>
      </x:c>
      <x:c r="K89" s="52" t="str">
        <x:v>model_release</x:v>
      </x:c>
      <x:c r="L89" s="52" t="str">
        <x:v>research_preview</x:v>
      </x:c>
      <x:c r="M89" s="63" t="str">
        <x:v>OpenAI o3 and o3-mini preview announced</x:v>
      </x:c>
      <x:c r="N89" s="63" t="str">
        <x:v>宣布 OpenAI o3 與 o3-mini 預覽</x:v>
      </x:c>
      <x:c r="O89" s="63" t="str">
        <x:v>OpenAI previewed its next reasoning-model family, o3 and o3-mini, and opened an early-access program for safety and security researchers rather than a general product release.</x:v>
      </x:c>
      <x:c r="P89" s="63" t="str">
        <x:v>OpenAI 預覽下一代推理模型系列 o3 與 o3-mini，並向安全與資安研究者開放搶先測試；當時尚非一般產品發布。</x:v>
      </x:c>
      <x:c r="Q89" s="60" t="n">
        <x:v>4</x:v>
      </x:c>
      <x:c r="R89" s="60" t="str">
        <x:v>major</x:v>
      </x:c>
      <x:c r="S89" s="60" t="n">
        <x:v>2136</x:v>
      </x:c>
      <x:c r="T89" s="60" t="n">
        <x:v>344</x:v>
      </x:c>
      <x:c r="U89" s="52" t="str">
        <x:v>12 Days of OpenAI</x:v>
      </x:c>
      <x:c r="V89" s="52" t="str">
        <x:v>https://openai.com/12-days/</x:v>
      </x:c>
      <x:c r="W89" s="52" t="str">
        <x:v>event_archive</x:v>
      </x:c>
      <x:c r="X89" s="52" t="str">
        <x:v>indexed</x:v>
      </x:c>
      <x:c r="Y89" s="52" t="str">
        <x:v>high</x:v>
      </x:c>
      <x:c r="Z89" s="52" t="str">
        <x:v>models_reasoning | model_release | OpenAI o3 and o3-mini | o3 | o3-mini | reasoning | preview</x:v>
      </x:c>
      <x:c r="AA89" s="52" t="n">
        <x:v>1</x:v>
      </x:c>
      <x:c r="AB89" s="53" t="b">
        <x:v>0</x:v>
      </x:c>
    </x:row>
    <x:row r="90" ht="42" customHeight="1">
      <x:c r="A90" s="57" t="n">
        <x:v>45671</x:v>
      </x:c>
      <x:c r="B90" s="52" t="str">
        <x:v>evt-20250114-scheduled-tasks-in-chatgpt</x:v>
      </x:c>
      <x:c r="C90" s="60" t="n">
        <x:v>2025</x:v>
      </x:c>
      <x:c r="D90" s="52" t="str">
        <x:v>Q1</x:v>
      </x:c>
      <x:c r="E90" s="52" t="str">
        <x:v>Agentic Shift</x:v>
      </x:c>
      <x:c r="F90" s="52" t="str">
        <x:v>agents_research</x:v>
      </x:c>
      <x:c r="G90" s="52" t="str">
        <x:v>Agentic Frontier</x:v>
      </x:c>
      <x:c r="H90" s="52" t="n">
        <x:v>2</x:v>
      </x:c>
      <x:c r="I90" s="52" t="str">
        <x:v>&gt;</x:v>
      </x:c>
      <x:c r="J90" s="52" t="str">
        <x:v>ChatGPT Enterprise &amp; Edu</x:v>
      </x:c>
      <x:c r="K90" s="52" t="str">
        <x:v>feature</x:v>
      </x:c>
      <x:c r="L90" s="52" t="str">
        <x:v>active</x:v>
      </x:c>
      <x:c r="M90" s="63" t="str">
        <x:v>Scheduled tasks in ChatGPT</x:v>
      </x:c>
      <x:c r="N90" s="63" t="str">
        <x:v>ChatGPT 的預排任務</x:v>
      </x:c>
      <x:c r="O90" s="63" t="str">
        <x:v>Today we’re rolling out a beta version of tasks—a new way to ask ChatGPT to do things for you at a future time. Whether it's one-time reminders or recurring actions, tell ChatGPT what you need and when, and it will automatically take care of it. Scheduled tasks is in early beta for Plus, Pro, and Teams. Eventually this will be available to anyone with a ChatGPT account. For details see Scheduled tasks in ChatGPT.</x:v>
      </x:c>
      <x:c r="P90" s="63" t="str">
        <x:v>我們今日推出預排任務的測試版本，讓 ChatGPT 能在未來為您執行任務。無論是一次性提醒或重複性操作，只需告知 ChatGPT 需求與時間，系統將自動處理。預排任務目前正於 Plus、Pro 及 Teams 方案中進行早期測試。</x:v>
      </x:c>
      <x:c r="Q90" s="60" t="n">
        <x:v>4</x:v>
      </x:c>
      <x:c r="R90" s="60" t="str">
        <x:v>major</x:v>
      </x:c>
      <x:c r="S90" s="60" t="n">
        <x:v>2200</x:v>
      </x:c>
      <x:c r="T90" s="60" t="n">
        <x:v>470</x:v>
      </x:c>
      <x:c r="U90" s="52" t="str">
        <x:v>ChatGPT — Release Notes</x:v>
      </x:c>
      <x:c r="V90" s="52" t="str">
        <x:v>https://help.openai.com/en/articles/6825453-chatgpt-release-notes</x:v>
      </x:c>
      <x:c r="W90" s="52" t="str">
        <x:v>help_center_release_notes</x:v>
      </x:c>
      <x:c r="X90" s="52" t="str">
        <x:v>complete</x:v>
      </x:c>
      <x:c r="Y90" s="52" t="str">
        <x:v>high</x:v>
      </x:c>
      <x:c r="Z90" s="52" t="str">
        <x:v>agents_research | feature | ChatGPT Enterprise &amp; Edu | 2025 | agents-research | scheduled-tasks</x:v>
      </x:c>
      <x:c r="AA90" s="52" t="n">
        <x:v>1</x:v>
      </x:c>
      <x:c r="AB90" s="53" t="b">
        <x:v>0</x:v>
      </x:c>
    </x:row>
    <x:row r="91" ht="42" customHeight="1">
      <x:c r="A91" s="57" t="n">
        <x:v>45672</x:v>
      </x:c>
      <x:c r="B91" s="52" t="str">
        <x:v>evt-20250115-import-from-chat-into-canvas</x:v>
      </x:c>
      <x:c r="C91" s="60" t="n">
        <x:v>2025</x:v>
      </x:c>
      <x:c r="D91" s="52" t="str">
        <x:v>Q1</x:v>
      </x:c>
      <x:c r="E91" s="52" t="str">
        <x:v>Agentic Shift</x:v>
      </x:c>
      <x:c r="F91" s="52" t="str">
        <x:v>chatgpt_core</x:v>
      </x:c>
      <x:c r="G91" s="52" t="str">
        <x:v>Origin Plaza</x:v>
      </x:c>
      <x:c r="H91" s="52" t="n">
        <x:v>0</x:v>
      </x:c>
      <x:c r="I91" s="52" t="str">
        <x:v>@</x:v>
      </x:c>
      <x:c r="J91" s="52" t="str">
        <x:v>ChatGPT</x:v>
      </x:c>
      <x:c r="K91" s="52" t="str">
        <x:v>feature</x:v>
      </x:c>
      <x:c r="L91" s="52" t="str">
        <x:v>active</x:v>
      </x:c>
      <x:c r="M91" s="63" t="str">
        <x:v>Import from Chat into Canvas</x:v>
      </x:c>
      <x:c r="N91" s="63" t="str">
        <x:v>從聊天視窗匯入至 Canvas</x:v>
      </x:c>
      <x:c r="O91" s="63" t="str">
        <x:v>Edit a full model response in Canvas Edit a code block in Canvas Web only (no desktop or mobile in this release).</x:v>
      </x:c>
      <x:c r="P91" s="63" t="str">
        <x:v>OpenAI 於 2025-01-15 為 ChatGPT 新增功能；此節點依官方發布記錄整理，完整能力、適用方案與限制請見來源。</x:v>
      </x:c>
      <x:c r="Q91" s="60" t="n">
        <x:v>4</x:v>
      </x:c>
      <x:c r="R91" s="60" t="str">
        <x:v>major</x:v>
      </x:c>
      <x:c r="S91" s="60" t="n">
        <x:v>2202</x:v>
      </x:c>
      <x:c r="T91" s="60" t="n">
        <x:v>196</x:v>
      </x:c>
      <x:c r="U91" s="52" t="str">
        <x:v>ChatGPT — Release Notes</x:v>
      </x:c>
      <x:c r="V91" s="52" t="str">
        <x:v>https://help.openai.com/en/articles/6825453-chatgpt-release-notes</x:v>
      </x:c>
      <x:c r="W91" s="52" t="str">
        <x:v>help_center_release_notes</x:v>
      </x:c>
      <x:c r="X91" s="52" t="str">
        <x:v>complete</x:v>
      </x:c>
      <x:c r="Y91" s="52" t="str">
        <x:v>high</x:v>
      </x:c>
      <x:c r="Z91" s="52" t="str">
        <x:v>chatgpt_core | feature | ChatGPT | 2025 | chatgpt | chatgpt-core</x:v>
      </x:c>
      <x:c r="AA91" s="52" t="n">
        <x:v>1</x:v>
      </x:c>
      <x:c r="AB91" s="53" t="b">
        <x:v>0</x:v>
      </x:c>
    </x:row>
    <x:row r="92" ht="42" customHeight="1">
      <x:c r="A92" s="57" t="n">
        <x:v>45680</x:v>
      </x:c>
      <x:c r="B92" s="52" t="str">
        <x:v>evt-20250123-introducing-operator</x:v>
      </x:c>
      <x:c r="C92" s="60" t="n">
        <x:v>2025</x:v>
      </x:c>
      <x:c r="D92" s="52" t="str">
        <x:v>Q1</x:v>
      </x:c>
      <x:c r="E92" s="52" t="str">
        <x:v>Agentic Shift</x:v>
      </x:c>
      <x:c r="F92" s="52" t="str">
        <x:v>agents_research</x:v>
      </x:c>
      <x:c r="G92" s="52" t="str">
        <x:v>Agentic Frontier</x:v>
      </x:c>
      <x:c r="H92" s="52" t="n">
        <x:v>2</x:v>
      </x:c>
      <x:c r="I92" s="52" t="str">
        <x:v>&gt;</x:v>
      </x:c>
      <x:c r="J92" s="52" t="str">
        <x:v>Operator</x:v>
      </x:c>
      <x:c r="K92" s="52" t="str">
        <x:v>launch</x:v>
      </x:c>
      <x:c r="L92" s="52" t="str">
        <x:v>research_preview</x:v>
      </x:c>
      <x:c r="M92" s="63" t="str">
        <x:v>Introducing Operator</x:v>
      </x:c>
      <x:c r="N92" s="63" t="str">
        <x:v>推出 Operator</x:v>
      </x:c>
      <x:c r="O92" s="63" t="str">
        <x:v>OpenAI released Operator as a U.S. research preview for ChatGPT Pro: an agent powered by the Computer-Using Agent model that can use its own browser to type, click, scroll, and perform web tasks under user control.</x:v>
      </x:c>
      <x:c r="P92" s="63" t="str">
        <x:v>OpenAI 針對 ChatGPT Pro 在美國推出 Operator 研究預覽版。這是一個由「電腦使用代理模型」(Computer-Using Agent model) 驅動的代理，能在使用者控制下，利用自身瀏覽器進行輸入、點擊、捲動及執行網路任務。</x:v>
      </x:c>
      <x:c r="Q92" s="60" t="n">
        <x:v>5</x:v>
      </x:c>
      <x:c r="R92" s="60" t="str">
        <x:v>landmark</x:v>
      </x:c>
      <x:c r="S92" s="60" t="n">
        <x:v>2223</x:v>
      </x:c>
      <x:c r="T92" s="60" t="n">
        <x:v>481</x:v>
      </x:c>
      <x:c r="U92" s="52" t="str">
        <x:v>Introducing Operator</x:v>
      </x:c>
      <x:c r="V92" s="52" t="str">
        <x:v>https://openai.com/index/introducing-operator/</x:v>
      </x:c>
      <x:c r="W92" s="52" t="str">
        <x:v>official_launch_post</x:v>
      </x:c>
      <x:c r="X92" s="52" t="str">
        <x:v>complete</x:v>
      </x:c>
      <x:c r="Y92" s="52" t="str">
        <x:v>high</x:v>
      </x:c>
      <x:c r="Z92" s="52" t="str">
        <x:v>agents_research | launch | Operator | 2025 | agents-research | operator</x:v>
      </x:c>
      <x:c r="AA92" s="52" t="n">
        <x:v>1</x:v>
      </x:c>
      <x:c r="AB92" s="53" t="b">
        <x:v>0</x:v>
      </x:c>
    </x:row>
    <x:row r="93" ht="42" customHeight="1">
      <x:c r="A93" s="57" t="n">
        <x:v>45688</x:v>
      </x:c>
      <x:c r="B93" s="52" t="str">
        <x:v>evt-20250131-introducing-openai-o3-mini</x:v>
      </x:c>
      <x:c r="C93" s="60" t="n">
        <x:v>2025</x:v>
      </x:c>
      <x:c r="D93" s="52" t="str">
        <x:v>Q1</x:v>
      </x:c>
      <x:c r="E93" s="52" t="str">
        <x:v>Agentic Shift</x:v>
      </x:c>
      <x:c r="F93" s="52" t="str">
        <x:v>models_reasoning</x:v>
      </x:c>
      <x:c r="G93" s="52" t="str">
        <x:v>Model Mountains</x:v>
      </x:c>
      <x:c r="H93" s="52" t="n">
        <x:v>1</x:v>
      </x:c>
      <x:c r="I93" s="52" t="str">
        <x:v>^</x:v>
      </x:c>
      <x:c r="J93" s="52" t="str">
        <x:v>OpenAI o-series</x:v>
      </x:c>
      <x:c r="K93" s="52" t="str">
        <x:v>model_release</x:v>
      </x:c>
      <x:c r="L93" s="52" t="str">
        <x:v>active</x:v>
      </x:c>
      <x:c r="M93" s="63" t="str">
        <x:v>Introducing OpenAI o3-mini</x:v>
      </x:c>
      <x:c r="N93" s="63" t="str">
        <x:v>推出 OpenAI o3-mini</x:v>
      </x:c>
      <x:c r="O93" s="63" t="str">
        <x:v>We’re excited to release o3-mini, our newest cost-efficient reasoning model optimized for coding, math, and science. On the API, o3-mini supports Structured Outputs, function calling, developer messages, and streaming. It offers three adjustable reasoning efforts (low, medium, and high), so you can balance speed with depth for your use case.</x:v>
      </x:c>
      <x:c r="P93" s="63" t="str">
        <x:v>OpenAI 推出 o3-mini，這是一款針對程式撰寫、數學及科學進行最佳化的具成本效益推理模型，並提供予 ChatGPT 免費版、付費方案以及 API 使用。</x:v>
      </x:c>
      <x:c r="Q93" s="60" t="n">
        <x:v>4</x:v>
      </x:c>
      <x:c r="R93" s="60" t="str">
        <x:v>major</x:v>
      </x:c>
      <x:c r="S93" s="60" t="n">
        <x:v>2243</x:v>
      </x:c>
      <x:c r="T93" s="60" t="n">
        <x:v>329</x:v>
      </x:c>
      <x:c r="U93" s="52" t="str">
        <x:v>Model Release Notes</x:v>
      </x:c>
      <x:c r="V93" s="52" t="str">
        <x:v>https://help.openai.com/en/articles/9624314-model-release-notes</x:v>
      </x:c>
      <x:c r="W93" s="52" t="str">
        <x:v>help_center_release_notes</x:v>
      </x:c>
      <x:c r="X93" s="52" t="str">
        <x:v>complete</x:v>
      </x:c>
      <x:c r="Y93" s="52" t="str">
        <x:v>high</x:v>
      </x:c>
      <x:c r="Z93" s="52" t="str">
        <x:v>models_reasoning | model_release | OpenAI o-series | 2025 | models-reasoning | openai-o-series</x:v>
      </x:c>
      <x:c r="AA93" s="52" t="n">
        <x:v>1</x:v>
      </x:c>
      <x:c r="AB93" s="53" t="b">
        <x:v>0</x:v>
      </x:c>
    </x:row>
    <x:row r="94" ht="42" customHeight="1">
      <x:c r="A94" s="57" t="n">
        <x:v>45690</x:v>
      </x:c>
      <x:c r="B94" s="52" t="str">
        <x:v>evt-20250202-introducing-deep-research</x:v>
      </x:c>
      <x:c r="C94" s="60" t="n">
        <x:v>2025</x:v>
      </x:c>
      <x:c r="D94" s="52" t="str">
        <x:v>Q1</x:v>
      </x:c>
      <x:c r="E94" s="52" t="str">
        <x:v>Agentic Shift</x:v>
      </x:c>
      <x:c r="F94" s="52" t="str">
        <x:v>agents_research</x:v>
      </x:c>
      <x:c r="G94" s="52" t="str">
        <x:v>Agentic Frontier</x:v>
      </x:c>
      <x:c r="H94" s="52" t="n">
        <x:v>2</x:v>
      </x:c>
      <x:c r="I94" s="52" t="str">
        <x:v>&gt;</x:v>
      </x:c>
      <x:c r="J94" s="52" t="str">
        <x:v>deep research</x:v>
      </x:c>
      <x:c r="K94" s="52" t="str">
        <x:v>launch</x:v>
      </x:c>
      <x:c r="L94" s="52" t="str">
        <x:v>active</x:v>
      </x:c>
      <x:c r="M94" s="63" t="str">
        <x:v>Introducing deep research</x:v>
      </x:c>
      <x:c r="N94" s="63" t="str">
        <x:v>推出 Deep Research</x:v>
      </x:c>
      <x:c r="O94" s="63" t="str">
        <x:v>OpenAI launched deep research in ChatGPT for multi-step web research that finds, analyzes, and synthesizes many online sources into cited reports; the initial rollout began with Pro users.</x:v>
      </x:c>
      <x:c r="P94" s="63" t="str">
        <x:v>OpenAI 在 ChatGPT 中推出 Deep Research，用於進行多步驟網路研究，能搜尋、分析並整合多項線上來源，彙整成附註引用的報告；初期先向 Pro 使用者開放。</x:v>
      </x:c>
      <x:c r="Q94" s="60" t="n">
        <x:v>5</x:v>
      </x:c>
      <x:c r="R94" s="60" t="str">
        <x:v>landmark</x:v>
      </x:c>
      <x:c r="S94" s="60" t="n">
        <x:v>2248</x:v>
      </x:c>
      <x:c r="T94" s="60" t="n">
        <x:v>497</x:v>
      </x:c>
      <x:c r="U94" s="52" t="str">
        <x:v>Introducing deep research</x:v>
      </x:c>
      <x:c r="V94" s="52" t="str">
        <x:v>https://openai.com/index/introducing-deep-research/</x:v>
      </x:c>
      <x:c r="W94" s="52" t="str">
        <x:v>official_launch_post</x:v>
      </x:c>
      <x:c r="X94" s="52" t="str">
        <x:v>complete</x:v>
      </x:c>
      <x:c r="Y94" s="52" t="str">
        <x:v>high</x:v>
      </x:c>
      <x:c r="Z94" s="52" t="str">
        <x:v>agents_research | launch | deep research | 2025 | agents-research | deep-research</x:v>
      </x:c>
      <x:c r="AA94" s="52" t="n">
        <x:v>1</x:v>
      </x:c>
      <x:c r="AB94" s="53" t="b">
        <x:v>0</x:v>
      </x:c>
    </x:row>
    <x:row r="95" ht="42" customHeight="1">
      <x:c r="A95" s="57" t="n">
        <x:v>45694</x:v>
      </x:c>
      <x:c r="B95" s="52" t="str">
        <x:v>evt-20250206-canvas-sharing</x:v>
      </x:c>
      <x:c r="C95" s="60" t="n">
        <x:v>2025</x:v>
      </x:c>
      <x:c r="D95" s="52" t="str">
        <x:v>Q1</x:v>
      </x:c>
      <x:c r="E95" s="52" t="str">
        <x:v>Agentic Shift</x:v>
      </x:c>
      <x:c r="F95" s="52" t="str">
        <x:v>chatgpt_core</x:v>
      </x:c>
      <x:c r="G95" s="52" t="str">
        <x:v>Origin Plaza</x:v>
      </x:c>
      <x:c r="H95" s="52" t="n">
        <x:v>0</x:v>
      </x:c>
      <x:c r="I95" s="52" t="str">
        <x:v>@</x:v>
      </x:c>
      <x:c r="J95" s="52" t="str">
        <x:v>ChatGPT</x:v>
      </x:c>
      <x:c r="K95" s="52" t="str">
        <x:v>feature</x:v>
      </x:c>
      <x:c r="L95" s="52" t="str">
        <x:v>active</x:v>
      </x:c>
      <x:c r="M95" s="63" t="str">
        <x:v>Canvas sharing</x:v>
      </x:c>
      <x:c r="N95" s="63" t="str">
        <x:v>Canvas 分享功能</x:v>
      </x:c>
      <x:c r="O95" s="63" t="str">
        <x:v>Users can now share a Canvas asset such as rendered React/HTML code, document, or code with another user, similar to how you share a conversation. You can do this from the Canvas toolbar when Canvas is open. For more details about the canvas feature in ChatGPT, check out the following Help Center article!</x:v>
      </x:c>
      <x:c r="P95" s="63" t="str">
        <x:v>使用者現可與他人分享 Canvas 資產（例如已渲染的 React/HTML 程式碼、文件或程式碼），方式與分享對話類似。當 Canvas 開啟時，可透過工具列執行此操作。如需關於 ChatGPT Canvas 功能的更多詳細資訊，請查看說明中心文章。</x:v>
      </x:c>
      <x:c r="Q95" s="60" t="n">
        <x:v>4</x:v>
      </x:c>
      <x:c r="R95" s="60" t="str">
        <x:v>major</x:v>
      </x:c>
      <x:c r="S95" s="60" t="n">
        <x:v>2258</x:v>
      </x:c>
      <x:c r="T95" s="60" t="n">
        <x:v>152</x:v>
      </x:c>
      <x:c r="U95" s="52" t="str">
        <x:v>ChatGPT — Release Notes</x:v>
      </x:c>
      <x:c r="V95" s="52" t="str">
        <x:v>https://help.openai.com/en/articles/6825453-chatgpt-release-notes</x:v>
      </x:c>
      <x:c r="W95" s="52" t="str">
        <x:v>help_center_release_notes</x:v>
      </x:c>
      <x:c r="X95" s="52" t="str">
        <x:v>complete</x:v>
      </x:c>
      <x:c r="Y95" s="52" t="str">
        <x:v>high</x:v>
      </x:c>
      <x:c r="Z95" s="52" t="str">
        <x:v>chatgpt_core | feature | ChatGPT | 2025 | chatgpt | chatgpt-core</x:v>
      </x:c>
      <x:c r="AA95" s="52" t="n">
        <x:v>1</x:v>
      </x:c>
      <x:c r="AB95" s="53" t="b">
        <x:v>0</x:v>
      </x:c>
    </x:row>
    <x:row r="96" ht="42" customHeight="1">
      <x:c r="A96" s="57" t="n">
        <x:v>45715</x:v>
      </x:c>
      <x:c r="B96" s="52" t="str">
        <x:v>evt-20250227-introducing-gpt-4-5</x:v>
      </x:c>
      <x:c r="C96" s="60" t="n">
        <x:v>2025</x:v>
      </x:c>
      <x:c r="D96" s="52" t="str">
        <x:v>Q1</x:v>
      </x:c>
      <x:c r="E96" s="52" t="str">
        <x:v>Agentic Shift</x:v>
      </x:c>
      <x:c r="F96" s="52" t="str">
        <x:v>models_reasoning</x:v>
      </x:c>
      <x:c r="G96" s="52" t="str">
        <x:v>Model Mountains</x:v>
      </x:c>
      <x:c r="H96" s="52" t="n">
        <x:v>1</x:v>
      </x:c>
      <x:c r="I96" s="52" t="str">
        <x:v>^</x:v>
      </x:c>
      <x:c r="J96" s="52" t="str">
        <x:v>GPT-4.5</x:v>
      </x:c>
      <x:c r="K96" s="52" t="str">
        <x:v>model_release</x:v>
      </x:c>
      <x:c r="L96" s="52" t="str">
        <x:v>research_preview</x:v>
      </x:c>
      <x:c r="M96" s="63" t="str">
        <x:v>Introducing GPT-4.5</x:v>
      </x:c>
      <x:c r="N96" s="63" t="str">
        <x:v>推出 GPT-4.5</x:v>
      </x:c>
      <x:c r="O96" s="63" t="str">
        <x:v>We’re releasing a research preview of GPT-4.5—our largest, and best model for chat, yet. GPT-4.5 is a step forward in scaling up pretraining and post-training. By scaling unsupervised learning, GPT-4.5 improves its ability to recognize patterns, draw connections, and generate creative insights without reasoning. Early testing shows that interacting with GPT-4.5 feels more natural. Its broader knowledge base, improved ability to follo…</x:v>
      </x:c>
      <x:c r="P96" s="63" t="str">
        <x:v>OpenAI 推出 GPT-4.5 作為研究預覽版，這是當時其最大的聊天模型，初期先向全球 ChatGPT Pro 使用者開放，後續將陸續擴展至其他付費方案。</x:v>
      </x:c>
      <x:c r="Q96" s="60" t="n">
        <x:v>4</x:v>
      </x:c>
      <x:c r="R96" s="60" t="str">
        <x:v>major</x:v>
      </x:c>
      <x:c r="S96" s="60" t="n">
        <x:v>2312</x:v>
      </x:c>
      <x:c r="T96" s="60" t="n">
        <x:v>289</x:v>
      </x:c>
      <x:c r="U96" s="52" t="str">
        <x:v>Introducing GPT-4.5</x:v>
      </x:c>
      <x:c r="V96" s="52" t="str">
        <x:v>https://openai.com/index/introducing-gpt-4-5/</x:v>
      </x:c>
      <x:c r="W96" s="52" t="str">
        <x:v>official_launch_post</x:v>
      </x:c>
      <x:c r="X96" s="52" t="str">
        <x:v>corroborated</x:v>
      </x:c>
      <x:c r="Y96" s="52" t="str">
        <x:v>high</x:v>
      </x:c>
      <x:c r="Z96" s="52" t="str">
        <x:v>models_reasoning | model_release | GPT-4.5 | 2025 | gpt-4.5 | models-reasoning</x:v>
      </x:c>
      <x:c r="AA96" s="52" t="n">
        <x:v>2</x:v>
      </x:c>
      <x:c r="AB96" s="53" t="b">
        <x:v>1</x:v>
      </x:c>
    </x:row>
    <x:row r="97" ht="42" customHeight="1">
      <x:c r="A97" s="57" t="n">
        <x:v>45715</x:v>
      </x:c>
      <x:c r="B97" s="52" t="str">
        <x:v>evt-20250227-released-a-research-preview-of-gpt-4-5</x:v>
      </x:c>
      <x:c r="C97" s="60" t="n">
        <x:v>2025</x:v>
      </x:c>
      <x:c r="D97" s="52" t="str">
        <x:v>Q1</x:v>
      </x:c>
      <x:c r="E97" s="52" t="str">
        <x:v>Agentic Shift</x:v>
      </x:c>
      <x:c r="F97" s="52" t="str">
        <x:v>agents_research</x:v>
      </x:c>
      <x:c r="G97" s="52" t="str">
        <x:v>Agentic Frontier</x:v>
      </x:c>
      <x:c r="H97" s="52" t="n">
        <x:v>2</x:v>
      </x:c>
      <x:c r="I97" s="52" t="str">
        <x:v>&gt;</x:v>
      </x:c>
      <x:c r="J97" s="52" t="str">
        <x:v>GPT-4.5</x:v>
      </x:c>
      <x:c r="K97" s="52" t="str">
        <x:v>model_release</x:v>
      </x:c>
      <x:c r="L97" s="52" t="str">
        <x:v>research_preview</x:v>
      </x:c>
      <x:c r="M97" s="63" t="str">
        <x:v>Released a research preview of GPT-4.5</x:v>
      </x:c>
      <x:c r="N97" s="63" t="str">
        <x:v>發布a 研究預覽 of GPT-4.5</x:v>
      </x:c>
      <x:c r="O97" s="63" t="str">
        <x:v>v1/chat/completions Released a research preview of GPT-4.5—our largest and most capable chat model yet. GPT-4.5's high "EQ" and understanding of user intent make it better at creative tasks and agentic planning.</x:v>
      </x:c>
      <x:c r="P97" s="63" t="str">
        <x:v>OpenAI 於 2025-02-27 為 GPT-4.5 發布模型；此節點依官方發布記錄整理，完整能力、適用方案與限制請見來源。</x:v>
      </x:c>
      <x:c r="Q97" s="60" t="n">
        <x:v>4</x:v>
      </x:c>
      <x:c r="R97" s="60" t="str">
        <x:v>major</x:v>
      </x:c>
      <x:c r="S97" s="60" t="n">
        <x:v>2312</x:v>
      </x:c>
      <x:c r="T97" s="60" t="n">
        <x:v>505</x:v>
      </x:c>
      <x:c r="U97" s="52" t="str">
        <x:v>OpenAI API Changelog</x:v>
      </x:c>
      <x:c r="V97" s="52" t="str">
        <x:v>https://platform.openai.com/docs/changelog</x:v>
      </x:c>
      <x:c r="W97" s="52" t="str">
        <x:v>developer_changelog</x:v>
      </x:c>
      <x:c r="X97" s="52" t="str">
        <x:v>parsed</x:v>
      </x:c>
      <x:c r="Y97" s="52" t="str">
        <x:v>high</x:v>
      </x:c>
      <x:c r="Z97" s="52" t="str">
        <x:v>agents_research | model_release | GPT-4.5</x:v>
      </x:c>
      <x:c r="AA97" s="52" t="n">
        <x:v>1</x:v>
      </x:c>
      <x:c r="AB97" s="53" t="b">
        <x:v>0</x:v>
      </x:c>
    </x:row>
    <x:row r="98" ht="42" customHeight="1">
      <x:c r="A98" s="57" t="n">
        <x:v>45727</x:v>
      </x:c>
      <x:c r="B98" s="52" t="str">
        <x:v>evt-20250311-released-several-new-models-and-tools-and-a-new-api-for-ag</x:v>
      </x:c>
      <x:c r="C98" s="60" t="n">
        <x:v>2025</x:v>
      </x:c>
      <x:c r="D98" s="52" t="str">
        <x:v>Q1</x:v>
      </x:c>
      <x:c r="E98" s="52" t="str">
        <x:v>Agentic Shift</x:v>
      </x:c>
      <x:c r="F98" s="52" t="str">
        <x:v>safety_lifecycle</x:v>
      </x:c>
      <x:c r="G98" s="52" t="str">
        <x:v>Safety Wall</x:v>
      </x:c>
      <x:c r="H98" s="52" t="n">
        <x:v>9</x:v>
      </x:c>
      <x:c r="I98" s="52" t="str">
        <x:v>!</x:v>
      </x:c>
      <x:c r="J98" s="52" t="str">
        <x:v>Lifecycle</x:v>
      </x:c>
      <x:c r="K98" s="52" t="str">
        <x:v>deprecation</x:v>
      </x:c>
      <x:c r="L98" s="52" t="str">
        <x:v>deprecated</x:v>
      </x:c>
      <x:c r="M98" s="63" t="str">
        <x:v>Released several new models and tools and a new API for agentic workflows</x:v>
      </x:c>
      <x:c r="N98" s="63" t="str">
        <x:v>淘汰通知：Lifecycle</x:v>
      </x:c>
      <x:c r="O98" s="63" t="str">
        <x:v>Released several new models and tools and a new API for agentic workflows: Released the Responses API , a new API for creating and using agents and tools. Released a set of built-in tools for the Responses API: web search , file search , and computer use . Released the Agents SDK , an orchestration framework for designing, building, and deploying agents. Announced new models: gpt-4o-search-preview , gpt-4o-mini-search-preview , compu…</x:v>
      </x:c>
      <x:c r="P98" s="63" t="str">
        <x:v>推出：several 全新 模型 and tools and a 全新 API for agentic workflows: Released Responses API , a 全新 API for creating and using agents and tools。OpenAI 將此列為 2025-03-11 的功能；重點涉及棄用與遷移、代理與工具調用，模型、端點與參數名稱依官方英文保留。</x:v>
      </x:c>
      <x:c r="Q98" s="60" t="n">
        <x:v>4</x:v>
      </x:c>
      <x:c r="R98" s="60" t="str">
        <x:v>major</x:v>
      </x:c>
      <x:c r="S98" s="60" t="n">
        <x:v>2343</x:v>
      </x:c>
      <x:c r="T98" s="60" t="n">
        <x:v>1530</x:v>
      </x:c>
      <x:c r="U98" s="52" t="str">
        <x:v>OpenAI API Changelog</x:v>
      </x:c>
      <x:c r="V98" s="52" t="str">
        <x:v>https://developers.openai.com/api/docs/changelog</x:v>
      </x:c>
      <x:c r="W98" s="52" t="str">
        <x:v>official_changelog</x:v>
      </x:c>
      <x:c r="X98" s="52" t="str">
        <x:v>complete</x:v>
      </x:c>
      <x:c r="Y98" s="52" t="str">
        <x:v>high</x:v>
      </x:c>
      <x:c r="Z98" s="52" t="str">
        <x:v>safety_lifecycle | deprecation | Lifecycle | feature | migration</x:v>
      </x:c>
      <x:c r="AA98" s="52" t="n">
        <x:v>1</x:v>
      </x:c>
      <x:c r="AB98" s="53" t="b">
        <x:v>0</x:v>
      </x:c>
    </x:row>
    <x:row r="99" ht="42" customHeight="1">
      <x:c r="A99" s="57" t="n">
        <x:v>45741</x:v>
      </x:c>
      <x:c r="B99" s="52" t="str">
        <x:v>evt-20250325-introducing-4o-image-generation</x:v>
      </x:c>
      <x:c r="C99" s="60" t="n">
        <x:v>2025</x:v>
      </x:c>
      <x:c r="D99" s="52" t="str">
        <x:v>Q1</x:v>
      </x:c>
      <x:c r="E99" s="52" t="str">
        <x:v>Agentic Shift</x:v>
      </x:c>
      <x:c r="F99" s="52" t="str">
        <x:v>multimodal</x:v>
      </x:c>
      <x:c r="G99" s="52" t="str">
        <x:v>Multimodal Coast</x:v>
      </x:c>
      <x:c r="H99" s="52" t="n">
        <x:v>4</x:v>
      </x:c>
      <x:c r="I99" s="52" t="str">
        <x:v>~</x:v>
      </x:c>
      <x:c r="J99" s="52" t="str">
        <x:v>GPT-4o</x:v>
      </x:c>
      <x:c r="K99" s="52" t="str">
        <x:v>model_release</x:v>
      </x:c>
      <x:c r="L99" s="52" t="str">
        <x:v>active</x:v>
      </x:c>
      <x:c r="M99" s="63" t="str">
        <x:v>Introducing 4o Image Generation</x:v>
      </x:c>
      <x:c r="N99" s="63" t="str">
        <x:v>推出 4o 影像生成功能</x:v>
      </x:c>
      <x:c r="O99" s="63" t="str">
        <x:v>OpenAI integrated native image generation into GPT-4o, adding stronger text rendering, detailed instruction following, in-context image editing, and multi-turn refinement in ChatGPT.</x:v>
      </x:c>
      <x:c r="P99" s="63" t="str">
        <x:v>OpenAI 將原生影像生成整合至 GPT-4o，在 ChatGPT 中增加了更強的文字渲染、細緻的指令遵循、上下文影像編輯以及多輪修正功能。</x:v>
      </x:c>
      <x:c r="Q99" s="60" t="n">
        <x:v>5</x:v>
      </x:c>
      <x:c r="R99" s="60" t="str">
        <x:v>landmark</x:v>
      </x:c>
      <x:c r="S99" s="60" t="n">
        <x:v>2378</x:v>
      </x:c>
      <x:c r="T99" s="60" t="n">
        <x:v>738</x:v>
      </x:c>
      <x:c r="U99" s="52" t="str">
        <x:v>Introducing 4o Image Generation</x:v>
      </x:c>
      <x:c r="V99" s="52" t="str">
        <x:v>https://openai.com/index/introducing-4o-image-generation/</x:v>
      </x:c>
      <x:c r="W99" s="52" t="str">
        <x:v>official_launch_post</x:v>
      </x:c>
      <x:c r="X99" s="52" t="str">
        <x:v>complete</x:v>
      </x:c>
      <x:c r="Y99" s="52" t="str">
        <x:v>high</x:v>
      </x:c>
      <x:c r="Z99" s="52" t="str">
        <x:v>multimodal | model_release | GPT-4o | 2025 | gpt-4o</x:v>
      </x:c>
      <x:c r="AA99" s="52" t="n">
        <x:v>1</x:v>
      </x:c>
      <x:c r="AB99" s="53" t="b">
        <x:v>0</x:v>
      </x:c>
    </x:row>
    <x:row r="100" ht="42" customHeight="1">
      <x:c r="A100" s="57" t="n">
        <x:v>45757</x:v>
      </x:c>
      <x:c r="B100" s="52" t="str">
        <x:v>evt-20250410-gpt-4-retirement-in-chatgpt-announced</x:v>
      </x:c>
      <x:c r="C100" s="60" t="n">
        <x:v>2025</x:v>
      </x:c>
      <x:c r="D100" s="52" t="str">
        <x:v>Q2</x:v>
      </x:c>
      <x:c r="E100" s="52" t="str">
        <x:v>Agentic Shift</x:v>
      </x:c>
      <x:c r="F100" s="52" t="str">
        <x:v>models_reasoning</x:v>
      </x:c>
      <x:c r="G100" s="52" t="str">
        <x:v>Model Mountains</x:v>
      </x:c>
      <x:c r="H100" s="52" t="n">
        <x:v>1</x:v>
      </x:c>
      <x:c r="I100" s="52" t="str">
        <x:v>^</x:v>
      </x:c>
      <x:c r="J100" s="52" t="str">
        <x:v>GPT-4</x:v>
      </x:c>
      <x:c r="K100" s="52" t="str">
        <x:v>deprecation</x:v>
      </x:c>
      <x:c r="L100" s="52" t="str">
        <x:v>deprecated</x:v>
      </x:c>
      <x:c r="M100" s="63" t="str">
        <x:v>GPT-4 retirement in ChatGPT announced</x:v>
      </x:c>
      <x:c r="N100" s="63" t="str">
        <x:v>宣佈 GPT-4 將於 ChatGPT 中退役</x:v>
      </x:c>
      <x:c r="O100" s="63" t="str">
        <x:v>OpenAI announced that GPT-4 would be retired from ChatGPT on April 30, 2025 and replaced by GPT-4o; GPT-4 remained available in the API.</x:v>
      </x:c>
      <x:c r="P100" s="63" t="str">
        <x:v>OpenAI 宣佈 GPT-4 將於 2025 年 4 月 30 日從 ChatGPT 退役，並由 GPT-4o 取代；GPT-4 仍可在 API 中使用。</x:v>
      </x:c>
      <x:c r="Q100" s="60" t="n">
        <x:v>4</x:v>
      </x:c>
      <x:c r="R100" s="60" t="str">
        <x:v>major</x:v>
      </x:c>
      <x:c r="S100" s="60" t="n">
        <x:v>2419</x:v>
      </x:c>
      <x:c r="T100" s="60" t="n">
        <x:v>335</x:v>
      </x:c>
      <x:c r="U100" s="52" t="str">
        <x:v>ChatGPT — Release Notes</x:v>
      </x:c>
      <x:c r="V100" s="52" t="str">
        <x:v>https://help.openai.com/en/articles/6825453-chatgpt-release-notes</x:v>
      </x:c>
      <x:c r="W100" s="52" t="str">
        <x:v>help_center_release_notes</x:v>
      </x:c>
      <x:c r="X100" s="52" t="str">
        <x:v>complete</x:v>
      </x:c>
      <x:c r="Y100" s="52" t="str">
        <x:v>high</x:v>
      </x:c>
      <x:c r="Z100" s="52" t="str">
        <x:v>models_reasoning | deprecation | GPT-4 | 2025 | gpt-4 | models-reasoning</x:v>
      </x:c>
      <x:c r="AA100" s="52" t="n">
        <x:v>1</x:v>
      </x:c>
      <x:c r="AB100" s="53" t="b">
        <x:v>0</x:v>
      </x:c>
    </x:row>
    <x:row r="101" ht="42" customHeight="1">
      <x:c r="A101" s="57" t="n">
        <x:v>45761</x:v>
      </x:c>
      <x:c r="B101" s="52" t="str">
        <x:v>evt-20250414-added-gpt-4-1-gpt-4-1-mini-and-gpt-4-1-nano-models-to-the-</x:v>
      </x:c>
      <x:c r="C101" s="60" t="n">
        <x:v>2025</x:v>
      </x:c>
      <x:c r="D101" s="52" t="str">
        <x:v>Q2</x:v>
      </x:c>
      <x:c r="E101" s="52" t="str">
        <x:v>Agentic Shift</x:v>
      </x:c>
      <x:c r="F101" s="52" t="str">
        <x:v>safety_lifecycle</x:v>
      </x:c>
      <x:c r="G101" s="52" t="str">
        <x:v>Safety Wall</x:v>
      </x:c>
      <x:c r="H101" s="52" t="n">
        <x:v>9</x:v>
      </x:c>
      <x:c r="I101" s="52" t="str">
        <x:v>!</x:v>
      </x:c>
      <x:c r="J101" s="52" t="str">
        <x:v>Lifecycle</x:v>
      </x:c>
      <x:c r="K101" s="52" t="str">
        <x:v>deprecation</x:v>
      </x:c>
      <x:c r="L101" s="52" t="str">
        <x:v>deprecated</x:v>
      </x:c>
      <x:c r="M101" s="63" t="str">
        <x:v>Added gpt-4.1, gpt-4.1-mini, and gpt-4.1-nano models to the API.</x:v>
      </x:c>
      <x:c r="N101" s="63" t="str">
        <x:v>API 推出 GPT‑4.1、mini 與 nano</x:v>
      </x:c>
      <x:c r="O101" s="63" t="str">
        <x:v>v1/chat/completions Added gpt-4.1, gpt-4.1-mini, and gpt-4.1-nano models to the API. These new models feature improved instruction following, coding, and a larger context window (up to 1M tokens). gpt-4.1 and gpt-4.1-mini are available for supervised fine-tuning. Announced deprecation of gpt-4.5-preview.</x:v>
      </x:c>
      <x:c r="P101" s="63" t="str">
        <x:v>API 推出 GPT‑4.1、mini 與 nano。OpenAI 將此列為 2025-04-14 的功能；重點涉及棄用與遷移、模型微調，模型、端點與參數名稱依官方英文保留。</x:v>
      </x:c>
      <x:c r="Q101" s="60" t="n">
        <x:v>4</x:v>
      </x:c>
      <x:c r="R101" s="60" t="str">
        <x:v>major</x:v>
      </x:c>
      <x:c r="S101" s="60" t="n">
        <x:v>2429</x:v>
      </x:c>
      <x:c r="T101" s="60" t="n">
        <x:v>1480</x:v>
      </x:c>
      <x:c r="U101" s="52" t="str">
        <x:v>OpenAI API Changelog</x:v>
      </x:c>
      <x:c r="V101" s="52" t="str">
        <x:v>https://developers.openai.com/api/docs/changelog</x:v>
      </x:c>
      <x:c r="W101" s="52" t="str">
        <x:v>official_changelog</x:v>
      </x:c>
      <x:c r="X101" s="52" t="str">
        <x:v>corroborated</x:v>
      </x:c>
      <x:c r="Y101" s="52" t="str">
        <x:v>high</x:v>
      </x:c>
      <x:c r="Z101" s="52" t="str">
        <x:v>safety_lifecycle | deprecation | Lifecycle | feature | migration</x:v>
      </x:c>
      <x:c r="AA101" s="52" t="n">
        <x:v>2</x:v>
      </x:c>
      <x:c r="AB101" s="53" t="b">
        <x:v>1</x:v>
      </x:c>
    </x:row>
    <x:row r="102" ht="42" customHeight="1">
      <x:c r="A102" s="57" t="n">
        <x:v>45761</x:v>
      </x:c>
      <x:c r="B102" s="52" t="str">
        <x:v>evt-20250414-gpt-4-5-preview-deprecation</x:v>
      </x:c>
      <x:c r="C102" s="60" t="n">
        <x:v>2025</x:v>
      </x:c>
      <x:c r="D102" s="52" t="str">
        <x:v>Q2</x:v>
      </x:c>
      <x:c r="E102" s="52" t="str">
        <x:v>Agentic Shift</x:v>
      </x:c>
      <x:c r="F102" s="52" t="str">
        <x:v>safety_lifecycle</x:v>
      </x:c>
      <x:c r="G102" s="52" t="str">
        <x:v>Safety Wall</x:v>
      </x:c>
      <x:c r="H102" s="52" t="n">
        <x:v>9</x:v>
      </x:c>
      <x:c r="I102" s="52" t="str">
        <x:v>!</x:v>
      </x:c>
      <x:c r="J102" s="52" t="str">
        <x:v>Model Platform</x:v>
      </x:c>
      <x:c r="K102" s="52" t="str">
        <x:v>deprecation</x:v>
      </x:c>
      <x:c r="L102" s="52" t="str">
        <x:v>deprecated</x:v>
      </x:c>
      <x:c r="M102" s="63" t="str">
        <x:v>GPT-4.5-preview deprecation</x:v>
      </x:c>
      <x:c r="N102" s="63" t="str">
        <x:v>GPT-4.5-preview 棄用公告</x:v>
      </x:c>
      <x:c r="O102" s="63" t="str">
        <x:v>On April 14th, 2025, we notified developers that the gpt-4.5-preview model is deprecated and will be removed from the API in the coming months. Schedule/replacements: 2025-07-14 gpt-4.5-preview gpt-4.1</x:v>
      </x:c>
      <x:c r="P102" s="63" t="str">
        <x:v>OpenAI 於 2025-04-14 為 GPT-4.5 公布淘汰計畫；此節點依官方發布記錄整理，完整能力、適用方案與限制請見來源。</x:v>
      </x:c>
      <x:c r="Q102" s="60" t="n">
        <x:v>4</x:v>
      </x:c>
      <x:c r="R102" s="60" t="str">
        <x:v>major</x:v>
      </x:c>
      <x:c r="S102" s="60" t="n">
        <x:v>2429</x:v>
      </x:c>
      <x:c r="T102" s="60" t="n">
        <x:v>1472</x:v>
      </x:c>
      <x:c r="U102" s="52" t="str">
        <x:v>OpenAI API Deprecations</x:v>
      </x:c>
      <x:c r="V102" s="52" t="str">
        <x:v>https://developers.openai.com/api/docs/deprecations#2025-04-14-gpt-45-preview</x:v>
      </x:c>
      <x:c r="W102" s="52" t="str">
        <x:v>official_deprecation_registry</x:v>
      </x:c>
      <x:c r="X102" s="52" t="str">
        <x:v>corroborated</x:v>
      </x:c>
      <x:c r="Y102" s="52" t="str">
        <x:v>high</x:v>
      </x:c>
      <x:c r="Z102" s="52" t="str">
        <x:v>safety_lifecycle | deprecation | Model Platform | api | model-platform</x:v>
      </x:c>
      <x:c r="AA102" s="52" t="n">
        <x:v>2</x:v>
      </x:c>
      <x:c r="AB102" s="53" t="b">
        <x:v>1</x:v>
      </x:c>
    </x:row>
    <x:row r="103" ht="42" customHeight="1">
      <x:c r="A103" s="57" t="n">
        <x:v>45762</x:v>
      </x:c>
      <x:c r="B103" s="52" t="str">
        <x:v>evt-20250415-chatgpt-image-library</x:v>
      </x:c>
      <x:c r="C103" s="60" t="n">
        <x:v>2025</x:v>
      </x:c>
      <x:c r="D103" s="52" t="str">
        <x:v>Q2</x:v>
      </x:c>
      <x:c r="E103" s="52" t="str">
        <x:v>Agentic Shift</x:v>
      </x:c>
      <x:c r="F103" s="52" t="str">
        <x:v>multimodal</x:v>
      </x:c>
      <x:c r="G103" s="52" t="str">
        <x:v>Multimodal Coast</x:v>
      </x:c>
      <x:c r="H103" s="52" t="n">
        <x:v>4</x:v>
      </x:c>
      <x:c r="I103" s="52" t="str">
        <x:v>~</x:v>
      </x:c>
      <x:c r="J103" s="52" t="str">
        <x:v>ChatGPT Images</x:v>
      </x:c>
      <x:c r="K103" s="52" t="str">
        <x:v>feature</x:v>
      </x:c>
      <x:c r="L103" s="52" t="str">
        <x:v>active</x:v>
      </x:c>
      <x:c r="M103" s="63" t="str">
        <x:v>ChatGPT Image Library</x:v>
      </x:c>
      <x:c r="N103" s="63" t="str">
        <x:v>ChatGPT 影像庫</x:v>
      </x:c>
      <x:c r="O103" s="63" t="str">
        <x:v>All images you create with ChatGPT are now automatically saved to a new Library in the sidebar, giving you one place to browse, revisit, and reuse your work without digging through past conversations. The Library is rolling out today on Web, iOS, and Android for Free, Plus, and Pro users (Enterprise / Edu support coming soon). For now, it displays images generated with 4o Image Generation while we backfill older creations, and you ca…</x:v>
      </x:c>
      <x:c r="P103" s="63" t="str">
        <x:v>所有您使用 ChatGPT 建立的影像現在都會自動儲存到側邊欄的新「影像庫」中，讓您能在一處瀏覽、回顧並重複使用您的作品，無需翻找過往的對話紀錄。此影像庫今日於網頁版、iOS 與 Android 平台上向 Free、Plus 與 Pro 使用者推出（企業版/教育版支援即將推出）……</x:v>
      </x:c>
      <x:c r="Q103" s="60" t="n">
        <x:v>4</x:v>
      </x:c>
      <x:c r="R103" s="60" t="str">
        <x:v>major</x:v>
      </x:c>
      <x:c r="S103" s="60" t="n">
        <x:v>2432</x:v>
      </x:c>
      <x:c r="T103" s="60" t="n">
        <x:v>780</x:v>
      </x:c>
      <x:c r="U103" s="52" t="str">
        <x:v>ChatGPT — Release Notes</x:v>
      </x:c>
      <x:c r="V103" s="52" t="str">
        <x:v>https://help.openai.com/en/articles/6825453-chatgpt-release-notes</x:v>
      </x:c>
      <x:c r="W103" s="52" t="str">
        <x:v>help_center_release_notes</x:v>
      </x:c>
      <x:c r="X103" s="52" t="str">
        <x:v>complete</x:v>
      </x:c>
      <x:c r="Y103" s="52" t="str">
        <x:v>high</x:v>
      </x:c>
      <x:c r="Z103" s="52" t="str">
        <x:v>multimodal | feature | ChatGPT Images | 2025 | chatgpt-images</x:v>
      </x:c>
      <x:c r="AA103" s="52" t="n">
        <x:v>1</x:v>
      </x:c>
      <x:c r="AB103" s="53" t="b">
        <x:v>0</x:v>
      </x:c>
    </x:row>
    <x:row r="104" ht="42" customHeight="1">
      <x:c r="A104" s="57" t="n">
        <x:v>45763</x:v>
      </x:c>
      <x:c r="B104" s="52" t="str">
        <x:v>evt-20250416-added-two-new-o-series-reasoning-models-o3-and-o4-mini</x:v>
      </x:c>
      <x:c r="C104" s="60" t="n">
        <x:v>2025</x:v>
      </x:c>
      <x:c r="D104" s="52" t="str">
        <x:v>Q2</x:v>
      </x:c>
      <x:c r="E104" s="52" t="str">
        <x:v>Agentic Shift</x:v>
      </x:c>
      <x:c r="F104" s="52" t="str">
        <x:v>agents_research</x:v>
      </x:c>
      <x:c r="G104" s="52" t="str">
        <x:v>Agentic Frontier</x:v>
      </x:c>
      <x:c r="H104" s="52" t="n">
        <x:v>2</x:v>
      </x:c>
      <x:c r="I104" s="52" t="str">
        <x:v>&gt;</x:v>
      </x:c>
      <x:c r="J104" s="52" t="str">
        <x:v>Codex</x:v>
      </x:c>
      <x:c r="K104" s="52" t="str">
        <x:v>model_release</x:v>
      </x:c>
      <x:c r="L104" s="52" t="str">
        <x:v>active</x:v>
      </x:c>
      <x:c r="M104" s="63" t="str">
        <x:v>Added two new o-series reasoning models, o3 and o4-mini.</x:v>
      </x:c>
      <x:c r="N104" s="63" t="str">
        <x:v>API 推出 o3 與 o4‑mini 推理模型</x:v>
      </x:c>
      <x:c r="O104" s="63" t="str">
        <x:v>Added two new o-series reasoning models, o3 and o4-mini . They set a new standard for math, science, and coding, visual reasoning tasks, and technical writing. Launched Codex, our code generation CLI tool.</x:v>
      </x:c>
      <x:c r="P104" s="63" t="str">
        <x:v>API 推出 o3 與 o4‑mini 推理模型。OpenAI 將此列為 2025-04-16 的功能；重點涉及Codex 編碼代理、代理與工具調用，模型、端點與參數名稱依官方英文保留。</x:v>
      </x:c>
      <x:c r="Q104" s="60" t="n">
        <x:v>4</x:v>
      </x:c>
      <x:c r="R104" s="60" t="str">
        <x:v>major</x:v>
      </x:c>
      <x:c r="S104" s="60" t="n">
        <x:v>2434</x:v>
      </x:c>
      <x:c r="T104" s="60" t="n">
        <x:v>480</x:v>
      </x:c>
      <x:c r="U104" s="52" t="str">
        <x:v>OpenAI API Changelog</x:v>
      </x:c>
      <x:c r="V104" s="52" t="str">
        <x:v>https://developers.openai.com/api/docs/changelog</x:v>
      </x:c>
      <x:c r="W104" s="52" t="str">
        <x:v>official_changelog</x:v>
      </x:c>
      <x:c r="X104" s="52" t="str">
        <x:v>complete</x:v>
      </x:c>
      <x:c r="Y104" s="52" t="str">
        <x:v>high</x:v>
      </x:c>
      <x:c r="Z104" s="52" t="str">
        <x:v>agents_research | model_release | Codex | codex | coding-agent | feature</x:v>
      </x:c>
      <x:c r="AA104" s="52" t="n">
        <x:v>1</x:v>
      </x:c>
      <x:c r="AB104" s="53" t="b">
        <x:v>0</x:v>
      </x:c>
    </x:row>
    <x:row r="105" ht="42" customHeight="1">
      <x:c r="A105" s="57" t="n">
        <x:v>45763</x:v>
      </x:c>
      <x:c r="B105" s="52" t="str">
        <x:v>evt-20250416-openai-o3-launches-in-chatgpt</x:v>
      </x:c>
      <x:c r="C105" s="60" t="n">
        <x:v>2025</x:v>
      </x:c>
      <x:c r="D105" s="52" t="str">
        <x:v>Q2</x:v>
      </x:c>
      <x:c r="E105" s="52" t="str">
        <x:v>Agentic Shift</x:v>
      </x:c>
      <x:c r="F105" s="52" t="str">
        <x:v>models_reasoning</x:v>
      </x:c>
      <x:c r="G105" s="52" t="str">
        <x:v>Model Mountains</x:v>
      </x:c>
      <x:c r="H105" s="52" t="n">
        <x:v>1</x:v>
      </x:c>
      <x:c r="I105" s="52" t="str">
        <x:v>^</x:v>
      </x:c>
      <x:c r="J105" s="52" t="str">
        <x:v>OpenAI o-series</x:v>
      </x:c>
      <x:c r="K105" s="52" t="str">
        <x:v>model_release</x:v>
      </x:c>
      <x:c r="L105" s="52" t="str">
        <x:v>active</x:v>
      </x:c>
      <x:c r="M105" s="63" t="str">
        <x:v>OpenAI o3 launches in ChatGPT</x:v>
      </x:c>
      <x:c r="N105" s="63" t="str">
        <x:v>OpenAI o3 在 ChatGPT 中推出</x:v>
      </x:c>
      <x:c r="O105" s="63" t="str">
        <x:v>OpenAI released o3 in ChatGPT as a reasoning model for complex coding, math, science, and visual-analysis tasks, with access to ChatGPT tools.</x:v>
      </x:c>
      <x:c r="P105" s="63" t="str">
        <x:v>OpenAI 在 ChatGPT 中推出 o3，這是一個用於複雜程式開發、數學、科學和視覺分析任務的推理模型，並可使用 ChatGPT 工具。</x:v>
      </x:c>
      <x:c r="Q105" s="60" t="n">
        <x:v>4</x:v>
      </x:c>
      <x:c r="R105" s="60" t="str">
        <x:v>major</x:v>
      </x:c>
      <x:c r="S105" s="60" t="n">
        <x:v>2434</x:v>
      </x:c>
      <x:c r="T105" s="60" t="n">
        <x:v>349</x:v>
      </x:c>
      <x:c r="U105" s="52" t="str">
        <x:v>ChatGPT — Release Notes</x:v>
      </x:c>
      <x:c r="V105" s="52" t="str">
        <x:v>https://help.openai.com/en/articles/6825453-chatgpt-release-notes</x:v>
      </x:c>
      <x:c r="W105" s="52" t="str">
        <x:v>help_center_release_notes</x:v>
      </x:c>
      <x:c r="X105" s="52" t="str">
        <x:v>complete</x:v>
      </x:c>
      <x:c r="Y105" s="52" t="str">
        <x:v>high</x:v>
      </x:c>
      <x:c r="Z105" s="52" t="str">
        <x:v>models_reasoning | model_release | OpenAI o-series | 2025 | models-reasoning | openai-o-series</x:v>
      </x:c>
      <x:c r="AA105" s="52" t="n">
        <x:v>1</x:v>
      </x:c>
      <x:c r="AB105" s="53" t="b">
        <x:v>0</x:v>
      </x:c>
    </x:row>
    <x:row r="106" ht="42" customHeight="1">
      <x:c r="A106" s="57" t="n">
        <x:v>45763</x:v>
      </x:c>
      <x:c r="B106" s="52" t="str">
        <x:v>evt-20250416-openai-o4-mini-launches-in-chatgpt</x:v>
      </x:c>
      <x:c r="C106" s="60" t="n">
        <x:v>2025</x:v>
      </x:c>
      <x:c r="D106" s="52" t="str">
        <x:v>Q2</x:v>
      </x:c>
      <x:c r="E106" s="52" t="str">
        <x:v>Agentic Shift</x:v>
      </x:c>
      <x:c r="F106" s="52" t="str">
        <x:v>models_reasoning</x:v>
      </x:c>
      <x:c r="G106" s="52" t="str">
        <x:v>Model Mountains</x:v>
      </x:c>
      <x:c r="H106" s="52" t="n">
        <x:v>1</x:v>
      </x:c>
      <x:c r="I106" s="52" t="str">
        <x:v>^</x:v>
      </x:c>
      <x:c r="J106" s="52" t="str">
        <x:v>OpenAI o-series</x:v>
      </x:c>
      <x:c r="K106" s="52" t="str">
        <x:v>model_release</x:v>
      </x:c>
      <x:c r="L106" s="52" t="str">
        <x:v>active</x:v>
      </x:c>
      <x:c r="M106" s="63" t="str">
        <x:v>OpenAI o4-mini launches in ChatGPT</x:v>
      </x:c>
      <x:c r="N106" s="63" t="str">
        <x:v>OpenAI o4-mini 在 ChatGPT 中推出</x:v>
      </x:c>
      <x:c r="O106" s="63" t="str">
        <x:v>OpenAI released o4-mini in ChatGPT as a smaller, faster, cost-efficient reasoning model with high usage limits and strong math, coding, and visual performance.</x:v>
      </x:c>
      <x:c r="P106" s="63" t="str">
        <x:v>OpenAI 在 ChatGPT 中推出 o4-mini，這是一個更小、更快、且具成本效益的推理模型，具有高使用限制以及強大的數學、程式開發和視覺效能。</x:v>
      </x:c>
      <x:c r="Q106" s="60" t="n">
        <x:v>4</x:v>
      </x:c>
      <x:c r="R106" s="60" t="str">
        <x:v>major</x:v>
      </x:c>
      <x:c r="S106" s="60" t="n">
        <x:v>2434</x:v>
      </x:c>
      <x:c r="T106" s="60" t="n">
        <x:v>327</x:v>
      </x:c>
      <x:c r="U106" s="52" t="str">
        <x:v>ChatGPT — Release Notes</x:v>
      </x:c>
      <x:c r="V106" s="52" t="str">
        <x:v>https://help.openai.com/en/articles/6825453-chatgpt-release-notes</x:v>
      </x:c>
      <x:c r="W106" s="52" t="str">
        <x:v>help_center_release_notes</x:v>
      </x:c>
      <x:c r="X106" s="52" t="str">
        <x:v>complete</x:v>
      </x:c>
      <x:c r="Y106" s="52" t="str">
        <x:v>high</x:v>
      </x:c>
      <x:c r="Z106" s="52" t="str">
        <x:v>models_reasoning | model_release | OpenAI o-series | 2025 | models-reasoning | openai-o-series</x:v>
      </x:c>
      <x:c r="AA106" s="52" t="n">
        <x:v>1</x:v>
      </x:c>
      <x:c r="AB106" s="53" t="b">
        <x:v>0</x:v>
      </x:c>
    </x:row>
    <x:row r="107" ht="42" customHeight="1">
      <x:c r="A107" s="57" t="n">
        <x:v>45763</x:v>
      </x:c>
      <x:c r="B107" s="52" t="str">
        <x:v>evt-20250416-memory-with-search</x:v>
      </x:c>
      <x:c r="C107" s="60" t="n">
        <x:v>2025</x:v>
      </x:c>
      <x:c r="D107" s="52" t="str">
        <x:v>Q2</x:v>
      </x:c>
      <x:c r="E107" s="52" t="str">
        <x:v>Agentic Shift</x:v>
      </x:c>
      <x:c r="F107" s="52" t="str">
        <x:v>memory_knowledge</x:v>
      </x:c>
      <x:c r="G107" s="52" t="str">
        <x:v>Memory Forest</x:v>
      </x:c>
      <x:c r="H107" s="52" t="n">
        <x:v>5</x:v>
      </x:c>
      <x:c r="I107" s="52" t="str">
        <x:v>&amp;</x:v>
      </x:c>
      <x:c r="J107" s="52" t="str">
        <x:v>ChatGPT Search</x:v>
      </x:c>
      <x:c r="K107" s="52" t="str">
        <x:v>feature</x:v>
      </x:c>
      <x:c r="L107" s="52" t="str">
        <x:v>active</x:v>
      </x:c>
      <x:c r="M107" s="63" t="str">
        <x:v>Memory with Search</x:v>
      </x:c>
      <x:c r="N107" s="63" t="str">
        <x:v>具備搜尋功能的記憶功能</x:v>
      </x:c>
      <x:c r="O107" s="63" t="str">
        <x:v>ChatGPT can also use memories to inform search queries when ChatGPT searches the web using third-party search providers. Learn more about search.</x:v>
      </x:c>
      <x:c r="P107" s="63" t="str">
        <x:v>OpenAI 於 2025-04-16 為 ChatGPT Search 新增功能；此節點依官方發布記錄整理，完整能力、適用方案與限制請見來源。</x:v>
      </x:c>
      <x:c r="Q107" s="60" t="n">
        <x:v>4</x:v>
      </x:c>
      <x:c r="R107" s="60" t="str">
        <x:v>major</x:v>
      </x:c>
      <x:c r="S107" s="60" t="n">
        <x:v>2434</x:v>
      </x:c>
      <x:c r="T107" s="60" t="n">
        <x:v>905</x:v>
      </x:c>
      <x:c r="U107" s="52" t="str">
        <x:v>ChatGPT — Release Notes</x:v>
      </x:c>
      <x:c r="V107" s="52" t="str">
        <x:v>https://help.openai.com/en/articles/6825453-chatgpt-release-notes</x:v>
      </x:c>
      <x:c r="W107" s="52" t="str">
        <x:v>help_center_release_notes</x:v>
      </x:c>
      <x:c r="X107" s="52" t="str">
        <x:v>complete</x:v>
      </x:c>
      <x:c r="Y107" s="52" t="str">
        <x:v>high</x:v>
      </x:c>
      <x:c r="Z107" s="52" t="str">
        <x:v>memory_knowledge | feature | ChatGPT Search | 2025 | memory | memory-knowledge</x:v>
      </x:c>
      <x:c r="AA107" s="52" t="n">
        <x:v>1</x:v>
      </x:c>
      <x:c r="AB107" s="53" t="b">
        <x:v>0</x:v>
      </x:c>
    </x:row>
    <x:row r="108" ht="42" customHeight="1">
      <x:c r="A108" s="57" t="n">
        <x:v>45778</x:v>
      </x:c>
      <x:c r="B108" s="52" t="str">
        <x:v>evt-20250501-sunsetting-monday-gpt</x:v>
      </x:c>
      <x:c r="C108" s="60" t="n">
        <x:v>2025</x:v>
      </x:c>
      <x:c r="D108" s="52" t="str">
        <x:v>Q2</x:v>
      </x:c>
      <x:c r="E108" s="52" t="str">
        <x:v>Agentic Shift</x:v>
      </x:c>
      <x:c r="F108" s="52" t="str">
        <x:v>chatgpt_core</x:v>
      </x:c>
      <x:c r="G108" s="52" t="str">
        <x:v>Origin Plaza</x:v>
      </x:c>
      <x:c r="H108" s="52" t="n">
        <x:v>0</x:v>
      </x:c>
      <x:c r="I108" s="52" t="str">
        <x:v>@</x:v>
      </x:c>
      <x:c r="J108" s="52" t="str">
        <x:v>ChatGPT Voice</x:v>
      </x:c>
      <x:c r="K108" s="52" t="str">
        <x:v>deprecation</x:v>
      </x:c>
      <x:c r="L108" s="52" t="str">
        <x:v>deprecated</x:v>
      </x:c>
      <x:c r="M108" s="63" t="str">
        <x:v>Sunsetting Monday GPT</x:v>
      </x:c>
      <x:c r="N108" s="63" t="str">
        <x:v>停用 Monday GPT</x:v>
      </x:c>
      <x:c r="O108" s="63" t="str">
        <x:v>Launched on April 1 as a one-month surprise, our “Monday” personality (available in both voice and text) has now been sunset. We hope you enjoyed Monday's irreverent style, and we’re already working on new personalities for future use. Please stay tuned for what’s next!</x:v>
      </x:c>
      <x:c r="P108" s="63" t="str">
        <x:v>作為 4 月 1 日推出的為期一個月的驚喜，我們的「Monday」個性（提供語音和文字版本）現已停用。希望您喜歡 Monday 不拘一格的風格，我們已經在為未來開發新的個性。請持續關注後續內容！</x:v>
      </x:c>
      <x:c r="Q108" s="60" t="n">
        <x:v>4</x:v>
      </x:c>
      <x:c r="R108" s="60" t="str">
        <x:v>major</x:v>
      </x:c>
      <x:c r="S108" s="60" t="n">
        <x:v>2473</x:v>
      </x:c>
      <x:c r="T108" s="60" t="n">
        <x:v>206</x:v>
      </x:c>
      <x:c r="U108" s="52" t="str">
        <x:v>ChatGPT — Release Notes</x:v>
      </x:c>
      <x:c r="V108" s="52" t="str">
        <x:v>https://help.openai.com/en/articles/6825453-chatgpt-release-notes</x:v>
      </x:c>
      <x:c r="W108" s="52" t="str">
        <x:v>help_center_release_notes</x:v>
      </x:c>
      <x:c r="X108" s="52" t="str">
        <x:v>complete</x:v>
      </x:c>
      <x:c r="Y108" s="52" t="str">
        <x:v>high</x:v>
      </x:c>
      <x:c r="Z108" s="52" t="str">
        <x:v>chatgpt_core | deprecation | ChatGPT Voice | 2025 | chatgpt | chatgpt-core</x:v>
      </x:c>
      <x:c r="AA108" s="52" t="n">
        <x:v>1</x:v>
      </x:c>
      <x:c r="AB108" s="53" t="b">
        <x:v>0</x:v>
      </x:c>
    </x:row>
    <x:row r="109" ht="42" customHeight="1">
      <x:c r="A109" s="57" t="n">
        <x:v>45784</x:v>
      </x:c>
      <x:c r="B109" s="52" t="str">
        <x:v>evt-20250507-launched-support-for-reinforcement-fine-tuning</x:v>
      </x:c>
      <x:c r="C109" s="60" t="n">
        <x:v>2025</x:v>
      </x:c>
      <x:c r="D109" s="52" t="str">
        <x:v>Q2</x:v>
      </x:c>
      <x:c r="E109" s="52" t="str">
        <x:v>Agentic Shift</x:v>
      </x:c>
      <x:c r="F109" s="52" t="str">
        <x:v>developer_platform</x:v>
      </x:c>
      <x:c r="G109" s="52" t="str">
        <x:v>Toolsmith Harbor</x:v>
      </x:c>
      <x:c r="H109" s="52" t="n">
        <x:v>3</x:v>
      </x:c>
      <x:c r="I109" s="52" t="str">
        <x:v>#</x:v>
      </x:c>
      <x:c r="J109" s="52" t="str">
        <x:v>Fine-tuning API</x:v>
      </x:c>
      <x:c r="K109" s="52" t="str">
        <x:v>model_release</x:v>
      </x:c>
      <x:c r="L109" s="52" t="str">
        <x:v>active</x:v>
      </x:c>
      <x:c r="M109" s="63" t="str">
        <x:v>Launched support for reinforcement fine-tuning.</x:v>
      </x:c>
      <x:c r="N109" s="63" t="str">
        <x:v>推出強化微調支援</x:v>
      </x:c>
      <x:c r="O109" s="63" t="str">
        <x:v>Launched support for reinforcement fine-tuning . Learn about available fine-tuning methods . gpt-4.1-nano is now available for fine-tuning.</x:v>
      </x:c>
      <x:c r="P109" s="63" t="str">
        <x:v>推出強化微調支援。OpenAI 將此列為 2025-05-07 的功能；重點涉及模型微調，模型、端點與參數名稱依官方英文保留。</x:v>
      </x:c>
      <x:c r="Q109" s="60" t="n">
        <x:v>4</x:v>
      </x:c>
      <x:c r="R109" s="60" t="str">
        <x:v>major</x:v>
      </x:c>
      <x:c r="S109" s="60" t="n">
        <x:v>2488</x:v>
      </x:c>
      <x:c r="T109" s="60" t="n">
        <x:v>622</x:v>
      </x:c>
      <x:c r="U109" s="52" t="str">
        <x:v>OpenAI API Changelog</x:v>
      </x:c>
      <x:c r="V109" s="52" t="str">
        <x:v>https://developers.openai.com/api/docs/changelog</x:v>
      </x:c>
      <x:c r="W109" s="52" t="str">
        <x:v>official_changelog</x:v>
      </x:c>
      <x:c r="X109" s="52" t="str">
        <x:v>complete</x:v>
      </x:c>
      <x:c r="Y109" s="52" t="str">
        <x:v>high</x:v>
      </x:c>
      <x:c r="Z109" s="52" t="str">
        <x:v>developer_platform | model_release | Fine-tuning API | custom-models | feature | fine-tuning</x:v>
      </x:c>
      <x:c r="AA109" s="52" t="n">
        <x:v>1</x:v>
      </x:c>
      <x:c r="AB109" s="53" t="b">
        <x:v>0</x:v>
      </x:c>
    </x:row>
    <x:row r="110" ht="42" customHeight="1">
      <x:c r="A110" s="57" t="n">
        <x:v>45785</x:v>
      </x:c>
      <x:c r="B110" s="52" t="str">
        <x:v>evt-20250508-github-connector-for-deep-research-for-plus-pro-team</x:v>
      </x:c>
      <x:c r="C110" s="60" t="n">
        <x:v>2025</x:v>
      </x:c>
      <x:c r="D110" s="52" t="str">
        <x:v>Q2</x:v>
      </x:c>
      <x:c r="E110" s="52" t="str">
        <x:v>Agentic Shift</x:v>
      </x:c>
      <x:c r="F110" s="52" t="str">
        <x:v>agents_research</x:v>
      </x:c>
      <x:c r="G110" s="52" t="str">
        <x:v>Agentic Frontier</x:v>
      </x:c>
      <x:c r="H110" s="52" t="n">
        <x:v>2</x:v>
      </x:c>
      <x:c r="I110" s="52" t="str">
        <x:v>&gt;</x:v>
      </x:c>
      <x:c r="J110" s="52" t="str">
        <x:v>deep research</x:v>
      </x:c>
      <x:c r="K110" s="52" t="str">
        <x:v>integration</x:v>
      </x:c>
      <x:c r="L110" s="52" t="str">
        <x:v>active</x:v>
      </x:c>
      <x:c r="M110" s="63" t="str">
        <x:v>GitHub connector for deep research for Plus/Pro/Team</x:v>
      </x:c>
      <x:c r="N110" s="63" t="str">
        <x:v>適用於 Plus/Pro/Team 的深度研究 GitHub 連接器</x:v>
      </x:c>
      <x:c r="O110" s="63" t="str">
        <x:v>ChatGPT deep research with GitHub is available globally to Team users. It is also gradually rolling out to Plus and Pro users, except for those in the EEA, Switzerland, and the UK. Enterprise user access will be announced at a later date. See: Connecting GitHub to ChatGPT deep research.</x:v>
      </x:c>
      <x:c r="P110" s="63" t="str">
        <x:v>ChatGPT 深度研究與 GitHub 的整合已向全球 Team 使用者開放。該功能也正逐步向 Plus 和 Pro 使用者推出，但 EEA、瑞士和英國的使用者除外。企業使用者存取權限將於稍後公布。請參閱：將 GitHub 連接到 ChatGPT 深度研究。</x:v>
      </x:c>
      <x:c r="Q110" s="60" t="n">
        <x:v>4</x:v>
      </x:c>
      <x:c r="R110" s="60" t="str">
        <x:v>major</x:v>
      </x:c>
      <x:c r="S110" s="60" t="n">
        <x:v>2491</x:v>
      </x:c>
      <x:c r="T110" s="60" t="n">
        <x:v>498</x:v>
      </x:c>
      <x:c r="U110" s="52" t="str">
        <x:v>ChatGPT — Release Notes</x:v>
      </x:c>
      <x:c r="V110" s="52" t="str">
        <x:v>https://help.openai.com/en/articles/6825453-chatgpt-release-notes</x:v>
      </x:c>
      <x:c r="W110" s="52" t="str">
        <x:v>help_center_release_notes</x:v>
      </x:c>
      <x:c r="X110" s="52" t="str">
        <x:v>complete</x:v>
      </x:c>
      <x:c r="Y110" s="52" t="str">
        <x:v>high</x:v>
      </x:c>
      <x:c r="Z110" s="52" t="str">
        <x:v>agents_research | integration | deep research | 2025 | agents-research | deep-research</x:v>
      </x:c>
      <x:c r="AA110" s="52" t="n">
        <x:v>1</x:v>
      </x:c>
      <x:c r="AB110" s="53" t="b">
        <x:v>0</x:v>
      </x:c>
    </x:row>
    <x:row r="111" ht="42" customHeight="1">
      <x:c r="A111" s="57" t="n">
        <x:v>45785</x:v>
      </x:c>
      <x:c r="B111" s="52" t="str">
        <x:v>evt-20250508-enhanced-memory-in-chatgpt-including-eu-on-plus-pro</x:v>
      </x:c>
      <x:c r="C111" s="60" t="n">
        <x:v>2025</x:v>
      </x:c>
      <x:c r="D111" s="52" t="str">
        <x:v>Q2</x:v>
      </x:c>
      <x:c r="E111" s="52" t="str">
        <x:v>Agentic Shift</x:v>
      </x:c>
      <x:c r="F111" s="52" t="str">
        <x:v>memory_knowledge</x:v>
      </x:c>
      <x:c r="G111" s="52" t="str">
        <x:v>Memory Forest</x:v>
      </x:c>
      <x:c r="H111" s="52" t="n">
        <x:v>5</x:v>
      </x:c>
      <x:c r="I111" s="52" t="str">
        <x:v>&amp;</x:v>
      </x:c>
      <x:c r="J111" s="52" t="str">
        <x:v>ChatGPT Memory</x:v>
      </x:c>
      <x:c r="K111" s="52" t="str">
        <x:v>feature</x:v>
      </x:c>
      <x:c r="L111" s="52" t="str">
        <x:v>active</x:v>
      </x:c>
      <x:c r="M111" s="63" t="str">
        <x:v>Enhanced Memory in ChatGPT (including EU) on Plus/Pro</x:v>
      </x:c>
      <x:c r="N111" s="63" t="str">
        <x:v>ChatGPT Plus/Pro 的增強記憶功能（包含歐盟）</x:v>
      </x:c>
      <x:c r="O111" s="63" t="str">
        <x:v>Enhanced memory rolling out to all Plus and Pro users (including the EU). The new memory features are available in the EEA (EU + UK), Switzerland, Norway, Iceland, or Liechtenstein. These features are OFF by default and must be enabled in Settings Personalization Reference Chat History. • Saved memories and Chat history are offered only to Plus and Pro accounts. • Free‑tier users have access to Saved memories only. • Outside the Euro…</x:v>
      </x:c>
      <x:c r="P111" s="63" t="str">
        <x:v>增強記憶功能正向所有 Plus 和 Pro 使用者（包含歐盟）推出。新的記憶功能適用於 EEA（歐盟 + 英國）、瑞士、挪威、冰島或列支敦斯登。這些功能預設為關閉，必須在「設定 個人化 參照對話記錄」中啟用。</x:v>
      </x:c>
      <x:c r="Q111" s="60" t="n">
        <x:v>4</x:v>
      </x:c>
      <x:c r="R111" s="60" t="str">
        <x:v>major</x:v>
      </x:c>
      <x:c r="S111" s="60" t="n">
        <x:v>2491</x:v>
      </x:c>
      <x:c r="T111" s="60" t="n">
        <x:v>923</x:v>
      </x:c>
      <x:c r="U111" s="52" t="str">
        <x:v>ChatGPT — Release Notes</x:v>
      </x:c>
      <x:c r="V111" s="52" t="str">
        <x:v>https://help.openai.com/en/articles/6825453-chatgpt-release-notes</x:v>
      </x:c>
      <x:c r="W111" s="52" t="str">
        <x:v>help_center_release_notes</x:v>
      </x:c>
      <x:c r="X111" s="52" t="str">
        <x:v>complete</x:v>
      </x:c>
      <x:c r="Y111" s="52" t="str">
        <x:v>high</x:v>
      </x:c>
      <x:c r="Z111" s="52" t="str">
        <x:v>memory_knowledge | feature | ChatGPT Memory | 2025 | memory | memory-knowledge</x:v>
      </x:c>
      <x:c r="AA111" s="52" t="n">
        <x:v>1</x:v>
      </x:c>
      <x:c r="AB111" s="53" t="b">
        <x:v>0</x:v>
      </x:c>
    </x:row>
    <x:row r="112" ht="42" customHeight="1">
      <x:c r="A112" s="57" t="n">
        <x:v>45789</x:v>
      </x:c>
      <x:c r="B112" s="52" t="str">
        <x:v>evt-20250512-microsoft-sharepoint-and-onedrive-connector-for-deep-resea</x:v>
      </x:c>
      <x:c r="C112" s="60" t="n">
        <x:v>2025</x:v>
      </x:c>
      <x:c r="D112" s="52" t="str">
        <x:v>Q2</x:v>
      </x:c>
      <x:c r="E112" s="52" t="str">
        <x:v>Agentic Shift</x:v>
      </x:c>
      <x:c r="F112" s="52" t="str">
        <x:v>agents_research</x:v>
      </x:c>
      <x:c r="G112" s="52" t="str">
        <x:v>Agentic Frontier</x:v>
      </x:c>
      <x:c r="H112" s="52" t="n">
        <x:v>2</x:v>
      </x:c>
      <x:c r="I112" s="52" t="str">
        <x:v>&gt;</x:v>
      </x:c>
      <x:c r="J112" s="52" t="str">
        <x:v>deep research</x:v>
      </x:c>
      <x:c r="K112" s="52" t="str">
        <x:v>integration</x:v>
      </x:c>
      <x:c r="L112" s="52" t="str">
        <x:v>active</x:v>
      </x:c>
      <x:c r="M112" s="63" t="str">
        <x:v>Microsoft Sharepoint and OneDrive connector for deep research for Plus/Pro/Team</x:v>
      </x:c>
      <x:c r="N112" s="63" t="str">
        <x:v>針對 Plus/Pro/Team 的 ChatGPT 深度研究 Microsoft SharePoint 與 OneDrive 連接器</x:v>
      </x:c>
      <x:c r="O112" s="63" t="str">
        <x:v>ChatGPT deep research with Sharepoint and OneDrive is available globally to Team users. It is also gradually rolling out to Plus and Pro users, except for those in the EEA, Switzerland, and the UK. Enterprise user access will be announced at a later date. See: Connecting SharePoint and Microsoft OneDrive to ChatGPT deep research</x:v>
      </x:c>
      <x:c r="P112" s="63" t="str">
        <x:v>支援 SharePoint 與 OneDrive 的 ChatGPT 深度研究功能已開放給全球 Team 用戶使用。該功能也正逐步推廣至 Plus 與 Pro 用戶（不含歐洲經濟區、瑞士與英國）。企業用戶的存取權限將於日後另行公告。參考：將 SharePoint 與 Microsoft OneDrive 連接到 ChatGPT 深度研究</x:v>
      </x:c>
      <x:c r="Q112" s="60" t="n">
        <x:v>4</x:v>
      </x:c>
      <x:c r="R112" s="60" t="str">
        <x:v>major</x:v>
      </x:c>
      <x:c r="S112" s="60" t="n">
        <x:v>2501</x:v>
      </x:c>
      <x:c r="T112" s="60" t="n">
        <x:v>432</x:v>
      </x:c>
      <x:c r="U112" s="52" t="str">
        <x:v>ChatGPT — Release Notes</x:v>
      </x:c>
      <x:c r="V112" s="52" t="str">
        <x:v>https://help.openai.com/en/articles/6825453-chatgpt-release-notes</x:v>
      </x:c>
      <x:c r="W112" s="52" t="str">
        <x:v>help_center_release_notes</x:v>
      </x:c>
      <x:c r="X112" s="52" t="str">
        <x:v>complete</x:v>
      </x:c>
      <x:c r="Y112" s="52" t="str">
        <x:v>high</x:v>
      </x:c>
      <x:c r="Z112" s="52" t="str">
        <x:v>agents_research | integration | deep research | 2025 | agents-research | deep-research</x:v>
      </x:c>
      <x:c r="AA112" s="52" t="n">
        <x:v>1</x:v>
      </x:c>
      <x:c r="AB112" s="53" t="b">
        <x:v>0</x:v>
      </x:c>
    </x:row>
    <x:row r="113" ht="42" customHeight="1">
      <x:c r="A113" s="57" t="n">
        <x:v>45789</x:v>
      </x:c>
      <x:c r="B113" s="52" t="str">
        <x:v>evt-20250512-export-deep-research-as-pdf-for-plus-pro-team</x:v>
      </x:c>
      <x:c r="C113" s="60" t="n">
        <x:v>2025</x:v>
      </x:c>
      <x:c r="D113" s="52" t="str">
        <x:v>Q2</x:v>
      </x:c>
      <x:c r="E113" s="52" t="str">
        <x:v>Agentic Shift</x:v>
      </x:c>
      <x:c r="F113" s="52" t="str">
        <x:v>agents_research</x:v>
      </x:c>
      <x:c r="G113" s="52" t="str">
        <x:v>Agentic Frontier</x:v>
      </x:c>
      <x:c r="H113" s="52" t="n">
        <x:v>2</x:v>
      </x:c>
      <x:c r="I113" s="52" t="str">
        <x:v>&gt;</x:v>
      </x:c>
      <x:c r="J113" s="52" t="str">
        <x:v>deep research</x:v>
      </x:c>
      <x:c r="K113" s="52" t="str">
        <x:v>feature</x:v>
      </x:c>
      <x:c r="L113" s="52" t="str">
        <x:v>active</x:v>
      </x:c>
      <x:c r="M113" s="63" t="str">
        <x:v>Export Deep Research as PDF for Plus/Pro/Team</x:v>
      </x:c>
      <x:c r="N113" s="63" t="str">
        <x:v>將深度研究匯出為 PDF（適用於 Plus/Pro/Team）</x:v>
      </x:c>
      <x:c r="O113" s="63" t="str">
        <x:v>You can now export your deep research reports as well-formatted PDFs—complete with tables, images, linked citations, and sources. To use, click the share icon and select 'Download as PDF.' It works for both new and past reports.</x:v>
      </x:c>
      <x:c r="P113" s="63" t="str">
        <x:v>您現在可以將深度研究報告匯出為格式良好的 PDF，其中包含表格、影像、連結的引用和來源。使用方法：點擊分享圖示並選擇「下載為 PDF」。此功能適用於新的和過去的報告。</x:v>
      </x:c>
      <x:c r="Q113" s="60" t="n">
        <x:v>4</x:v>
      </x:c>
      <x:c r="R113" s="60" t="str">
        <x:v>major</x:v>
      </x:c>
      <x:c r="S113" s="60" t="n">
        <x:v>2501</x:v>
      </x:c>
      <x:c r="T113" s="60" t="n">
        <x:v>465</x:v>
      </x:c>
      <x:c r="U113" s="52" t="str">
        <x:v>ChatGPT — Release Notes</x:v>
      </x:c>
      <x:c r="V113" s="52" t="str">
        <x:v>https://help.openai.com/en/articles/6825453-chatgpt-release-notes</x:v>
      </x:c>
      <x:c r="W113" s="52" t="str">
        <x:v>help_center_release_notes</x:v>
      </x:c>
      <x:c r="X113" s="52" t="str">
        <x:v>complete</x:v>
      </x:c>
      <x:c r="Y113" s="52" t="str">
        <x:v>high</x:v>
      </x:c>
      <x:c r="Z113" s="52" t="str">
        <x:v>agents_research | feature | deep research | 2025 | agents-research | deep-research</x:v>
      </x:c>
      <x:c r="AA113" s="52" t="n">
        <x:v>1</x:v>
      </x:c>
      <x:c r="AB113" s="53" t="b">
        <x:v>0</x:v>
      </x:c>
    </x:row>
    <x:row r="114" ht="42" customHeight="1">
      <x:c r="A114" s="57" t="n">
        <x:v>45791</x:v>
      </x:c>
      <x:c r="B114" s="52" t="str">
        <x:v>evt-20250514-releasing-gpt-4-1-in-chatgpt-for-all-paid-users</x:v>
      </x:c>
      <x:c r="C114" s="60" t="n">
        <x:v>2025</x:v>
      </x:c>
      <x:c r="D114" s="52" t="str">
        <x:v>Q2</x:v>
      </x:c>
      <x:c r="E114" s="52" t="str">
        <x:v>Agentic Shift</x:v>
      </x:c>
      <x:c r="F114" s="52" t="str">
        <x:v>models_reasoning</x:v>
      </x:c>
      <x:c r="G114" s="52" t="str">
        <x:v>Model Mountains</x:v>
      </x:c>
      <x:c r="H114" s="52" t="n">
        <x:v>1</x:v>
      </x:c>
      <x:c r="I114" s="52" t="str">
        <x:v>^</x:v>
      </x:c>
      <x:c r="J114" s="52" t="str">
        <x:v>GPT-4.1</x:v>
      </x:c>
      <x:c r="K114" s="52" t="str">
        <x:v>model_release</x:v>
      </x:c>
      <x:c r="L114" s="52" t="str">
        <x:v>active</x:v>
      </x:c>
      <x:c r="M114" s="63" t="str">
        <x:v>Releasing GPT-4.1 in ChatGPT for all paid users</x:v>
      </x:c>
      <x:c r="N114" s="63" t="str">
        <x:v>在 ChatGPT 中為所有付費用戶推出 GPT-4.1</x:v>
      </x:c>
      <x:c r="O114" s="63" t="str">
        <x:v>Since its launch in the API in April, GPT-4.1 has become a favorite among developers—by popular demand, we’re making it available directly in ChatGPT. GPT-4.1 is a specialized model that excels at coding tasks. Compared to GPT-4o, it's even stronger at precise instruction following and web development tasks, and offers an alternative to OpenAI o3 and OpenAI o4-mini for simpler, everyday coding needs. Starting today, Plus, Pro, and Te…</x:v>
      </x:c>
      <x:c r="P114" s="63" t="str">
        <x:v>自四月於 API 推出以來，GPT-4.1 深受開發者喜愛，應廣大需求，我們現已將其直接導入 ChatGPT。GPT-4.1 是一款擅長程式編寫任務的專業模型……</x:v>
      </x:c>
      <x:c r="Q114" s="60" t="n">
        <x:v>5</x:v>
      </x:c>
      <x:c r="R114" s="60" t="str">
        <x:v>landmark</x:v>
      </x:c>
      <x:c r="S114" s="60" t="n">
        <x:v>2506</x:v>
      </x:c>
      <x:c r="T114" s="60" t="n">
        <x:v>287</x:v>
      </x:c>
      <x:c r="U114" s="52" t="str">
        <x:v>ChatGPT — Release Notes</x:v>
      </x:c>
      <x:c r="V114" s="52" t="str">
        <x:v>https://help.openai.com/en/articles/6825453-chatgpt-release-notes</x:v>
      </x:c>
      <x:c r="W114" s="52" t="str">
        <x:v>help_center_release_notes</x:v>
      </x:c>
      <x:c r="X114" s="52" t="str">
        <x:v>corroborated</x:v>
      </x:c>
      <x:c r="Y114" s="52" t="str">
        <x:v>high</x:v>
      </x:c>
      <x:c r="Z114" s="52" t="str">
        <x:v>models_reasoning | model_release | GPT-4.1 | 2025 | gpt-4.1 | models-reasoning</x:v>
      </x:c>
      <x:c r="AA114" s="52" t="n">
        <x:v>2</x:v>
      </x:c>
      <x:c r="AB114" s="53" t="b">
        <x:v>1</x:v>
      </x:c>
    </x:row>
    <x:row r="115" ht="42" customHeight="1">
      <x:c r="A115" s="57" t="n">
        <x:v>45791</x:v>
      </x:c>
      <x:c r="B115" s="52" t="str">
        <x:v>evt-20250514-introducing-gpt-4-1-mini-replacing-gpt-4o-mini-in-chatgpt-</x:v>
      </x:c>
      <x:c r="C115" s="60" t="n">
        <x:v>2025</x:v>
      </x:c>
      <x:c r="D115" s="52" t="str">
        <x:v>Q2</x:v>
      </x:c>
      <x:c r="E115" s="52" t="str">
        <x:v>Agentic Shift</x:v>
      </x:c>
      <x:c r="F115" s="52" t="str">
        <x:v>models_reasoning</x:v>
      </x:c>
      <x:c r="G115" s="52" t="str">
        <x:v>Model Mountains</x:v>
      </x:c>
      <x:c r="H115" s="52" t="n">
        <x:v>1</x:v>
      </x:c>
      <x:c r="I115" s="52" t="str">
        <x:v>^</x:v>
      </x:c>
      <x:c r="J115" s="52" t="str">
        <x:v>GPT-4.1</x:v>
      </x:c>
      <x:c r="K115" s="52" t="str">
        <x:v>model_release</x:v>
      </x:c>
      <x:c r="L115" s="52" t="str">
        <x:v>active</x:v>
      </x:c>
      <x:c r="M115" s="63" t="str">
        <x:v>Introducing GPT-4.1 mini, replacing GPT-4o mini, in ChatGPT for all users</x:v>
      </x:c>
      <x:c r="N115" s="63" t="str">
        <x:v>推出 GPT-4.1 mini，取代 ChatGPT 中所有用戶的 GPT-4o mini</x:v>
      </x:c>
      <x:c r="O115" s="63" t="str">
        <x:v>GPT-4.1 mini is a fast, capable, and efficient small model, delivering significant improvements compared to GPT-4o mini—in instruction-following, coding, and overall intelligence. Starting today, GPT-4.1 mini replaces GPT-4o mini in the model picker under "more models" for paid users, and will serve as the fallback model for free users once they reach their GPT-4o usage limits. Rate limits remain the same. Evals for GPT-4.1 and GPT-4…</x:v>
      </x:c>
      <x:c r="P115" s="63" t="str">
        <x:v>GPT-4.1 mini 是一款快速、強大且高效的小型模型，相較於 GPT-4o mini 在指令遵循、程式編寫及整體智慧能力上有顯著提升……</x:v>
      </x:c>
      <x:c r="Q115" s="60" t="n">
        <x:v>5</x:v>
      </x:c>
      <x:c r="R115" s="60" t="str">
        <x:v>landmark</x:v>
      </x:c>
      <x:c r="S115" s="60" t="n">
        <x:v>2506</x:v>
      </x:c>
      <x:c r="T115" s="60" t="n">
        <x:v>336</x:v>
      </x:c>
      <x:c r="U115" s="52" t="str">
        <x:v>ChatGPT — Release Notes</x:v>
      </x:c>
      <x:c r="V115" s="52" t="str">
        <x:v>https://help.openai.com/en/articles/6825453-chatgpt-release-notes</x:v>
      </x:c>
      <x:c r="W115" s="52" t="str">
        <x:v>help_center_release_notes</x:v>
      </x:c>
      <x:c r="X115" s="52" t="str">
        <x:v>corroborated</x:v>
      </x:c>
      <x:c r="Y115" s="52" t="str">
        <x:v>high</x:v>
      </x:c>
      <x:c r="Z115" s="52" t="str">
        <x:v>models_reasoning | model_release | GPT-4.1 | 2025 | gpt-4.1 | models-reasoning</x:v>
      </x:c>
      <x:c r="AA115" s="52" t="n">
        <x:v>2</x:v>
      </x:c>
      <x:c r="AB115" s="53" t="b">
        <x:v>1</x:v>
      </x:c>
    </x:row>
    <x:row r="116" ht="42" customHeight="1">
      <x:c r="A116" s="57" t="n">
        <x:v>45792</x:v>
      </x:c>
      <x:c r="B116" s="52" t="str">
        <x:v>evt-20250515-launched-codex-mini-latest-in-the-api-optimized-for-use-wi</x:v>
      </x:c>
      <x:c r="C116" s="60" t="n">
        <x:v>2025</x:v>
      </x:c>
      <x:c r="D116" s="52" t="str">
        <x:v>Q2</x:v>
      </x:c>
      <x:c r="E116" s="52" t="str">
        <x:v>Agentic Shift</x:v>
      </x:c>
      <x:c r="F116" s="52" t="str">
        <x:v>agents_research</x:v>
      </x:c>
      <x:c r="G116" s="52" t="str">
        <x:v>Agentic Frontier</x:v>
      </x:c>
      <x:c r="H116" s="52" t="n">
        <x:v>2</x:v>
      </x:c>
      <x:c r="I116" s="52" t="str">
        <x:v>&gt;</x:v>
      </x:c>
      <x:c r="J116" s="52" t="str">
        <x:v>Codex</x:v>
      </x:c>
      <x:c r="K116" s="52" t="str">
        <x:v>launch</x:v>
      </x:c>
      <x:c r="L116" s="52" t="str">
        <x:v>active</x:v>
      </x:c>
      <x:c r="M116" s="63" t="str">
        <x:v>Launched codex-mini-latest in the API, optimized for use with the Codex CLI.</x:v>
      </x:c>
      <x:c r="N116" s="63" t="str">
        <x:v>推出：Codex</x:v>
      </x:c>
      <x:c r="O116" s="63" t="str">
        <x:v>v1/chat/completions Launched codex-mini-latest in the API, optimized for use with the Codex CLI.</x:v>
      </x:c>
      <x:c r="P116" s="63" t="str">
        <x:v>推出：codex-mini-latest in API, optimized for use with Codex CLI。OpenAI 將此列為 2025-05-15 的功能；重點涉及Codex 編碼代理，模型、端點與參數名稱依官方英文保留。</x:v>
      </x:c>
      <x:c r="Q116" s="60" t="n">
        <x:v>4</x:v>
      </x:c>
      <x:c r="R116" s="60" t="str">
        <x:v>major</x:v>
      </x:c>
      <x:c r="S116" s="60" t="n">
        <x:v>2508</x:v>
      </x:c>
      <x:c r="T116" s="60" t="n">
        <x:v>479</x:v>
      </x:c>
      <x:c r="U116" s="52" t="str">
        <x:v>OpenAI API Changelog</x:v>
      </x:c>
      <x:c r="V116" s="52" t="str">
        <x:v>https://developers.openai.com/api/docs/changelog</x:v>
      </x:c>
      <x:c r="W116" s="52" t="str">
        <x:v>official_changelog</x:v>
      </x:c>
      <x:c r="X116" s="52" t="str">
        <x:v>corroborated</x:v>
      </x:c>
      <x:c r="Y116" s="52" t="str">
        <x:v>high</x:v>
      </x:c>
      <x:c r="Z116" s="52" t="str">
        <x:v>agents_research | launch | Codex | codex | coding-agent | feature</x:v>
      </x:c>
      <x:c r="AA116" s="52" t="n">
        <x:v>2</x:v>
      </x:c>
      <x:c r="AB116" s="53" t="b">
        <x:v>1</x:v>
      </x:c>
    </x:row>
    <x:row r="117" ht="42" customHeight="1">
      <x:c r="A117" s="57" t="n">
        <x:v>45792</x:v>
      </x:c>
      <x:c r="B117" s="52" t="str">
        <x:v>evt-20250515-dropbox-connector-for-deep-research-for-plus-pro-team</x:v>
      </x:c>
      <x:c r="C117" s="60" t="n">
        <x:v>2025</x:v>
      </x:c>
      <x:c r="D117" s="52" t="str">
        <x:v>Q2</x:v>
      </x:c>
      <x:c r="E117" s="52" t="str">
        <x:v>Agentic Shift</x:v>
      </x:c>
      <x:c r="F117" s="52" t="str">
        <x:v>agents_research</x:v>
      </x:c>
      <x:c r="G117" s="52" t="str">
        <x:v>Agentic Frontier</x:v>
      </x:c>
      <x:c r="H117" s="52" t="n">
        <x:v>2</x:v>
      </x:c>
      <x:c r="I117" s="52" t="str">
        <x:v>&gt;</x:v>
      </x:c>
      <x:c r="J117" s="52" t="str">
        <x:v>deep research</x:v>
      </x:c>
      <x:c r="K117" s="52" t="str">
        <x:v>integration</x:v>
      </x:c>
      <x:c r="L117" s="52" t="str">
        <x:v>active</x:v>
      </x:c>
      <x:c r="M117" s="63" t="str">
        <x:v>Dropbox connector for deep research for Plus/Pro/Team</x:v>
      </x:c>
      <x:c r="N117" s="63" t="str">
        <x:v>針對 Plus/Pro/Team 的 Dropbox 深度研究連接器</x:v>
      </x:c>
      <x:c r="O117" s="63" t="str">
        <x:v>ChatGPT deep research with Dropbox is available globally to Team users. It is also gradually rolling out to Plus and Pro users, except for those in the EEA, Switzerland, and the UK. Enterprise user access will be announced at a later date. See: Connect apps to ChatGPT deep research</x:v>
      </x:c>
      <x:c r="P117" s="63" t="str">
        <x:v>支援 Dropbox 的 ChatGPT 深度研究功能已開放給全球 Team 用戶使用。該功能也正逐步推廣至 Plus 與 Pro 用戶（不含歐洲經濟區、瑞士與英國）。企業用戶的存取權限將於日後另行公告。參考：將應用程式連接到 ChatGPT 深度研究</x:v>
      </x:c>
      <x:c r="Q117" s="60" t="n">
        <x:v>4</x:v>
      </x:c>
      <x:c r="R117" s="60" t="str">
        <x:v>major</x:v>
      </x:c>
      <x:c r="S117" s="60" t="n">
        <x:v>2508</x:v>
      </x:c>
      <x:c r="T117" s="60" t="n">
        <x:v>479</x:v>
      </x:c>
      <x:c r="U117" s="52" t="str">
        <x:v>ChatGPT — Release Notes</x:v>
      </x:c>
      <x:c r="V117" s="52" t="str">
        <x:v>https://help.openai.com/en/articles/6825453-chatgpt-release-notes</x:v>
      </x:c>
      <x:c r="W117" s="52" t="str">
        <x:v>help_center_release_notes</x:v>
      </x:c>
      <x:c r="X117" s="52" t="str">
        <x:v>complete</x:v>
      </x:c>
      <x:c r="Y117" s="52" t="str">
        <x:v>high</x:v>
      </x:c>
      <x:c r="Z117" s="52" t="str">
        <x:v>agents_research | integration | deep research | 2025 | agents-research | deep-research</x:v>
      </x:c>
      <x:c r="AA117" s="52" t="n">
        <x:v>1</x:v>
      </x:c>
      <x:c r="AB117" s="53" t="b">
        <x:v>0</x:v>
      </x:c>
    </x:row>
    <x:row r="118" ht="42" customHeight="1">
      <x:c r="A118" s="57" t="n">
        <x:v>45792</x:v>
      </x:c>
      <x:c r="B118" s="52" t="str">
        <x:v>evt-20250515-github-connector-for-deep-research</x:v>
      </x:c>
      <x:c r="C118" s="60" t="n">
        <x:v>2025</x:v>
      </x:c>
      <x:c r="D118" s="52" t="str">
        <x:v>Q2</x:v>
      </x:c>
      <x:c r="E118" s="52" t="str">
        <x:v>Agentic Shift</x:v>
      </x:c>
      <x:c r="F118" s="52" t="str">
        <x:v>agents_research</x:v>
      </x:c>
      <x:c r="G118" s="52" t="str">
        <x:v>Agentic Frontier</x:v>
      </x:c>
      <x:c r="H118" s="52" t="n">
        <x:v>2</x:v>
      </x:c>
      <x:c r="I118" s="52" t="str">
        <x:v>&gt;</x:v>
      </x:c>
      <x:c r="J118" s="52" t="str">
        <x:v>deep research</x:v>
      </x:c>
      <x:c r="K118" s="52" t="str">
        <x:v>integration</x:v>
      </x:c>
      <x:c r="L118" s="52" t="str">
        <x:v>active</x:v>
      </x:c>
      <x:c r="M118" s="63" t="str">
        <x:v>GitHub connector for deep research</x:v>
      </x:c>
      <x:c r="N118" s="63" t="str">
        <x:v>用於深度研究的 GitHub 連接器</x:v>
      </x:c>
      <x:c r="O118" s="63" t="str">
        <x:v>The GitHub connector is now available globally to Plus/Pro/Team users, including those in the EEA, Switzerland, and the UK.</x:v>
      </x:c>
      <x:c r="P118" s="63" t="str">
        <x:v>OpenAI 於 2025-05-15 為 Deep Research 擴大開放範圍；此節點依官方發布記錄整理，完整能力、適用方案與限制請見來源。</x:v>
      </x:c>
      <x:c r="Q118" s="60" t="n">
        <x:v>4</x:v>
      </x:c>
      <x:c r="R118" s="60" t="str">
        <x:v>major</x:v>
      </x:c>
      <x:c r="S118" s="60" t="n">
        <x:v>2508</x:v>
      </x:c>
      <x:c r="T118" s="60" t="n">
        <x:v>454</x:v>
      </x:c>
      <x:c r="U118" s="52" t="str">
        <x:v>ChatGPT — Release Notes</x:v>
      </x:c>
      <x:c r="V118" s="52" t="str">
        <x:v>https://help.openai.com/en/articles/6825453-chatgpt-release-notes</x:v>
      </x:c>
      <x:c r="W118" s="52" t="str">
        <x:v>help_center_release_notes</x:v>
      </x:c>
      <x:c r="X118" s="52" t="str">
        <x:v>complete</x:v>
      </x:c>
      <x:c r="Y118" s="52" t="str">
        <x:v>high</x:v>
      </x:c>
      <x:c r="Z118" s="52" t="str">
        <x:v>agents_research | integration | deep research | 2025 | agents-research | deep-research</x:v>
      </x:c>
      <x:c r="AA118" s="52" t="n">
        <x:v>1</x:v>
      </x:c>
      <x:c r="AB118" s="53" t="b">
        <x:v>0</x:v>
      </x:c>
    </x:row>
    <x:row r="119" ht="42" customHeight="1">
      <x:c r="A119" s="57" t="n">
        <x:v>45793</x:v>
      </x:c>
      <x:c r="B119" s="52" t="str">
        <x:v>evt-20250516-introducing-codex</x:v>
      </x:c>
      <x:c r="C119" s="60" t="n">
        <x:v>2025</x:v>
      </x:c>
      <x:c r="D119" s="52" t="str">
        <x:v>Q2</x:v>
      </x:c>
      <x:c r="E119" s="52" t="str">
        <x:v>Agentic Shift</x:v>
      </x:c>
      <x:c r="F119" s="52" t="str">
        <x:v>agents_research</x:v>
      </x:c>
      <x:c r="G119" s="52" t="str">
        <x:v>Agentic Frontier</x:v>
      </x:c>
      <x:c r="H119" s="52" t="n">
        <x:v>2</x:v>
      </x:c>
      <x:c r="I119" s="52" t="str">
        <x:v>&gt;</x:v>
      </x:c>
      <x:c r="J119" s="52" t="str">
        <x:v>Codex</x:v>
      </x:c>
      <x:c r="K119" s="52" t="str">
        <x:v>launch</x:v>
      </x:c>
      <x:c r="L119" s="52" t="str">
        <x:v>research_preview</x:v>
      </x:c>
      <x:c r="M119" s="63" t="str">
        <x:v>Introducing Codex</x:v>
      </x:c>
      <x:c r="N119" s="63" t="str">
        <x:v>推出 Codex</x:v>
      </x:c>
      <x:c r="O119" s="63" t="str">
        <x:v>OpenAI launched the Codex cloud software-engineering agent in research preview, powered by codex-1 and capable of working on multiple tasks in isolated cloud sandboxes.</x:v>
      </x:c>
      <x:c r="P119" s="63" t="str">
        <x:v>OpenAI 推出 Codex 雲端軟體工程代理的研究預覽版；它由 codex-1 驅動，可在隔離的雲端沙盒中同時處理多項任務。</x:v>
      </x:c>
      <x:c r="Q119" s="60" t="n">
        <x:v>5</x:v>
      </x:c>
      <x:c r="R119" s="60" t="str">
        <x:v>landmark</x:v>
      </x:c>
      <x:c r="S119" s="60" t="n">
        <x:v>2511</x:v>
      </x:c>
      <x:c r="T119" s="60" t="n">
        <x:v>461</x:v>
      </x:c>
      <x:c r="U119" s="52" t="str">
        <x:v>Introducing Codex</x:v>
      </x:c>
      <x:c r="V119" s="52" t="str">
        <x:v>https://openai.com/index/introducing-codex/</x:v>
      </x:c>
      <x:c r="W119" s="52" t="str">
        <x:v>official_launch_post</x:v>
      </x:c>
      <x:c r="X119" s="52" t="str">
        <x:v>complete</x:v>
      </x:c>
      <x:c r="Y119" s="52" t="str">
        <x:v>high</x:v>
      </x:c>
      <x:c r="Z119" s="52" t="str">
        <x:v>agents_research | launch | Codex | 2025 | agents-research | codex</x:v>
      </x:c>
      <x:c r="AA119" s="52" t="n">
        <x:v>1</x:v>
      </x:c>
      <x:c r="AB119" s="53" t="b">
        <x:v>0</x:v>
      </x:c>
    </x:row>
    <x:row r="120" ht="42" customHeight="1">
      <x:c r="A120" s="57" t="n">
        <x:v>45811</x:v>
      </x:c>
      <x:c r="B120" s="52" t="str">
        <x:v>evt-20250603-new-model-snapshots-available-for-gpt-4o-audio-preview-and</x:v>
      </x:c>
      <x:c r="C120" s="60" t="n">
        <x:v>2025</x:v>
      </x:c>
      <x:c r="D120" s="52" t="str">
        <x:v>Q2</x:v>
      </x:c>
      <x:c r="E120" s="52" t="str">
        <x:v>Agentic Shift</x:v>
      </x:c>
      <x:c r="F120" s="52" t="str">
        <x:v>agents_research</x:v>
      </x:c>
      <x:c r="G120" s="52" t="str">
        <x:v>Agentic Frontier</x:v>
      </x:c>
      <x:c r="H120" s="52" t="n">
        <x:v>2</x:v>
      </x:c>
      <x:c r="I120" s="52" t="str">
        <x:v>&gt;</x:v>
      </x:c>
      <x:c r="J120" s="52" t="str">
        <x:v>Agents SDK</x:v>
      </x:c>
      <x:c r="K120" s="52" t="str">
        <x:v>model_release</x:v>
      </x:c>
      <x:c r="L120" s="52" t="str">
        <x:v>research_preview</x:v>
      </x:c>
      <x:c r="M120" s="63" t="str">
        <x:v>New model snapshots available for gpt-4o-audio-preview and gpt-4o-realtime-preview.</x:v>
      </x:c>
      <x:c r="N120" s="63" t="str">
        <x:v>模型發布：Agents SDK</x:v>
      </x:c>
      <x:c r="O120" s="63" t="str">
        <x:v>New model snapshots available for gpt-4o-audio-preview and gpt-4o-realtime-preview . Released Agents SDK for TypeScript .</x:v>
      </x:c>
      <x:c r="P120" s="63" t="str">
        <x:v>API 更新：全新 模型快照 available for gpt-4o-audio-preview and gpt-4o-realtime-preview。OpenAI 將此列為 2025-06-03 的功能；重點涉及代理與工具調用、即時語音與音訊，模型、端點與參數名稱依官方英文保留。</x:v>
      </x:c>
      <x:c r="Q120" s="60" t="n">
        <x:v>4</x:v>
      </x:c>
      <x:c r="R120" s="60" t="str">
        <x:v>major</x:v>
      </x:c>
      <x:c r="S120" s="60" t="n">
        <x:v>2557</x:v>
      </x:c>
      <x:c r="T120" s="60" t="n">
        <x:v>476</x:v>
      </x:c>
      <x:c r="U120" s="52" t="str">
        <x:v>OpenAI API Changelog</x:v>
      </x:c>
      <x:c r="V120" s="52" t="str">
        <x:v>https://developers.openai.com/api/docs/changelog</x:v>
      </x:c>
      <x:c r="W120" s="52" t="str">
        <x:v>official_changelog</x:v>
      </x:c>
      <x:c r="X120" s="52" t="str">
        <x:v>complete</x:v>
      </x:c>
      <x:c r="Y120" s="52" t="str">
        <x:v>high</x:v>
      </x:c>
      <x:c r="Z120" s="52" t="str">
        <x:v>agents_research | model_release | Agents SDK | agents | agents-sdk | feature</x:v>
      </x:c>
      <x:c r="AA120" s="52" t="n">
        <x:v>1</x:v>
      </x:c>
      <x:c r="AB120" s="53" t="b">
        <x:v>0</x:v>
      </x:c>
    </x:row>
    <x:row r="121" ht="42" customHeight="1">
      <x:c r="A121" s="57" t="n">
        <x:v>45811</x:v>
      </x:c>
      <x:c r="B121" s="52" t="str">
        <x:v>evt-20250603-memory-is-now-more-comprehensive-for-free-users</x:v>
      </x:c>
      <x:c r="C121" s="60" t="n">
        <x:v>2025</x:v>
      </x:c>
      <x:c r="D121" s="52" t="str">
        <x:v>Q2</x:v>
      </x:c>
      <x:c r="E121" s="52" t="str">
        <x:v>Agentic Shift</x:v>
      </x:c>
      <x:c r="F121" s="52" t="str">
        <x:v>memory_knowledge</x:v>
      </x:c>
      <x:c r="G121" s="52" t="str">
        <x:v>Memory Forest</x:v>
      </x:c>
      <x:c r="H121" s="52" t="n">
        <x:v>5</x:v>
      </x:c>
      <x:c r="I121" s="52" t="str">
        <x:v>&amp;</x:v>
      </x:c>
      <x:c r="J121" s="52" t="str">
        <x:v>ChatGPT Memory</x:v>
      </x:c>
      <x:c r="K121" s="52" t="str">
        <x:v>feature</x:v>
      </x:c>
      <x:c r="L121" s="52" t="str">
        <x:v>active</x:v>
      </x:c>
      <x:c r="M121" s="63" t="str">
        <x:v>Memory is now more comprehensive for Free users</x:v>
      </x:c>
      <x:c r="N121" s="63" t="str">
        <x:v>Memory 功能對免費版用戶更臻全面</x:v>
      </x:c>
      <x:c r="O121" s="63" t="str">
        <x:v>Memory improvements are starting to roll out to Free users. In addition to the saved memories that were there before, ChatGPT now references your recent conversations to deliver responses that feel more relevant and tailored to you. Free users must be logged in and on up-to-date apps (iOS/Android v1.2025.147+). Free users in EEA (EU + UK), Switzerland, Norway, Iceland, or Liechtenstein will see a prompt to enable this setting or can…</x:v>
      </x:c>
      <x:c r="P121" s="63" t="str">
        <x:v>Memory 功能的改進正陸續向免費版用戶推出。除了先前儲存的記憶外，ChatGPT 現在也會參考您近期的對話，以提供更相關且客製化的回應。免費版用戶需登入並使用最新版本的應用程式（iOS/Android v1.2025.147+）……</x:v>
      </x:c>
      <x:c r="Q121" s="60" t="n">
        <x:v>4</x:v>
      </x:c>
      <x:c r="R121" s="60" t="str">
        <x:v>major</x:v>
      </x:c>
      <x:c r="S121" s="60" t="n">
        <x:v>2557</x:v>
      </x:c>
      <x:c r="T121" s="60" t="n">
        <x:v>920</x:v>
      </x:c>
      <x:c r="U121" s="52" t="str">
        <x:v>ChatGPT — Release Notes</x:v>
      </x:c>
      <x:c r="V121" s="52" t="str">
        <x:v>https://help.openai.com/en/articles/6825453-chatgpt-release-notes</x:v>
      </x:c>
      <x:c r="W121" s="52" t="str">
        <x:v>help_center_release_notes</x:v>
      </x:c>
      <x:c r="X121" s="52" t="str">
        <x:v>complete</x:v>
      </x:c>
      <x:c r="Y121" s="52" t="str">
        <x:v>high</x:v>
      </x:c>
      <x:c r="Z121" s="52" t="str">
        <x:v>memory_knowledge | feature | ChatGPT Memory | 2025 | memory | memory-knowledge</x:v>
      </x:c>
      <x:c r="AA121" s="52" t="n">
        <x:v>1</x:v>
      </x:c>
      <x:c r="AB121" s="53" t="b">
        <x:v>0</x:v>
      </x:c>
    </x:row>
    <x:row r="122" ht="42" customHeight="1">
      <x:c r="A122" s="57" t="n">
        <x:v>45812</x:v>
      </x:c>
      <x:c r="B122" s="52" t="str">
        <x:v>evt-20250604-connectors-in-beta-for-deep-research-plus-pro-team-enterpr</x:v>
      </x:c>
      <x:c r="C122" s="60" t="n">
        <x:v>2025</x:v>
      </x:c>
      <x:c r="D122" s="52" t="str">
        <x:v>Q2</x:v>
      </x:c>
      <x:c r="E122" s="52" t="str">
        <x:v>Agentic Shift</x:v>
      </x:c>
      <x:c r="F122" s="52" t="str">
        <x:v>agents_research</x:v>
      </x:c>
      <x:c r="G122" s="52" t="str">
        <x:v>Agentic Frontier</x:v>
      </x:c>
      <x:c r="H122" s="52" t="n">
        <x:v>2</x:v>
      </x:c>
      <x:c r="I122" s="52" t="str">
        <x:v>&gt;</x:v>
      </x:c>
      <x:c r="J122" s="52" t="str">
        <x:v>deep research</x:v>
      </x:c>
      <x:c r="K122" s="52" t="str">
        <x:v>integration</x:v>
      </x:c>
      <x:c r="L122" s="52" t="str">
        <x:v>beta</x:v>
      </x:c>
      <x:c r="M122" s="63" t="str">
        <x:v>Connectors in beta for deep research (Plus, Pro, Team, Enterprise, Edu)</x:v>
      </x:c>
      <x:c r="N122" s="63" t="str">
        <x:v>用於深度研究的連接器進入 Beta 測試階段（Plus、Pro、Team、Enterprise、Edu）</x:v>
      </x:c>
      <x:c r="O122" s="63" t="str">
        <x:v>ChatGPT Team, Enterprise, and Edu customers globally can use connectors in deep research, as well as Pro and Plus users (excluding users in Switzerland, EEA, and the UK) to generate long-form, cited responses that include your company’s internal tools. Supported connectors: Google Drive, SharePoint, Dropbox, Box, Outlook, Gmail, Google Calendar, Linear, GitHub, HubSpot, and Teams Combines internal + web sources for synthesis Learn mo…</x:v>
      </x:c>
      <x:c r="P122" s="63" t="str">
        <x:v>全球的 ChatGPT Team、Enterprise 與 Edu 客戶，以及 Pro 與 Plus 用戶（不含瑞士、歐洲經濟區與英國的用戶），現可於深度研究功能中使用連接器，以生成包含貴公司內部工具資訊的長篇且附帶引用的回應……</x:v>
      </x:c>
      <x:c r="Q122" s="60" t="n">
        <x:v>4</x:v>
      </x:c>
      <x:c r="R122" s="60" t="str">
        <x:v>major</x:v>
      </x:c>
      <x:c r="S122" s="60" t="n">
        <x:v>2559</x:v>
      </x:c>
      <x:c r="T122" s="60" t="n">
        <x:v>499</x:v>
      </x:c>
      <x:c r="U122" s="52" t="str">
        <x:v>ChatGPT — Release Notes</x:v>
      </x:c>
      <x:c r="V122" s="52" t="str">
        <x:v>https://help.openai.com/en/articles/6825453-chatgpt-release-notes</x:v>
      </x:c>
      <x:c r="W122" s="52" t="str">
        <x:v>help_center_release_notes</x:v>
      </x:c>
      <x:c r="X122" s="52" t="str">
        <x:v>complete</x:v>
      </x:c>
      <x:c r="Y122" s="52" t="str">
        <x:v>high</x:v>
      </x:c>
      <x:c r="Z122" s="52" t="str">
        <x:v>agents_research | integration | deep research | 2025 | agents-research | deep-research</x:v>
      </x:c>
      <x:c r="AA122" s="52" t="n">
        <x:v>1</x:v>
      </x:c>
      <x:c r="AB122" s="53" t="b">
        <x:v>0</x:v>
      </x:c>
    </x:row>
    <x:row r="123" ht="42" customHeight="1">
      <x:c r="A123" s="57" t="n">
        <x:v>45812</x:v>
      </x:c>
      <x:c r="B123" s="52" t="str">
        <x:v>evt-20250604-custom-connectors-via-model-context-protocol-pro-team-ente</x:v>
      </x:c>
      <x:c r="C123" s="60" t="n">
        <x:v>2025</x:v>
      </x:c>
      <x:c r="D123" s="52" t="str">
        <x:v>Q2</x:v>
      </x:c>
      <x:c r="E123" s="52" t="str">
        <x:v>Agentic Shift</x:v>
      </x:c>
      <x:c r="F123" s="52" t="str">
        <x:v>developer_platform</x:v>
      </x:c>
      <x:c r="G123" s="52" t="str">
        <x:v>Toolsmith Harbor</x:v>
      </x:c>
      <x:c r="H123" s="52" t="n">
        <x:v>3</x:v>
      </x:c>
      <x:c r="I123" s="52" t="str">
        <x:v>#</x:v>
      </x:c>
      <x:c r="J123" s="52" t="str">
        <x:v>ChatGPT Enterprise &amp; Edu</x:v>
      </x:c>
      <x:c r="K123" s="52" t="str">
        <x:v>integration</x:v>
      </x:c>
      <x:c r="L123" s="52" t="str">
        <x:v>active</x:v>
      </x:c>
      <x:c r="M123" s="63" t="str">
        <x:v>Custom connectors via Model Context Protocol (Pro, Team, Enterprise, Edu)</x:v>
      </x:c>
      <x:c r="N123" s="63" t="str">
        <x:v>透過 Model Context Protocol (MCP) 建立自訂連接器（Pro、Team、Enterprise、Edu）</x:v>
      </x:c>
      <x:c r="O123" s="63" t="str">
        <x:v>Admins and users can now build and deploy custom connectors to proprietary systems using Model Context Protocol (MCP). Requires a remote MCP server Available only in deep research Admin-published connectors appear in the connector list for all users Learn more about building custom connectors with MCP. For Team, Enterprise, and Edu plans, only admins can build and deploy custom connectors.</x:v>
      </x:c>
      <x:c r="P123" s="63" t="str">
        <x:v>管理員與使用者現在可以使用 Model Context Protocol (MCP) 建立並部署連接至專有系統的自訂連接器。需要遠端 MCP 伺服器，且僅限於深度研究功能中使用。管理員發佈的連接器將出現在所有用戶的連接器清單中。進一步了解如何使用 MCP 建立自訂連接器……</x:v>
      </x:c>
      <x:c r="Q123" s="60" t="n">
        <x:v>4</x:v>
      </x:c>
      <x:c r="R123" s="60" t="str">
        <x:v>major</x:v>
      </x:c>
      <x:c r="S123" s="60" t="n">
        <x:v>2559</x:v>
      </x:c>
      <x:c r="T123" s="60" t="n">
        <x:v>624</x:v>
      </x:c>
      <x:c r="U123" s="52" t="str">
        <x:v>ChatGPT — Release Notes</x:v>
      </x:c>
      <x:c r="V123" s="52" t="str">
        <x:v>https://help.openai.com/en/articles/6825453-chatgpt-release-notes</x:v>
      </x:c>
      <x:c r="W123" s="52" t="str">
        <x:v>help_center_release_notes</x:v>
      </x:c>
      <x:c r="X123" s="52" t="str">
        <x:v>complete</x:v>
      </x:c>
      <x:c r="Y123" s="52" t="str">
        <x:v>high</x:v>
      </x:c>
      <x:c r="Z123" s="52" t="str">
        <x:v>developer_platform | integration | ChatGPT Enterprise &amp; Edu | 2025 | apps-connectors | developer-platform</x:v>
      </x:c>
      <x:c r="AA123" s="52" t="n">
        <x:v>1</x:v>
      </x:c>
      <x:c r="AB123" s="53" t="b">
        <x:v>0</x:v>
      </x:c>
    </x:row>
    <x:row r="124" ht="42" customHeight="1">
      <x:c r="A124" s="57" t="n">
        <x:v>45815</x:v>
      </x:c>
      <x:c r="B124" s="52" t="str">
        <x:v>evt-20250607-updates-to-advanced-voice-mode-for-paid-users</x:v>
      </x:c>
      <x:c r="C124" s="60" t="n">
        <x:v>2025</x:v>
      </x:c>
      <x:c r="D124" s="52" t="str">
        <x:v>Q2</x:v>
      </x:c>
      <x:c r="E124" s="52" t="str">
        <x:v>Agentic Shift</x:v>
      </x:c>
      <x:c r="F124" s="52" t="str">
        <x:v>models_reasoning</x:v>
      </x:c>
      <x:c r="G124" s="52" t="str">
        <x:v>Model Mountains</x:v>
      </x:c>
      <x:c r="H124" s="52" t="n">
        <x:v>1</x:v>
      </x:c>
      <x:c r="I124" s="52" t="str">
        <x:v>^</x:v>
      </x:c>
      <x:c r="J124" s="52" t="str">
        <x:v>ChatGPT Voice</x:v>
      </x:c>
      <x:c r="K124" s="52" t="str">
        <x:v>launch</x:v>
      </x:c>
      <x:c r="L124" s="52" t="str">
        <x:v>active</x:v>
      </x:c>
      <x:c r="M124" s="63" t="str">
        <x:v>Updates to Advanced Voice Mode for paid users</x:v>
      </x:c>
      <x:c r="N124" s="63" t="str">
        <x:v>更新：Advanced Voice Mode 面向付費使用者</x:v>
      </x:c>
      <x:c r="O124" s="63" t="str">
        <x:v>We're upgrading Advanced Voice in ChatGPT for paid users with significant enhancements in intonation and naturalness, making interactions feel more fluid and human-like. When we first launched Advanced Voice, it represented a leap forward in AI speech—now, it speaks even more naturally, with subtler intonation, realistic cadence (including pauses and emphases), and more on-point expressiveness for certain emotions including empathy,…</x:v>
      </x:c>
      <x:c r="P124" s="63" t="str">
        <x:v>OpenAI 於 2025-06-07 為 ChatGPT Voice 推出新產品或能力；此節點依官方發布記錄整理，完整能力、適用方案與限制請見來源。</x:v>
      </x:c>
      <x:c r="Q124" s="60" t="n">
        <x:v>4</x:v>
      </x:c>
      <x:c r="R124" s="60" t="str">
        <x:v>major</x:v>
      </x:c>
      <x:c r="S124" s="60" t="n">
        <x:v>2567</x:v>
      </x:c>
      <x:c r="T124" s="60" t="n">
        <x:v>282</x:v>
      </x:c>
      <x:c r="U124" s="52" t="str">
        <x:v>Model Release Notes</x:v>
      </x:c>
      <x:c r="V124" s="52" t="str">
        <x:v>https://help.openai.com/en/articles/9624314-model-release-notes</x:v>
      </x:c>
      <x:c r="W124" s="52" t="str">
        <x:v>help_center_release_notes</x:v>
      </x:c>
      <x:c r="X124" s="52" t="str">
        <x:v>parsed</x:v>
      </x:c>
      <x:c r="Y124" s="52" t="str">
        <x:v>high</x:v>
      </x:c>
      <x:c r="Z124" s="52" t="str">
        <x:v>models_reasoning | launch | ChatGPT Voice</x:v>
      </x:c>
      <x:c r="AA124" s="52" t="n">
        <x:v>1</x:v>
      </x:c>
      <x:c r="AB124" s="53" t="b">
        <x:v>0</x:v>
      </x:c>
    </x:row>
    <x:row r="125" ht="42" customHeight="1">
      <x:c r="A125" s="57" t="n">
        <x:v>45818</x:v>
      </x:c>
      <x:c r="B125" s="52" t="str">
        <x:v>evt-20250610-today-we-re-launching-openai-o3-pro-available-now-for-pro-</x:v>
      </x:c>
      <x:c r="C125" s="60" t="n">
        <x:v>2025</x:v>
      </x:c>
      <x:c r="D125" s="52" t="str">
        <x:v>Q2</x:v>
      </x:c>
      <x:c r="E125" s="52" t="str">
        <x:v>Agentic Shift</x:v>
      </x:c>
      <x:c r="F125" s="52" t="str">
        <x:v>models_reasoning</x:v>
      </x:c>
      <x:c r="G125" s="52" t="str">
        <x:v>Model Mountains</x:v>
      </x:c>
      <x:c r="H125" s="52" t="n">
        <x:v>1</x:v>
      </x:c>
      <x:c r="I125" s="52" t="str">
        <x:v>^</x:v>
      </x:c>
      <x:c r="J125" s="52" t="str">
        <x:v>OpenAI o-series</x:v>
      </x:c>
      <x:c r="K125" s="52" t="str">
        <x:v>model_release</x:v>
      </x:c>
      <x:c r="L125" s="52" t="str">
        <x:v>active</x:v>
      </x:c>
      <x:c r="M125" s="63" t="str">
        <x:v>Today, we're launching OpenAI o3-pro—available now for Pro users in ChatGPT and in our API.</x:v>
      </x:c>
      <x:c r="N125" s="63" t="str">
        <x:v>今天，我們推出 OpenAI o3-pro—即日起於 ChatGPT 和 API 中開放給 Pro 使用者。</x:v>
      </x:c>
      <x:c r="O125" s="63" t="str">
        <x:v>Like o1-pro, o3-pro is a version of our most intelligent model, o3, designed to think longer and provide the most reliable responses. Since the launch of o1-pro, users have favored this model for domains such as math, science, and coding—areas where o3-pro continues to excel, as shown in academic evaluations. Like o3, o3-pro has access to tools that make ChatGPT useful—it can search the web, analyze files, reason about visual inputs,…</x:v>
      </x:c>
      <x:c r="P125" s="63" t="str">
        <x:v>如同 o1-pro，o3-pro 是我們最聰明模型 o3 的一個版本，旨在進行更長時間的思考並提供最可靠的回應。自 o1-pro 推出以來，使用者在數學、科學和程式設計等領域偏好此模型，而在學術評估中顯示，o3-pro 在這些領域持續表現優異……</x:v>
      </x:c>
      <x:c r="Q125" s="60" t="n">
        <x:v>4</x:v>
      </x:c>
      <x:c r="R125" s="60" t="str">
        <x:v>major</x:v>
      </x:c>
      <x:c r="S125" s="60" t="n">
        <x:v>2575</x:v>
      </x:c>
      <x:c r="T125" s="60" t="n">
        <x:v>285</x:v>
      </x:c>
      <x:c r="U125" s="52" t="str">
        <x:v>ChatGPT — Release Notes</x:v>
      </x:c>
      <x:c r="V125" s="52" t="str">
        <x:v>https://help.openai.com/en/articles/6825453-chatgpt-release-notes</x:v>
      </x:c>
      <x:c r="W125" s="52" t="str">
        <x:v>help_center_release_notes</x:v>
      </x:c>
      <x:c r="X125" s="52" t="str">
        <x:v>complete</x:v>
      </x:c>
      <x:c r="Y125" s="52" t="str">
        <x:v>high</x:v>
      </x:c>
      <x:c r="Z125" s="52" t="str">
        <x:v>models_reasoning | model_release | OpenAI o-series | 2025 | models-reasoning | openai-o-series</x:v>
      </x:c>
      <x:c r="AA125" s="52" t="n">
        <x:v>1</x:v>
      </x:c>
      <x:c r="AB125" s="53" t="b">
        <x:v>0</x:v>
      </x:c>
    </x:row>
    <x:row r="126" ht="42" customHeight="1">
      <x:c r="A126" s="57" t="n">
        <x:v>45818</x:v>
      </x:c>
      <x:c r="B126" s="52" t="str">
        <x:v>evt-20250610-gpt-4o-audio-preview-2024-10-01-deprecation</x:v>
      </x:c>
      <x:c r="C126" s="60" t="n">
        <x:v>2025</x:v>
      </x:c>
      <x:c r="D126" s="52" t="str">
        <x:v>Q2</x:v>
      </x:c>
      <x:c r="E126" s="52" t="str">
        <x:v>Agentic Shift</x:v>
      </x:c>
      <x:c r="F126" s="52" t="str">
        <x:v>safety_lifecycle</x:v>
      </x:c>
      <x:c r="G126" s="52" t="str">
        <x:v>Safety Wall</x:v>
      </x:c>
      <x:c r="H126" s="52" t="n">
        <x:v>9</x:v>
      </x:c>
      <x:c r="I126" s="52" t="str">
        <x:v>!</x:v>
      </x:c>
      <x:c r="J126" s="52" t="str">
        <x:v>Model Platform</x:v>
      </x:c>
      <x:c r="K126" s="52" t="str">
        <x:v>deprecation</x:v>
      </x:c>
      <x:c r="L126" s="52" t="str">
        <x:v>deprecated</x:v>
      </x:c>
      <x:c r="M126" s="63" t="str">
        <x:v>gpt-4o-audio-preview-2024-10-01 deprecation</x:v>
      </x:c>
      <x:c r="N126" s="63" t="str">
        <x:v>gpt-4o-audio-preview-2024-10-01 棄用公告</x:v>
      </x:c>
      <x:c r="O126" s="63" t="str">
        <x:v>On June 10th, 2025, we notified developers using gpt-4o-realtime-preview-2024-10-01 of its deprecation and removal from the API in three months. Schedule/replacements: 2025-10-10 gpt-4o-realtime-preview-2024-10-01 gpt-realtime-1.5</x:v>
      </x:c>
      <x:c r="P126" s="63" t="str">
        <x:v>OpenAI 於 2025-06-10 公告 gpt-4o-realtime-preview-2024-10-01 的棄用或下線時程，並列出替代方案與遷移方向。</x:v>
      </x:c>
      <x:c r="Q126" s="60" t="n">
        <x:v>4</x:v>
      </x:c>
      <x:c r="R126" s="60" t="str">
        <x:v>major</x:v>
      </x:c>
      <x:c r="S126" s="60" t="n">
        <x:v>2575</x:v>
      </x:c>
      <x:c r="T126" s="60" t="n">
        <x:v>1464</x:v>
      </x:c>
      <x:c r="U126" s="52" t="str">
        <x:v>OpenAI API Deprecations</x:v>
      </x:c>
      <x:c r="V126" s="52" t="str">
        <x:v>https://developers.openai.com/api/docs/deprecations#2025-06-10-gpt-4o-audio-preview-2024-10-01</x:v>
      </x:c>
      <x:c r="W126" s="52" t="str">
        <x:v>official_deprecation_registry</x:v>
      </x:c>
      <x:c r="X126" s="52" t="str">
        <x:v>corroborated</x:v>
      </x:c>
      <x:c r="Y126" s="52" t="str">
        <x:v>high</x:v>
      </x:c>
      <x:c r="Z126" s="52" t="str">
        <x:v>safety_lifecycle | deprecation | Model Platform | api | model-platform</x:v>
      </x:c>
      <x:c r="AA126" s="52" t="n">
        <x:v>3</x:v>
      </x:c>
      <x:c r="AB126" s="53" t="b">
        <x:v>1</x:v>
      </x:c>
    </x:row>
    <x:row r="127" ht="42" customHeight="1">
      <x:c r="A127" s="57" t="n">
        <x:v>45820</x:v>
      </x:c>
      <x:c r="B127" s="52" t="str">
        <x:v>evt-20250612-adding-more-capabilities-to-projects</x:v>
      </x:c>
      <x:c r="C127" s="60" t="n">
        <x:v>2025</x:v>
      </x:c>
      <x:c r="D127" s="52" t="str">
        <x:v>Q2</x:v>
      </x:c>
      <x:c r="E127" s="52" t="str">
        <x:v>Agentic Shift</x:v>
      </x:c>
      <x:c r="F127" s="52" t="str">
        <x:v>memory_knowledge</x:v>
      </x:c>
      <x:c r="G127" s="52" t="str">
        <x:v>Memory Forest</x:v>
      </x:c>
      <x:c r="H127" s="52" t="n">
        <x:v>5</x:v>
      </x:c>
      <x:c r="I127" s="52" t="str">
        <x:v>&amp;</x:v>
      </x:c>
      <x:c r="J127" s="52" t="str">
        <x:v>Deep Research</x:v>
      </x:c>
      <x:c r="K127" s="52" t="str">
        <x:v>feature</x:v>
      </x:c>
      <x:c r="L127" s="52" t="str">
        <x:v>active</x:v>
      </x:c>
      <x:c r="M127" s="63" t="str">
        <x:v>Adding More Capabilities to Projects</x:v>
      </x:c>
      <x:c r="N127" s="63" t="str">
        <x:v>為 Projects 增加更多功能</x:v>
      </x:c>
      <x:c r="O127" s="63" t="str">
        <x:v>Starting today, we’re adding several updates to projects in ChatGPT to help you do more focused work. These updates are available for Plus, Pro, and Team users. Deep research and voice mode support Improvements to memory to reference past chats in a project Sharing chats from projects Starting a new project directly from a chat Upload files and access model selector on mobile Learn more about projects. Memory improvements are availab…</x:v>
      </x:c>
      <x:c r="P127" s="63" t="str">
        <x:v>即日起，我們為 ChatGPT 中的 Projects 增加多項更新，協助您進行更專注的工作。這些更新適用於 Plus、Pro 和 Team 使用者……</x:v>
      </x:c>
      <x:c r="Q127" s="60" t="n">
        <x:v>4</x:v>
      </x:c>
      <x:c r="R127" s="60" t="str">
        <x:v>major</x:v>
      </x:c>
      <x:c r="S127" s="60" t="n">
        <x:v>2580</x:v>
      </x:c>
      <x:c r="T127" s="60" t="n">
        <x:v>877</x:v>
      </x:c>
      <x:c r="U127" s="52" t="str">
        <x:v>ChatGPT — Release Notes</x:v>
      </x:c>
      <x:c r="V127" s="52" t="str">
        <x:v>https://help.openai.com/en/articles/6825453-chatgpt-release-notes</x:v>
      </x:c>
      <x:c r="W127" s="52" t="str">
        <x:v>help_center_release_notes</x:v>
      </x:c>
      <x:c r="X127" s="52" t="str">
        <x:v>complete</x:v>
      </x:c>
      <x:c r="Y127" s="52" t="str">
        <x:v>high</x:v>
      </x:c>
      <x:c r="Z127" s="52" t="str">
        <x:v>memory_knowledge | feature | Deep Research | 2025 | memory-knowledge | projects</x:v>
      </x:c>
      <x:c r="AA127" s="52" t="n">
        <x:v>1</x:v>
      </x:c>
      <x:c r="AB127" s="53" t="b">
        <x:v>0</x:v>
      </x:c>
    </x:row>
    <x:row r="128" ht="42" customHeight="1">
      <x:c r="A128" s="57" t="n">
        <x:v>45820</x:v>
      </x:c>
      <x:c r="B128" s="52" t="str">
        <x:v>evt-20250612-expanded-model-support-for-custom-gpts</x:v>
      </x:c>
      <x:c r="C128" s="60" t="n">
        <x:v>2025</x:v>
      </x:c>
      <x:c r="D128" s="52" t="str">
        <x:v>Q2</x:v>
      </x:c>
      <x:c r="E128" s="52" t="str">
        <x:v>Agentic Shift</x:v>
      </x:c>
      <x:c r="F128" s="52" t="str">
        <x:v>developer_platform</x:v>
      </x:c>
      <x:c r="G128" s="52" t="str">
        <x:v>Toolsmith Harbor</x:v>
      </x:c>
      <x:c r="H128" s="52" t="n">
        <x:v>3</x:v>
      </x:c>
      <x:c r="I128" s="52" t="str">
        <x:v>#</x:v>
      </x:c>
      <x:c r="J128" s="52" t="str">
        <x:v>Custom GPTs</x:v>
      </x:c>
      <x:c r="K128" s="52" t="str">
        <x:v>feature</x:v>
      </x:c>
      <x:c r="L128" s="52" t="str">
        <x:v>active</x:v>
      </x:c>
      <x:c r="M128" s="63" t="str">
        <x:v>Expanded Model Support for Custom GPTs</x:v>
      </x:c>
      <x:c r="N128" s="63" t="str">
        <x:v>擴大 Custom GPTs 的模型支援</x:v>
      </x:c>
      <x:c r="O128" s="63" t="str">
        <x:v>Creators can now choose from the full set of ChatGPT models (GPT-4o, o3, o4-mini and more) when building Custom GPTs—making it easier to fine-tune performance for different tasks, industries, and workflows. Creators can also set a recommended model to guide users. Key details: GPTs without Custom Actions can use the model picker to select from all models available to the user. GPTs with Custom Actions currently support GPT-4o and 4.1…</x:v>
      </x:c>
      <x:c r="P128" s="63" t="str">
        <x:v>創作者在建立 Custom GPTs 時，現在可以從完整的 ChatGPT 模型集合（GPT-4o、o3、o4-mini 等）中進行選擇，這讓調整針對不同任務、產業和工作流程的效能變得更加容易。創作者亦可設定推薦模型以引導使用者……</x:v>
      </x:c>
      <x:c r="Q128" s="60" t="n">
        <x:v>4</x:v>
      </x:c>
      <x:c r="R128" s="60" t="str">
        <x:v>major</x:v>
      </x:c>
      <x:c r="S128" s="60" t="n">
        <x:v>2580</x:v>
      </x:c>
      <x:c r="T128" s="60" t="n">
        <x:v>595</x:v>
      </x:c>
      <x:c r="U128" s="52" t="str">
        <x:v>ChatGPT — Release Notes</x:v>
      </x:c>
      <x:c r="V128" s="52" t="str">
        <x:v>https://help.openai.com/en/articles/6825453-chatgpt-release-notes</x:v>
      </x:c>
      <x:c r="W128" s="52" t="str">
        <x:v>help_center_release_notes</x:v>
      </x:c>
      <x:c r="X128" s="52" t="str">
        <x:v>complete</x:v>
      </x:c>
      <x:c r="Y128" s="52" t="str">
        <x:v>high</x:v>
      </x:c>
      <x:c r="Z128" s="52" t="str">
        <x:v>developer_platform | feature | Custom GPTs | 2025 | custom-gpts | developer-platform</x:v>
      </x:c>
      <x:c r="AA128" s="52" t="n">
        <x:v>1</x:v>
      </x:c>
      <x:c r="AB128" s="53" t="b">
        <x:v>0</x:v>
      </x:c>
    </x:row>
    <x:row r="129" ht="42" customHeight="1">
      <x:c r="A129" s="57" t="n">
        <x:v>45821</x:v>
      </x:c>
      <x:c r="B129" s="52" t="str">
        <x:v>evt-20250613-improvements-to-the-chatgpt-search-response-quality</x:v>
      </x:c>
      <x:c r="C129" s="60" t="n">
        <x:v>2025</x:v>
      </x:c>
      <x:c r="D129" s="52" t="str">
        <x:v>Q2</x:v>
      </x:c>
      <x:c r="E129" s="52" t="str">
        <x:v>Agentic Shift</x:v>
      </x:c>
      <x:c r="F129" s="52" t="str">
        <x:v>search_commerce</x:v>
      </x:c>
      <x:c r="G129" s="52" t="str">
        <x:v>Commerce Bazaar</x:v>
      </x:c>
      <x:c r="H129" s="52" t="n">
        <x:v>6</x:v>
      </x:c>
      <x:c r="I129" s="52" t="str">
        <x:v>$</x:v>
      </x:c>
      <x:c r="J129" s="52" t="str">
        <x:v>ChatGPT Search</x:v>
      </x:c>
      <x:c r="K129" s="52" t="str">
        <x:v>feature</x:v>
      </x:c>
      <x:c r="L129" s="52" t="str">
        <x:v>active</x:v>
      </x:c>
      <x:c r="M129" s="63" t="str">
        <x:v>Improvements to the ChatGPT search response quality</x:v>
      </x:c>
      <x:c r="N129" s="63" t="str">
        <x:v>提升 ChatGPT 搜尋回應品質</x:v>
      </x:c>
      <x:c r="O129" s="63" t="str">
        <x:v>We’ve upgraded ChatGPT search for all users to provide even more comprehensive, up-to-date responses. In testing, we found users preferred these search improvements over our previous search experience. Smarter responses that are more intelligent, are better at understanding what you’re asking, and provide more comprehensive answers. Handles longer conversational contexts, allowing better intelligence in longer conversations. More rob…</x:v>
      </x:c>
      <x:c r="P129" s="63" t="str">
        <x:v>我們已升級所有使用者的 ChatGPT 搜尋功能，以提供更全面、即時的回應。在測試中，我們發現使用者更偏好這些搜尋改進，勝過先前的搜尋體驗。回應更聰明、更能理解您的提問，並提供更全面的答案……</x:v>
      </x:c>
      <x:c r="Q129" s="60" t="n">
        <x:v>4</x:v>
      </x:c>
      <x:c r="R129" s="60" t="str">
        <x:v>major</x:v>
      </x:c>
      <x:c r="S129" s="60" t="n">
        <x:v>2582</x:v>
      </x:c>
      <x:c r="T129" s="60" t="n">
        <x:v>1091</x:v>
      </x:c>
      <x:c r="U129" s="52" t="str">
        <x:v>ChatGPT — Release Notes</x:v>
      </x:c>
      <x:c r="V129" s="52" t="str">
        <x:v>https://help.openai.com/en/articles/6825453-chatgpt-release-notes</x:v>
      </x:c>
      <x:c r="W129" s="52" t="str">
        <x:v>help_center_release_notes</x:v>
      </x:c>
      <x:c r="X129" s="52" t="str">
        <x:v>complete</x:v>
      </x:c>
      <x:c r="Y129" s="52" t="str">
        <x:v>high</x:v>
      </x:c>
      <x:c r="Z129" s="52" t="str">
        <x:v>search_commerce | feature | ChatGPT Search | 2025 | chatgpt-search | search-commerce</x:v>
      </x:c>
      <x:c r="AA129" s="52" t="n">
        <x:v>1</x:v>
      </x:c>
      <x:c r="AB129" s="53" t="b">
        <x:v>0</x:v>
      </x:c>
    </x:row>
    <x:row r="130" ht="42" customHeight="1">
      <x:c r="A130" s="57" t="n">
        <x:v>45824</x:v>
      </x:c>
      <x:c r="B130" s="52" t="str">
        <x:v>evt-20250616-expanded-model-support-for-custom-gpts</x:v>
      </x:c>
      <x:c r="C130" s="60" t="n">
        <x:v>2025</x:v>
      </x:c>
      <x:c r="D130" s="52" t="str">
        <x:v>Q2</x:v>
      </x:c>
      <x:c r="E130" s="52" t="str">
        <x:v>Agentic Shift</x:v>
      </x:c>
      <x:c r="F130" s="52" t="str">
        <x:v>enterprise_vertical</x:v>
      </x:c>
      <x:c r="G130" s="52" t="str">
        <x:v>Enterprise Citadel</x:v>
      </x:c>
      <x:c r="H130" s="52" t="n">
        <x:v>7</x:v>
      </x:c>
      <x:c r="I130" s="52" t="str">
        <x:v>H</x:v>
      </x:c>
      <x:c r="J130" s="52" t="str">
        <x:v>Custom GPTs</x:v>
      </x:c>
      <x:c r="K130" s="52" t="str">
        <x:v>model_release</x:v>
      </x:c>
      <x:c r="L130" s="52" t="str">
        <x:v>active</x:v>
      </x:c>
      <x:c r="M130" s="63" t="str">
        <x:v>Expanded Model Support for Custom GPTs</x:v>
      </x:c>
      <x:c r="N130" s="63" t="str">
        <x:v>模型發布：Expanded Model Support for Custom GPTs</x:v>
      </x:c>
      <x:c r="O130" s="63" t="str">
        <x:v>Enterprise and Edu users can also now choose from the full set of ChatGPT models (GPT-4o, o3, o4-mini and more) when building Custom GPTs. This was launched to Plus, Pro and Team users earlier this month. Key details: GPTs without Custom Actions can use the model picker to select from all models available to the user. GPTs with Custom Actions currently support GPT-4o and 4.1 Available on web for users on all paid plans (Plus, Pro Tea…</x:v>
      </x:c>
      <x:c r="P130" s="63" t="str">
        <x:v>Enterprise 和 Edu 使用者現在在建立 Custom GPTs 時，也能從完整的 ChatGPT 模型集合（GPT-4o、o3、o4-mini 等）中進行選擇。此功能已於本月初對 Plus、Pro 和 Team 使用者推出。關鍵細節：沒有 Custom Actions 的 GPTs 可以使用模型選擇器，從使用者可用的所有模型中進行選擇……</x:v>
      </x:c>
      <x:c r="Q130" s="60" t="n">
        <x:v>5</x:v>
      </x:c>
      <x:c r="R130" s="60" t="str">
        <x:v>landmark</x:v>
      </x:c>
      <x:c r="S130" s="60" t="n">
        <x:v>2590</x:v>
      </x:c>
      <x:c r="T130" s="60" t="n">
        <x:v>1237</x:v>
      </x:c>
      <x:c r="U130" s="52" t="str">
        <x:v>ChatGPT — Release Notes</x:v>
      </x:c>
      <x:c r="V130" s="52" t="str">
        <x:v>https://help.openai.com/en/articles/6825453-chatgpt-release-notes</x:v>
      </x:c>
      <x:c r="W130" s="52" t="str">
        <x:v>help_center_release_notes</x:v>
      </x:c>
      <x:c r="X130" s="52" t="str">
        <x:v>complete</x:v>
      </x:c>
      <x:c r="Y130" s="52" t="str">
        <x:v>high</x:v>
      </x:c>
      <x:c r="Z130" s="52" t="str">
        <x:v>enterprise_vertical | model_release | Custom GPTs | 2025 | custom-gpts | developer-platform | feature</x:v>
      </x:c>
      <x:c r="AA130" s="52" t="n">
        <x:v>1</x:v>
      </x:c>
      <x:c r="AB130" s="53" t="b">
        <x:v>0</x:v>
      </x:c>
    </x:row>
    <x:row r="131" ht="42" customHeight="1">
      <x:c r="A131" s="57" t="n">
        <x:v>45826</x:v>
      </x:c>
      <x:c r="B131" s="52" t="str">
        <x:v>evt-20250618-chatgpt-record-mode</x:v>
      </x:c>
      <x:c r="C131" s="60" t="n">
        <x:v>2025</x:v>
      </x:c>
      <x:c r="D131" s="52" t="str">
        <x:v>Q2</x:v>
      </x:c>
      <x:c r="E131" s="52" t="str">
        <x:v>Agentic Shift</x:v>
      </x:c>
      <x:c r="F131" s="52" t="str">
        <x:v>multimodal</x:v>
      </x:c>
      <x:c r="G131" s="52" t="str">
        <x:v>Multimodal Coast</x:v>
      </x:c>
      <x:c r="H131" s="52" t="n">
        <x:v>4</x:v>
      </x:c>
      <x:c r="I131" s="52" t="str">
        <x:v>~</x:v>
      </x:c>
      <x:c r="J131" s="52" t="str">
        <x:v>ChatGPT Voice</x:v>
      </x:c>
      <x:c r="K131" s="52" t="str">
        <x:v>launch</x:v>
      </x:c>
      <x:c r="L131" s="52" t="str">
        <x:v>active</x:v>
      </x:c>
      <x:c r="M131" s="63" t="str">
        <x:v>ChatGPT record mode</x:v>
      </x:c>
      <x:c r="N131" s="63" t="str">
        <x:v>ChatGPT 錄音模式</x:v>
      </x:c>
      <x:c r="O131" s="63" t="str">
        <x:v>Capture meetings, brainstorms, or voice notes. Launching today for Pro, Enterprise, and Edu users. Previously launched for Team users on June 4, 2025. ChatGPT will transcribe, summarize, and turn them into helpful outputs like follow-ups, plans, or even code. Available on the macOS desktop app only. Learn more about ChatGPT Record.</x:v>
      </x:c>
      <x:c r="P131" s="63" t="str">
        <x:v>捕捉會議、腦力激盪或語音筆記。即日起對 Pro、Enterprise 和 Edu 使用者推出。先前已於 2025 年 6 月 4 日對 Team 使用者推出。ChatGPT 將對其進行轉錄、摘要，並將其轉化為有用的產出，例如後續行動、計畫，甚至是程式碼。僅適用於 macOS 桌面應用程式。深入了解 ChatGPT Record。</x:v>
      </x:c>
      <x:c r="Q131" s="60" t="n">
        <x:v>5</x:v>
      </x:c>
      <x:c r="R131" s="60" t="str">
        <x:v>landmark</x:v>
      </x:c>
      <x:c r="S131" s="60" t="n">
        <x:v>2595</x:v>
      </x:c>
      <x:c r="T131" s="60" t="n">
        <x:v>746</x:v>
      </x:c>
      <x:c r="U131" s="52" t="str">
        <x:v>ChatGPT — Release Notes</x:v>
      </x:c>
      <x:c r="V131" s="52" t="str">
        <x:v>https://help.openai.com/en/articles/6825453-chatgpt-release-notes</x:v>
      </x:c>
      <x:c r="W131" s="52" t="str">
        <x:v>help_center_release_notes</x:v>
      </x:c>
      <x:c r="X131" s="52" t="str">
        <x:v>complete</x:v>
      </x:c>
      <x:c r="Y131" s="52" t="str">
        <x:v>high</x:v>
      </x:c>
      <x:c r="Z131" s="52" t="str">
        <x:v>multimodal | launch | ChatGPT Voice | 2025 | chatgpt</x:v>
      </x:c>
      <x:c r="AA131" s="52" t="n">
        <x:v>1</x:v>
      </x:c>
      <x:c r="AB131" s="53" t="b">
        <x:v>0</x:v>
      </x:c>
    </x:row>
    <x:row r="132" ht="42" customHeight="1">
      <x:c r="A132" s="57" t="n">
        <x:v>45832</x:v>
      </x:c>
      <x:c r="B132" s="52" t="str">
        <x:v>evt-20250624-released-o3-deep-research-and-o4-mini-deep-research</x:v>
      </x:c>
      <x:c r="C132" s="60" t="n">
        <x:v>2025</x:v>
      </x:c>
      <x:c r="D132" s="52" t="str">
        <x:v>Q2</x:v>
      </x:c>
      <x:c r="E132" s="52" t="str">
        <x:v>Agentic Shift</x:v>
      </x:c>
      <x:c r="F132" s="52" t="str">
        <x:v>models_reasoning</x:v>
      </x:c>
      <x:c r="G132" s="52" t="str">
        <x:v>Model Mountains</x:v>
      </x:c>
      <x:c r="H132" s="52" t="n">
        <x:v>1</x:v>
      </x:c>
      <x:c r="I132" s="52" t="str">
        <x:v>^</x:v>
      </x:c>
      <x:c r="J132" s="52" t="str">
        <x:v>Model Platform</x:v>
      </x:c>
      <x:c r="K132" s="52" t="str">
        <x:v>model_release</x:v>
      </x:c>
      <x:c r="L132" s="52" t="str">
        <x:v>active</x:v>
      </x:c>
      <x:c r="M132" s="63" t="str">
        <x:v>Released o3-deep-research and o4-mini-deep-research</x:v>
      </x:c>
      <x:c r="N132" s="63" t="str">
        <x:v>API 推出 o3 與 o4‑mini deep research 模型</x:v>
      </x:c>
      <x:c r="O132" s="63" t="str">
        <x:v>Released o3-deep-research and o4-mini-deep-research , deep research variants of our o-series reasoning models optimized for deep analysis and research tasks. Learn more in the deep research guide . Added support for async event handling with webhooks . Reduced and simplified pricing for the web search tool. Added support for the web search tool .</x:v>
      </x:c>
      <x:c r="P132" s="63" t="str">
        <x:v>API 推出 o3 與 o4‑mini deep research 模型。OpenAI 將此列為 2025-06-24 的功能；重點涉及代理與工具調用，模型、端點與參數名稱依官方英文保留。</x:v>
      </x:c>
      <x:c r="Q132" s="60" t="n">
        <x:v>4</x:v>
      </x:c>
      <x:c r="R132" s="60" t="str">
        <x:v>major</x:v>
      </x:c>
      <x:c r="S132" s="60" t="n">
        <x:v>2611</x:v>
      </x:c>
      <x:c r="T132" s="60" t="n">
        <x:v>283</x:v>
      </x:c>
      <x:c r="U132" s="52" t="str">
        <x:v>OpenAI API Changelog</x:v>
      </x:c>
      <x:c r="V132" s="52" t="str">
        <x:v>https://developers.openai.com/api/docs/changelog</x:v>
      </x:c>
      <x:c r="W132" s="52" t="str">
        <x:v>official_changelog</x:v>
      </x:c>
      <x:c r="X132" s="52" t="str">
        <x:v>complete</x:v>
      </x:c>
      <x:c r="Y132" s="52" t="str">
        <x:v>high</x:v>
      </x:c>
      <x:c r="Z132" s="52" t="str">
        <x:v>models_reasoning | model_release | Model Platform | api | feature | models</x:v>
      </x:c>
      <x:c r="AA132" s="52" t="n">
        <x:v>1</x:v>
      </x:c>
      <x:c r="AB132" s="53" t="b">
        <x:v>0</x:v>
      </x:c>
    </x:row>
    <x:row r="133" ht="42" customHeight="1">
      <x:c r="A133" s="57" t="n">
        <x:v>45832</x:v>
      </x:c>
      <x:c r="B133" s="52" t="str">
        <x:v>evt-20250624-chat-search-connectors-pro</x:v>
      </x:c>
      <x:c r="C133" s="60" t="n">
        <x:v>2025</x:v>
      </x:c>
      <x:c r="D133" s="52" t="str">
        <x:v>Q2</x:v>
      </x:c>
      <x:c r="E133" s="52" t="str">
        <x:v>Agentic Shift</x:v>
      </x:c>
      <x:c r="F133" s="52" t="str">
        <x:v>search_commerce</x:v>
      </x:c>
      <x:c r="G133" s="52" t="str">
        <x:v>Commerce Bazaar</x:v>
      </x:c>
      <x:c r="H133" s="52" t="n">
        <x:v>6</x:v>
      </x:c>
      <x:c r="I133" s="52" t="str">
        <x:v>$</x:v>
      </x:c>
      <x:c r="J133" s="52" t="str">
        <x:v>ChatGPT Search</x:v>
      </x:c>
      <x:c r="K133" s="52" t="str">
        <x:v>integration</x:v>
      </x:c>
      <x:c r="L133" s="52" t="str">
        <x:v>active</x:v>
      </x:c>
      <x:c r="M133" s="63" t="str">
        <x:v>Chat search connectors (Pro)</x:v>
      </x:c>
      <x:c r="N133" s="63" t="str">
        <x:v>聊天搜尋連接器 (Pro)</x:v>
      </x:c>
      <x:c r="O133" s="63" t="str">
        <x:v>Pro users are now able to use chat search connectors (in addition to deep research connectors) for the following integrations: Dropbox, Box, Google Drive (synced and non-synced), Microsoft OneDrive (Business), Microsoft SharePoint. Note this feature is currently limited to users located outside of the EEA, Switzerland, and the UK. Learn more about Connectors.</x:v>
      </x:c>
      <x:c r="P133" s="63" t="str">
        <x:v>Pro 使用者現在可以使用聊天搜尋連接器（除深度研究連接器外）進行以下整合：Dropbox、Box、Google Drive（同步與非同步）、Microsoft OneDrive (Business)、Microsoft SharePoint。請注意，此功能目前僅限於位於歐洲經濟區 (EEA)、瑞士和英國以外的使用者使用……</x:v>
      </x:c>
      <x:c r="Q133" s="60" t="n">
        <x:v>4</x:v>
      </x:c>
      <x:c r="R133" s="60" t="str">
        <x:v>major</x:v>
      </x:c>
      <x:c r="S133" s="60" t="n">
        <x:v>2611</x:v>
      </x:c>
      <x:c r="T133" s="60" t="n">
        <x:v>1076</x:v>
      </x:c>
      <x:c r="U133" s="52" t="str">
        <x:v>ChatGPT — Release Notes</x:v>
      </x:c>
      <x:c r="V133" s="52" t="str">
        <x:v>https://help.openai.com/en/articles/6825453-chatgpt-release-notes</x:v>
      </x:c>
      <x:c r="W133" s="52" t="str">
        <x:v>help_center_release_notes</x:v>
      </x:c>
      <x:c r="X133" s="52" t="str">
        <x:v>complete</x:v>
      </x:c>
      <x:c r="Y133" s="52" t="str">
        <x:v>high</x:v>
      </x:c>
      <x:c r="Z133" s="52" t="str">
        <x:v>search_commerce | integration | ChatGPT Search | 2025 | chatgpt-search | search-commerce</x:v>
      </x:c>
      <x:c r="AA133" s="52" t="n">
        <x:v>1</x:v>
      </x:c>
      <x:c r="AB133" s="53" t="b">
        <x:v>0</x:v>
      </x:c>
    </x:row>
    <x:row r="134" ht="42" customHeight="1">
      <x:c r="A134" s="57" t="n">
        <x:v>45832</x:v>
      </x:c>
      <x:c r="B134" s="52" t="str">
        <x:v>evt-20250624-project-file-limit-increased-pro</x:v>
      </x:c>
      <x:c r="C134" s="60" t="n">
        <x:v>2025</x:v>
      </x:c>
      <x:c r="D134" s="52" t="str">
        <x:v>Q2</x:v>
      </x:c>
      <x:c r="E134" s="52" t="str">
        <x:v>Agentic Shift</x:v>
      </x:c>
      <x:c r="F134" s="52" t="str">
        <x:v>memory_knowledge</x:v>
      </x:c>
      <x:c r="G134" s="52" t="str">
        <x:v>Memory Forest</x:v>
      </x:c>
      <x:c r="H134" s="52" t="n">
        <x:v>5</x:v>
      </x:c>
      <x:c r="I134" s="52" t="str">
        <x:v>&amp;</x:v>
      </x:c>
      <x:c r="J134" s="52" t="str">
        <x:v>ChatGPT Projects</x:v>
      </x:c>
      <x:c r="K134" s="52" t="str">
        <x:v>pricing_quota</x:v>
      </x:c>
      <x:c r="L134" s="52" t="str">
        <x:v>active</x:v>
      </x:c>
      <x:c r="M134" s="63" t="str">
        <x:v>Project file limit increased (Pro)</x:v>
      </x:c>
      <x:c r="N134" s="63" t="str">
        <x:v>Project 檔案限制增加 (Pro)</x:v>
      </x:c>
      <x:c r="O134" s="63" t="str">
        <x:v>Projects can now support 40 uploaded files, up from 20, for Pro users.</x:v>
      </x:c>
      <x:c r="P134" s="63" t="str">
        <x:v>OpenAI 於 2025-06-24 為 ChatGPT Projects 新增功能；此節點依官方發布記錄整理，完整能力、適用方案與限制請見來源。</x:v>
      </x:c>
      <x:c r="Q134" s="60" t="n">
        <x:v>4</x:v>
      </x:c>
      <x:c r="R134" s="60" t="str">
        <x:v>major</x:v>
      </x:c>
      <x:c r="S134" s="60" t="n">
        <x:v>2611</x:v>
      </x:c>
      <x:c r="T134" s="60" t="n">
        <x:v>890</x:v>
      </x:c>
      <x:c r="U134" s="52" t="str">
        <x:v>ChatGPT — Release Notes</x:v>
      </x:c>
      <x:c r="V134" s="52" t="str">
        <x:v>https://help.openai.com/en/articles/6825453-chatgpt-release-notes</x:v>
      </x:c>
      <x:c r="W134" s="52" t="str">
        <x:v>help_center_release_notes</x:v>
      </x:c>
      <x:c r="X134" s="52" t="str">
        <x:v>complete</x:v>
      </x:c>
      <x:c r="Y134" s="52" t="str">
        <x:v>high</x:v>
      </x:c>
      <x:c r="Z134" s="52" t="str">
        <x:v>memory_knowledge | pricing_quota | ChatGPT Projects | 2025 | memory-knowledge | projects</x:v>
      </x:c>
      <x:c r="AA134" s="52" t="n">
        <x:v>1</x:v>
      </x:c>
      <x:c r="AB134" s="53" t="b">
        <x:v>0</x:v>
      </x:c>
    </x:row>
    <x:row r="135" ht="42" customHeight="1">
      <x:c r="A135" s="57" t="n">
        <x:v>45854</x:v>
      </x:c>
      <x:c r="B135" s="52" t="str">
        <x:v>evt-20250716-record-mode-in-chatgpt-macos-desktop-app-plus</x:v>
      </x:c>
      <x:c r="C135" s="60" t="n">
        <x:v>2025</x:v>
      </x:c>
      <x:c r="D135" s="52" t="str">
        <x:v>Q3</x:v>
      </x:c>
      <x:c r="E135" s="52" t="str">
        <x:v>Agentic Shift</x:v>
      </x:c>
      <x:c r="F135" s="52" t="str">
        <x:v>multimodal</x:v>
      </x:c>
      <x:c r="G135" s="52" t="str">
        <x:v>Multimodal Coast</x:v>
      </x:c>
      <x:c r="H135" s="52" t="n">
        <x:v>4</x:v>
      </x:c>
      <x:c r="I135" s="52" t="str">
        <x:v>~</x:v>
      </x:c>
      <x:c r="J135" s="52" t="str">
        <x:v>ChatGPT Plus</x:v>
      </x:c>
      <x:c r="K135" s="52" t="str">
        <x:v>feature</x:v>
      </x:c>
      <x:c r="L135" s="52" t="str">
        <x:v>active</x:v>
      </x:c>
      <x:c r="M135" s="63" t="str">
        <x:v>Record mode in ChatGPT macOS desktop app (Plus)</x:v>
      </x:c>
      <x:c r="N135" s="63" t="str">
        <x:v>ChatGPT macOS 桌面應用程式中的錄音模式 (Plus)</x:v>
      </x:c>
      <x:c r="O135" s="63" t="str">
        <x:v>Record mode is now available to ChatGPT Plus users globally in the macOS desktop app. Record live conversations like team meetings or voice notes, and turn those into an editable summary in canvas. Available on the macOS desktop app only. Learn more about record mode. Note: Record mode originally rolled out to Team users on June 4, and Enterprise &amp; Edu plans on June 18.</x:v>
      </x:c>
      <x:c r="P135" s="63" t="str">
        <x:v>錄音模式即日起全球對 ChatGPT Plus 使用者在 macOS 桌面應用程式中開放。錄製現場對話（如團隊會議或語音筆記），並將其轉化為 canvas 中的可編輯摘要。僅適用於 macOS 桌面應用程式。深入了解錄音模式……</x:v>
      </x:c>
      <x:c r="Q135" s="60" t="n">
        <x:v>4</x:v>
      </x:c>
      <x:c r="R135" s="60" t="str">
        <x:v>major</x:v>
      </x:c>
      <x:c r="S135" s="60" t="n">
        <x:v>2667</x:v>
      </x:c>
      <x:c r="T135" s="60" t="n">
        <x:v>730</x:v>
      </x:c>
      <x:c r="U135" s="52" t="str">
        <x:v>ChatGPT — Release Notes</x:v>
      </x:c>
      <x:c r="V135" s="52" t="str">
        <x:v>https://help.openai.com/en/articles/6825453-chatgpt-release-notes</x:v>
      </x:c>
      <x:c r="W135" s="52" t="str">
        <x:v>help_center_release_notes</x:v>
      </x:c>
      <x:c r="X135" s="52" t="str">
        <x:v>complete</x:v>
      </x:c>
      <x:c r="Y135" s="52" t="str">
        <x:v>high</x:v>
      </x:c>
      <x:c r="Z135" s="52" t="str">
        <x:v>multimodal | feature | ChatGPT Plus | 2025 | chatgpt</x:v>
      </x:c>
      <x:c r="AA135" s="52" t="n">
        <x:v>1</x:v>
      </x:c>
      <x:c r="AB135" s="53" t="b">
        <x:v>0</x:v>
      </x:c>
    </x:row>
    <x:row r="136" ht="42" customHeight="1">
      <x:c r="A136" s="57" t="n">
        <x:v>45855</x:v>
      </x:c>
      <x:c r="B136" s="52" t="str">
        <x:v>evt-20250717-introducing-chatgpt-agent</x:v>
      </x:c>
      <x:c r="C136" s="60" t="n">
        <x:v>2025</x:v>
      </x:c>
      <x:c r="D136" s="52" t="str">
        <x:v>Q3</x:v>
      </x:c>
      <x:c r="E136" s="52" t="str">
        <x:v>Agentic Shift</x:v>
      </x:c>
      <x:c r="F136" s="52" t="str">
        <x:v>agents_research</x:v>
      </x:c>
      <x:c r="G136" s="52" t="str">
        <x:v>Agentic Frontier</x:v>
      </x:c>
      <x:c r="H136" s="52" t="n">
        <x:v>2</x:v>
      </x:c>
      <x:c r="I136" s="52" t="str">
        <x:v>&gt;</x:v>
      </x:c>
      <x:c r="J136" s="52" t="str">
        <x:v>ChatGPT Agent</x:v>
      </x:c>
      <x:c r="K136" s="52" t="str">
        <x:v>launch</x:v>
      </x:c>
      <x:c r="L136" s="52" t="str">
        <x:v>active</x:v>
      </x:c>
      <x:c r="M136" s="63" t="str">
        <x:v>Introducing ChatGPT agent</x:v>
      </x:c>
      <x:c r="N136" s="63" t="str">
        <x:v>推出 ChatGPT Agent</x:v>
      </x:c>
      <x:c r="O136" s="63" t="str">
        <x:v>OpenAI launched ChatGPT agent for Pro, Plus, and Team, combining web interaction, deep research, connected sources, terminal use, and editable artifacts in a user-supervised virtual computer.</x:v>
      </x:c>
      <x:c r="P136" s="63" t="str">
        <x:v>OpenAI 為 Pro、Plus 和 Team 使用者推出 ChatGPT agent，結合網頁互動、深度研究、已連結來源、終端機使用以及可編輯的產出物，並在使用者監督的虛擬電腦中運作。</x:v>
      </x:c>
      <x:c r="Q136" s="60" t="n">
        <x:v>5</x:v>
      </x:c>
      <x:c r="R136" s="60" t="str">
        <x:v>landmark</x:v>
      </x:c>
      <x:c r="S136" s="60" t="n">
        <x:v>2669</x:v>
      </x:c>
      <x:c r="T136" s="60" t="n">
        <x:v>454</x:v>
      </x:c>
      <x:c r="U136" s="52" t="str">
        <x:v>ChatGPT agent — Release Notes</x:v>
      </x:c>
      <x:c r="V136" s="52" t="str">
        <x:v>https://help.openai.com/en/articles/11794368-chatgpt-agent-release-notes</x:v>
      </x:c>
      <x:c r="W136" s="52" t="str">
        <x:v>help_center_release_notes</x:v>
      </x:c>
      <x:c r="X136" s="52" t="str">
        <x:v>corroborated</x:v>
      </x:c>
      <x:c r="Y136" s="52" t="str">
        <x:v>high</x:v>
      </x:c>
      <x:c r="Z136" s="52" t="str">
        <x:v>agents_research | launch | ChatGPT Agent</x:v>
      </x:c>
      <x:c r="AA136" s="52" t="n">
        <x:v>2</x:v>
      </x:c>
      <x:c r="AB136" s="53" t="b">
        <x:v>1</x:v>
      </x:c>
    </x:row>
    <x:row r="137" ht="42" customHeight="1">
      <x:c r="A137" s="57" t="n">
        <x:v>45855</x:v>
      </x:c>
      <x:c r="B137" s="52" t="str">
        <x:v>evt-20250717-operator-standalone-experience-deprecation-announced</x:v>
      </x:c>
      <x:c r="C137" s="60" t="n">
        <x:v>2025</x:v>
      </x:c>
      <x:c r="D137" s="52" t="str">
        <x:v>Q3</x:v>
      </x:c>
      <x:c r="E137" s="52" t="str">
        <x:v>Agentic Shift</x:v>
      </x:c>
      <x:c r="F137" s="52" t="str">
        <x:v>agents_research</x:v>
      </x:c>
      <x:c r="G137" s="52" t="str">
        <x:v>Agentic Frontier</x:v>
      </x:c>
      <x:c r="H137" s="52" t="n">
        <x:v>2</x:v>
      </x:c>
      <x:c r="I137" s="52" t="str">
        <x:v>&gt;</x:v>
      </x:c>
      <x:c r="J137" s="52" t="str">
        <x:v>Operator</x:v>
      </x:c>
      <x:c r="K137" s="52" t="str">
        <x:v>deprecation</x:v>
      </x:c>
      <x:c r="L137" s="52" t="str">
        <x:v>deprecated</x:v>
      </x:c>
      <x:c r="M137" s="63" t="str">
        <x:v>Operator standalone experience deprecation announced</x:v>
      </x:c>
      <x:c r="N137" s="63" t="str">
        <x:v>宣佈終止 Operator 獨立體驗</x:v>
      </x:c>
      <x:c r="O137" s="63" t="str">
        <x:v>With Operator functionality integrated into ChatGPT agent, OpenAI announced that the standalone Operator experience at operator.chatgpt.com would be deprecated in the following weeks.</x:v>
      </x:c>
      <x:c r="P137" s="63" t="str">
        <x:v>隨著 Operator 功能整合至 ChatGPT agent，OpenAI 宣佈 operator.chatgpt.com 上的獨立 Operator 體驗將於未來幾週內終止。</x:v>
      </x:c>
      <x:c r="Q137" s="60" t="n">
        <x:v>4</x:v>
      </x:c>
      <x:c r="R137" s="60" t="str">
        <x:v>major</x:v>
      </x:c>
      <x:c r="S137" s="60" t="n">
        <x:v>2669</x:v>
      </x:c>
      <x:c r="T137" s="60" t="n">
        <x:v>428</x:v>
      </x:c>
      <x:c r="U137" s="52" t="str">
        <x:v>ChatGPT agent — Release Notes</x:v>
      </x:c>
      <x:c r="V137" s="52" t="str">
        <x:v>https://help.openai.com/en/articles/11794368-chatgpt-agent-release-notes</x:v>
      </x:c>
      <x:c r="W137" s="52" t="str">
        <x:v>help_center_release_notes</x:v>
      </x:c>
      <x:c r="X137" s="52" t="str">
        <x:v>complete</x:v>
      </x:c>
      <x:c r="Y137" s="52" t="str">
        <x:v>high</x:v>
      </x:c>
      <x:c r="Z137" s="52" t="str">
        <x:v>agents_research | deprecation | Operator | 2025 | agents-research | operator</x:v>
      </x:c>
      <x:c r="AA137" s="52" t="n">
        <x:v>1</x:v>
      </x:c>
      <x:c r="AB137" s="53" t="b">
        <x:v>0</x:v>
      </x:c>
    </x:row>
    <x:row r="138" ht="42" customHeight="1">
      <x:c r="A138" s="57" t="n">
        <x:v>45855</x:v>
      </x:c>
      <x:c r="B138" s="52" t="str">
        <x:v>evt-20250717-updates-to-advanced-voice-mode-for-free-tier-users</x:v>
      </x:c>
      <x:c r="C138" s="60" t="n">
        <x:v>2025</x:v>
      </x:c>
      <x:c r="D138" s="52" t="str">
        <x:v>Q3</x:v>
      </x:c>
      <x:c r="E138" s="52" t="str">
        <x:v>Agentic Shift</x:v>
      </x:c>
      <x:c r="F138" s="52" t="str">
        <x:v>multimodal</x:v>
      </x:c>
      <x:c r="G138" s="52" t="str">
        <x:v>Multimodal Coast</x:v>
      </x:c>
      <x:c r="H138" s="52" t="n">
        <x:v>4</x:v>
      </x:c>
      <x:c r="I138" s="52" t="str">
        <x:v>~</x:v>
      </x:c>
      <x:c r="J138" s="52" t="str">
        <x:v>ChatGPT Voice</x:v>
      </x:c>
      <x:c r="K138" s="52" t="str">
        <x:v>feature</x:v>
      </x:c>
      <x:c r="L138" s="52" t="str">
        <x:v>active</x:v>
      </x:c>
      <x:c r="M138" s="63" t="str">
        <x:v>Updates to Advanced Voice Mode for Free tier users</x:v>
      </x:c>
      <x:c r="N138" s="63" t="str">
        <x:v>免費版用戶的進階語音模式更新</x:v>
      </x:c>
      <x:c r="O138" s="63" t="str">
        <x:v>The Advanced Voice upgrades we announced on June 7th are now rolling out to ChatGPT free users too. With the same improvements available to paid users, ChatGPT sounds more natural and expressive, and can translate more effectively. Rate limits for free users stay the same.</x:v>
      </x:c>
      <x:c r="P138" s="63" t="str">
        <x:v>我們於 6 月 7 日宣佈的進階語音升級現已向 ChatGPT 免費版用戶開放。透過與付費版用戶相同的改進，ChatGPT 聽起來更自然、更具表現力，且能更有效地進行翻譯。免費版用戶的速率限制保持不變。</x:v>
      </x:c>
      <x:c r="Q138" s="60" t="n">
        <x:v>4</x:v>
      </x:c>
      <x:c r="R138" s="60" t="str">
        <x:v>major</x:v>
      </x:c>
      <x:c r="S138" s="60" t="n">
        <x:v>2669</x:v>
      </x:c>
      <x:c r="T138" s="60" t="n">
        <x:v>750</x:v>
      </x:c>
      <x:c r="U138" s="52" t="str">
        <x:v>ChatGPT — Release Notes</x:v>
      </x:c>
      <x:c r="V138" s="52" t="str">
        <x:v>https://help.openai.com/en/articles/6825453-chatgpt-release-notes</x:v>
      </x:c>
      <x:c r="W138" s="52" t="str">
        <x:v>help_center_release_notes</x:v>
      </x:c>
      <x:c r="X138" s="52" t="str">
        <x:v>complete</x:v>
      </x:c>
      <x:c r="Y138" s="52" t="str">
        <x:v>high</x:v>
      </x:c>
      <x:c r="Z138" s="52" t="str">
        <x:v>multimodal | feature | ChatGPT Voice | 2025 | chatgpt-voice</x:v>
      </x:c>
      <x:c r="AA138" s="52" t="n">
        <x:v>1</x:v>
      </x:c>
      <x:c r="AB138" s="53" t="b">
        <x:v>0</x:v>
      </x:c>
    </x:row>
    <x:row r="139" ht="42" customHeight="1">
      <x:c r="A139" s="57" t="n">
        <x:v>45862</x:v>
      </x:c>
      <x:c r="B139" s="52" t="str">
        <x:v>evt-20250724-chat-search-for-hubspot-and-custom-connectors-mcp-pro</x:v>
      </x:c>
      <x:c r="C139" s="60" t="n">
        <x:v>2025</x:v>
      </x:c>
      <x:c r="D139" s="52" t="str">
        <x:v>Q3</x:v>
      </x:c>
      <x:c r="E139" s="52" t="str">
        <x:v>Agentic Shift</x:v>
      </x:c>
      <x:c r="F139" s="52" t="str">
        <x:v>search_commerce</x:v>
      </x:c>
      <x:c r="G139" s="52" t="str">
        <x:v>Commerce Bazaar</x:v>
      </x:c>
      <x:c r="H139" s="52" t="n">
        <x:v>6</x:v>
      </x:c>
      <x:c r="I139" s="52" t="str">
        <x:v>$</x:v>
      </x:c>
      <x:c r="J139" s="52" t="str">
        <x:v>ChatGPT Search</x:v>
      </x:c>
      <x:c r="K139" s="52" t="str">
        <x:v>integration</x:v>
      </x:c>
      <x:c r="L139" s="52" t="str">
        <x:v>active</x:v>
      </x:c>
      <x:c r="M139" s="63" t="str">
        <x:v>Chat search for HubSpot and custom connectors (MCP) (Pro)</x:v>
      </x:c>
      <x:c r="N139" s="63" t="str">
        <x:v>HubSpot 與自訂連接器 (MCP) 的聊天搜尋 (Pro)</x:v>
      </x:c>
      <x:c r="O139" s="63" t="str">
        <x:v>Pro users can now utilize chat search with HubSpot and custom connectors (MCP) in addition to deep research. Note this feature is currently limited to users located outside of the EEA, Switzerland, and the UK. Learn more about connectors, as well as how to create a custom connector using MCP.</x:v>
      </x:c>
      <x:c r="P139" s="63" t="str">
        <x:v>Pro 用戶除深度研究外，現亦可將聊天搜尋用於 HubSpot 與自訂連接器 (MCP)。請注意，此功能目前僅限位於歐洲經濟區 (EEA)、瑞士及英國以外的用戶使用。瞭解更多關於連接器，以及如何使用 MCP 建立自訂連接器的資訊。</x:v>
      </x:c>
      <x:c r="Q139" s="60" t="n">
        <x:v>4</x:v>
      </x:c>
      <x:c r="R139" s="60" t="str">
        <x:v>major</x:v>
      </x:c>
      <x:c r="S139" s="60" t="n">
        <x:v>2687</x:v>
      </x:c>
      <x:c r="T139" s="60" t="n">
        <x:v>1033</x:v>
      </x:c>
      <x:c r="U139" s="52" t="str">
        <x:v>ChatGPT — Release Notes</x:v>
      </x:c>
      <x:c r="V139" s="52" t="str">
        <x:v>https://help.openai.com/en/articles/6825453-chatgpt-release-notes</x:v>
      </x:c>
      <x:c r="W139" s="52" t="str">
        <x:v>help_center_release_notes</x:v>
      </x:c>
      <x:c r="X139" s="52" t="str">
        <x:v>complete</x:v>
      </x:c>
      <x:c r="Y139" s="52" t="str">
        <x:v>high</x:v>
      </x:c>
      <x:c r="Z139" s="52" t="str">
        <x:v>search_commerce | integration | ChatGPT Search | 2025 | chatgpt-search | search-commerce</x:v>
      </x:c>
      <x:c r="AA139" s="52" t="n">
        <x:v>1</x:v>
      </x:c>
      <x:c r="AB139" s="53" t="b">
        <x:v>0</x:v>
      </x:c>
    </x:row>
    <x:row r="140" ht="42" customHeight="1">
      <x:c r="A140" s="57" t="n">
        <x:v>45862</x:v>
      </x:c>
      <x:c r="B140" s="52" t="str">
        <x:v>evt-20250724-canva-and-notion-connectors-pro</x:v>
      </x:c>
      <x:c r="C140" s="60" t="n">
        <x:v>2025</x:v>
      </x:c>
      <x:c r="D140" s="52" t="str">
        <x:v>Q3</x:v>
      </x:c>
      <x:c r="E140" s="52" t="str">
        <x:v>Agentic Shift</x:v>
      </x:c>
      <x:c r="F140" s="52" t="str">
        <x:v>developer_platform</x:v>
      </x:c>
      <x:c r="G140" s="52" t="str">
        <x:v>Toolsmith Harbor</x:v>
      </x:c>
      <x:c r="H140" s="52" t="n">
        <x:v>3</x:v>
      </x:c>
      <x:c r="I140" s="52" t="str">
        <x:v>#</x:v>
      </x:c>
      <x:c r="J140" s="52" t="str">
        <x:v>Apps &amp; Connectors</x:v>
      </x:c>
      <x:c r="K140" s="52" t="str">
        <x:v>integration</x:v>
      </x:c>
      <x:c r="L140" s="52" t="str">
        <x:v>active</x:v>
      </x:c>
      <x:c r="M140" s="63" t="str">
        <x:v>Canva and Notion connectors (Pro)</x:v>
      </x:c>
      <x:c r="N140" s="63" t="str">
        <x:v>Canva 與 Notion 連接器 (Pro)</x:v>
      </x:c>
      <x:c r="O140" s="63" t="str">
        <x:v>Pro users can now connect to Canva and Notion for both chat search and deep research. Note this feature is currently limited to users located outside of the EEA, Switzerland, and the UK. Learn more about connectors.</x:v>
      </x:c>
      <x:c r="P140" s="63" t="str">
        <x:v>Pro 用戶現可連接至 Canva 與 Notion，以進行聊天搜尋與深度研究。請注意，此功能目前僅限位於歐洲經濟區 (EEA)、瑞士及英國以外的用戶使用。瞭解更多關於連接器的資訊。</x:v>
      </x:c>
      <x:c r="Q140" s="60" t="n">
        <x:v>4</x:v>
      </x:c>
      <x:c r="R140" s="60" t="str">
        <x:v>major</x:v>
      </x:c>
      <x:c r="S140" s="60" t="n">
        <x:v>2687</x:v>
      </x:c>
      <x:c r="T140" s="60" t="n">
        <x:v>616</x:v>
      </x:c>
      <x:c r="U140" s="52" t="str">
        <x:v>ChatGPT — Release Notes</x:v>
      </x:c>
      <x:c r="V140" s="52" t="str">
        <x:v>https://help.openai.com/en/articles/6825453-chatgpt-release-notes</x:v>
      </x:c>
      <x:c r="W140" s="52" t="str">
        <x:v>help_center_release_notes</x:v>
      </x:c>
      <x:c r="X140" s="52" t="str">
        <x:v>complete</x:v>
      </x:c>
      <x:c r="Y140" s="52" t="str">
        <x:v>high</x:v>
      </x:c>
      <x:c r="Z140" s="52" t="str">
        <x:v>developer_platform | integration | Apps &amp; Connectors | 2025 | apps-connectors | developer-platform</x:v>
      </x:c>
      <x:c r="AA140" s="52" t="n">
        <x:v>1</x:v>
      </x:c>
      <x:c r="AB140" s="53" t="b">
        <x:v>0</x:v>
      </x:c>
    </x:row>
    <x:row r="141" ht="42" customHeight="1">
      <x:c r="A141" s="57" t="n">
        <x:v>45867</x:v>
      </x:c>
      <x:c r="B141" s="52" t="str">
        <x:v>evt-20250729-study-mode</x:v>
      </x:c>
      <x:c r="C141" s="60" t="n">
        <x:v>2025</x:v>
      </x:c>
      <x:c r="D141" s="52" t="str">
        <x:v>Q3</x:v>
      </x:c>
      <x:c r="E141" s="52" t="str">
        <x:v>Agentic Shift</x:v>
      </x:c>
      <x:c r="F141" s="52" t="str">
        <x:v>enterprise_vertical</x:v>
      </x:c>
      <x:c r="G141" s="52" t="str">
        <x:v>Enterprise Citadel</x:v>
      </x:c>
      <x:c r="H141" s="52" t="n">
        <x:v>7</x:v>
      </x:c>
      <x:c r="I141" s="52" t="str">
        <x:v>H</x:v>
      </x:c>
      <x:c r="J141" s="52" t="str">
        <x:v>ChatGPT Enterprise &amp; Edu</x:v>
      </x:c>
      <x:c r="K141" s="52" t="str">
        <x:v>launch</x:v>
      </x:c>
      <x:c r="L141" s="52" t="str">
        <x:v>active</x:v>
      </x:c>
      <x:c r="M141" s="63" t="str">
        <x:v>Study Mode</x:v>
      </x:c>
      <x:c r="N141" s="63" t="str">
        <x:v>學習模式</x:v>
      </x:c>
      <x:c r="O141" s="63" t="str">
        <x:v>Study mode is currently available to users in Free, Plus, Pro, and Teams plans globally and will expand to Edu plans in the coming weeks. Study mode works with any model available in ChatGPT on iOS, Android, web, and desktop. Study mode is a new learning experience in ChatGPT designed to help you build a deeper understanding of any topic. When you turn it on, ChatGPT will ask interactive questions to understand your goals and skill l…</x:v>
      </x:c>
      <x:c r="P141" s="63" t="str">
        <x:v>學習模式目前向全球 Free、Plus、Pro 及 Teams 方案的用戶開放，並將於未來幾週內擴展至 Edu 方案。學習模式適用於 ChatGPT 在 iOS、Android、網頁及桌面版上提供的任何模型。學習模式是 ChatGPT 中的一項新學習體驗，旨在協助您對任何主題建立更深刻的理解。</x:v>
      </x:c>
      <x:c r="Q141" s="60" t="n">
        <x:v>5</x:v>
      </x:c>
      <x:c r="R141" s="60" t="str">
        <x:v>landmark</x:v>
      </x:c>
      <x:c r="S141" s="60" t="n">
        <x:v>2700</x:v>
      </x:c>
      <x:c r="T141" s="60" t="n">
        <x:v>1238</x:v>
      </x:c>
      <x:c r="U141" s="52" t="str">
        <x:v>ChatGPT — Release Notes</x:v>
      </x:c>
      <x:c r="V141" s="52" t="str">
        <x:v>https://help.openai.com/en/articles/6825453-chatgpt-release-notes</x:v>
      </x:c>
      <x:c r="W141" s="52" t="str">
        <x:v>help_center_release_notes</x:v>
      </x:c>
      <x:c r="X141" s="52" t="str">
        <x:v>complete</x:v>
      </x:c>
      <x:c r="Y141" s="52" t="str">
        <x:v>high</x:v>
      </x:c>
      <x:c r="Z141" s="52" t="str">
        <x:v>enterprise_vertical | launch | ChatGPT Enterprise &amp; Edu | 2025 | chatgpt | enterprise-vertical</x:v>
      </x:c>
      <x:c r="AA141" s="52" t="n">
        <x:v>1</x:v>
      </x:c>
      <x:c r="AB141" s="53" t="b">
        <x:v>0</x:v>
      </x:c>
    </x:row>
    <x:row r="142" ht="42" customHeight="1">
      <x:c r="A142" s="57" t="n">
        <x:v>45874</x:v>
      </x:c>
      <x:c r="B142" s="52" t="str">
        <x:v>evt-20250805-introducing-gpt-oss-120b-and-gpt-oss-20b</x:v>
      </x:c>
      <x:c r="C142" s="60" t="n">
        <x:v>2025</x:v>
      </x:c>
      <x:c r="D142" s="52" t="str">
        <x:v>Q3</x:v>
      </x:c>
      <x:c r="E142" s="52" t="str">
        <x:v>Agentic Shift</x:v>
      </x:c>
      <x:c r="F142" s="52" t="str">
        <x:v>models_reasoning</x:v>
      </x:c>
      <x:c r="G142" s="52" t="str">
        <x:v>Model Mountains</x:v>
      </x:c>
      <x:c r="H142" s="52" t="n">
        <x:v>1</x:v>
      </x:c>
      <x:c r="I142" s="52" t="str">
        <x:v>^</x:v>
      </x:c>
      <x:c r="J142" s="52" t="str">
        <x:v>gpt-oss</x:v>
      </x:c>
      <x:c r="K142" s="52" t="str">
        <x:v>model_release</x:v>
      </x:c>
      <x:c r="L142" s="52" t="str">
        <x:v>active</x:v>
      </x:c>
      <x:c r="M142" s="63" t="str">
        <x:v>Introducing gpt-oss-120b and gpt-oss-20b</x:v>
      </x:c>
      <x:c r="N142" s="63" t="str">
        <x:v>推出 gpt-oss-120b 與 gpt-oss-20b</x:v>
      </x:c>
      <x:c r="O142" s="63" t="str">
        <x:v>OpenAI released two Apache 2.0 open-weight text reasoning models for teams to run and customize on their own infrastructure or hosting providers.</x:v>
      </x:c>
      <x:c r="P142" s="63" t="str">
        <x:v>OpenAI 推出兩個採用 Apache 2.0 授權的開放權重文字推理模型，供團隊在其自有基礎設施或託管服務供應商上執行並自訂。</x:v>
      </x:c>
      <x:c r="Q142" s="60" t="n">
        <x:v>4</x:v>
      </x:c>
      <x:c r="R142" s="60" t="str">
        <x:v>major</x:v>
      </x:c>
      <x:c r="S142" s="60" t="n">
        <x:v>2718</x:v>
      </x:c>
      <x:c r="T142" s="60" t="n">
        <x:v>342</x:v>
      </x:c>
      <x:c r="U142" s="52" t="str">
        <x:v>Introducing gpt-oss</x:v>
      </x:c>
      <x:c r="V142" s="52" t="str">
        <x:v>https://openai.com/index/introducing-gpt-oss/</x:v>
      </x:c>
      <x:c r="W142" s="52" t="str">
        <x:v>official_launch_post</x:v>
      </x:c>
      <x:c r="X142" s="52" t="str">
        <x:v>complete</x:v>
      </x:c>
      <x:c r="Y142" s="52" t="str">
        <x:v>high</x:v>
      </x:c>
      <x:c r="Z142" s="52" t="str">
        <x:v>models_reasoning | model_release | gpt-oss | 2025 | models-reasoning</x:v>
      </x:c>
      <x:c r="AA142" s="52" t="n">
        <x:v>1</x:v>
      </x:c>
      <x:c r="AB142" s="53" t="b">
        <x:v>0</x:v>
      </x:c>
    </x:row>
    <x:row r="143" ht="42" customHeight="1">
      <x:c r="A143" s="57" t="n">
        <x:v>45874</x:v>
      </x:c>
      <x:c r="B143" s="52" t="str">
        <x:v>evt-20250805-introducing-two-open-weight-models-gpt-oss-120b-and-gpt-os</x:v>
      </x:c>
      <x:c r="C143" s="60" t="n">
        <x:v>2025</x:v>
      </x:c>
      <x:c r="D143" s="52" t="str">
        <x:v>Q3</x:v>
      </x:c>
      <x:c r="E143" s="52" t="str">
        <x:v>Agentic Shift</x:v>
      </x:c>
      <x:c r="F143" s="52" t="str">
        <x:v>models_reasoning</x:v>
      </x:c>
      <x:c r="G143" s="52" t="str">
        <x:v>Model Mountains</x:v>
      </x:c>
      <x:c r="H143" s="52" t="n">
        <x:v>1</x:v>
      </x:c>
      <x:c r="I143" s="52" t="str">
        <x:v>^</x:v>
      </x:c>
      <x:c r="J143" s="52" t="str">
        <x:v>ChatGPT Business</x:v>
      </x:c>
      <x:c r="K143" s="52" t="str">
        <x:v>model_release</x:v>
      </x:c>
      <x:c r="L143" s="52" t="str">
        <x:v>active</x:v>
      </x:c>
      <x:c r="M143" s="63" t="str">
        <x:v>Introducing two open-weight models: gpt-oss-120b and gpt-oss-20b</x:v>
      </x:c>
      <x:c r="N143" s="63" t="str">
        <x:v>推出two open-weight models: gpt-oss-120b and gpt-oss-20b</x:v>
      </x:c>
      <x:c r="O143" s="63" t="str">
        <x:v>We’re releasing two open-weight reasoning models, gpt-oss-120b and gpt-oss-20b. Designed for teams that want to run and customize models on their own infrastructure or with hosting providers, these text-only models support common developer patterns like function calling and structured outputs. For more information, please visit our open models and help center.</x:v>
      </x:c>
      <x:c r="P143" s="63" t="str">
        <x:v>OpenAI 於 2025-08-05 為 ChatGPT Business 發布模型；此節點依官方發布記錄整理，完整能力、適用方案與限制請見來源。</x:v>
      </x:c>
      <x:c r="Q143" s="60" t="n">
        <x:v>4</x:v>
      </x:c>
      <x:c r="R143" s="60" t="str">
        <x:v>major</x:v>
      </x:c>
      <x:c r="S143" s="60" t="n">
        <x:v>2718</x:v>
      </x:c>
      <x:c r="T143" s="60" t="n">
        <x:v>339</x:v>
      </x:c>
      <x:c r="U143" s="52" t="str">
        <x:v>Model Release Notes</x:v>
      </x:c>
      <x:c r="V143" s="52" t="str">
        <x:v>https://help.openai.com/en/articles/9624314-model-release-notes</x:v>
      </x:c>
      <x:c r="W143" s="52" t="str">
        <x:v>help_center_release_notes</x:v>
      </x:c>
      <x:c r="X143" s="52" t="str">
        <x:v>parsed</x:v>
      </x:c>
      <x:c r="Y143" s="52" t="str">
        <x:v>high</x:v>
      </x:c>
      <x:c r="Z143" s="52" t="str">
        <x:v>models_reasoning | model_release | ChatGPT Business</x:v>
      </x:c>
      <x:c r="AA143" s="52" t="n">
        <x:v>1</x:v>
      </x:c>
      <x:c r="AB143" s="53" t="b">
        <x:v>0</x:v>
      </x:c>
    </x:row>
    <x:row r="144" ht="42" customHeight="1">
      <x:c r="A144" s="57" t="n">
        <x:v>45876</x:v>
      </x:c>
      <x:c r="B144" s="52" t="str">
        <x:v>evt-20250807-gpt-5</x:v>
      </x:c>
      <x:c r="C144" s="60" t="n">
        <x:v>2025</x:v>
      </x:c>
      <x:c r="D144" s="52" t="str">
        <x:v>Q3</x:v>
      </x:c>
      <x:c r="E144" s="52" t="str">
        <x:v>Unified Intelligence</x:v>
      </x:c>
      <x:c r="F144" s="52" t="str">
        <x:v>models_reasoning</x:v>
      </x:c>
      <x:c r="G144" s="52" t="str">
        <x:v>Model Mountains</x:v>
      </x:c>
      <x:c r="H144" s="52" t="n">
        <x:v>1</x:v>
      </x:c>
      <x:c r="I144" s="52" t="str">
        <x:v>^</x:v>
      </x:c>
      <x:c r="J144" s="52" t="str">
        <x:v>GPT-5</x:v>
      </x:c>
      <x:c r="K144" s="52" t="str">
        <x:v>model_release</x:v>
      </x:c>
      <x:c r="L144" s="52" t="str">
        <x:v>active</x:v>
      </x:c>
      <x:c r="M144" s="63" t="str">
        <x:v>GPT-5</x:v>
      </x:c>
      <x:c r="N144" s="63" t="str">
        <x:v>模型發布：GPT-5</x:v>
      </x:c>
      <x:c r="O144" s="63" t="str">
        <x:v>GPT-5 is slowly rolling out to all users on ChatGPT Plus, Pro, Team, and Free plans worldwide across web, mobile, and desktop. GPT-5 will be available to ChatGPT Enterprise and Edu plans soon. GPT-5 in ChatGPT is our next flagship model and the new default for all logged-in users. It simplifies ChatGPT to a single auto-switching system that brings together the best of our previous models into a smart, fast model. GPT-5 is available t…</x:v>
      </x:c>
      <x:c r="P144" s="63" t="str">
        <x:v>GPT-5 正逐步向全球網頁、行動裝置及桌面版 ChatGPT Plus、Pro、Team 及 Free 方案的所有用戶推出。GPT-5 將於近期向 ChatGPT Enterprise 及 Edu 方案提供。ChatGPT 中的 GPT-5 是我們的新一代旗艦模型，也是所有已登入用戶的新預設模型。</x:v>
      </x:c>
      <x:c r="Q144" s="60" t="n">
        <x:v>5</x:v>
      </x:c>
      <x:c r="R144" s="60" t="str">
        <x:v>landmark</x:v>
      </x:c>
      <x:c r="S144" s="60" t="n">
        <x:v>2723</x:v>
      </x:c>
      <x:c r="T144" s="60" t="n">
        <x:v>332</x:v>
      </x:c>
      <x:c r="U144" s="52" t="str">
        <x:v>ChatGPT — Release Notes</x:v>
      </x:c>
      <x:c r="V144" s="52" t="str">
        <x:v>https://help.openai.com/en/articles/6825453-chatgpt-release-notes</x:v>
      </x:c>
      <x:c r="W144" s="52" t="str">
        <x:v>help_center_release_notes</x:v>
      </x:c>
      <x:c r="X144" s="52" t="str">
        <x:v>complete</x:v>
      </x:c>
      <x:c r="Y144" s="52" t="str">
        <x:v>high</x:v>
      </x:c>
      <x:c r="Z144" s="52" t="str">
        <x:v>models_reasoning | model_release | GPT-5 | 2025 | gpt-5 | models-reasoning</x:v>
      </x:c>
      <x:c r="AA144" s="52" t="n">
        <x:v>1</x:v>
      </x:c>
      <x:c r="AB144" s="53" t="b">
        <x:v>0</x:v>
      </x:c>
    </x:row>
    <x:row r="145" ht="42" customHeight="1">
      <x:c r="A145" s="57" t="n">
        <x:v>45876</x:v>
      </x:c>
      <x:c r="B145" s="52" t="str">
        <x:v>evt-20250807-released-gpt-5-family-of-models-in-the-api</x:v>
      </x:c>
      <x:c r="C145" s="60" t="n">
        <x:v>2025</x:v>
      </x:c>
      <x:c r="D145" s="52" t="str">
        <x:v>Q3</x:v>
      </x:c>
      <x:c r="E145" s="52" t="str">
        <x:v>Unified Intelligence</x:v>
      </x:c>
      <x:c r="F145" s="52" t="str">
        <x:v>models_reasoning</x:v>
      </x:c>
      <x:c r="G145" s="52" t="str">
        <x:v>Model Mountains</x:v>
      </x:c>
      <x:c r="H145" s="52" t="n">
        <x:v>1</x:v>
      </x:c>
      <x:c r="I145" s="52" t="str">
        <x:v>^</x:v>
      </x:c>
      <x:c r="J145" s="52" t="str">
        <x:v>Model Platform</x:v>
      </x:c>
      <x:c r="K145" s="52" t="str">
        <x:v>model_release</x:v>
      </x:c>
      <x:c r="L145" s="52" t="str">
        <x:v>active</x:v>
      </x:c>
      <x:c r="M145" s="63" t="str">
        <x:v>Released GPT-5 family of models in the API</x:v>
      </x:c>
      <x:c r="N145" s="63" t="str">
        <x:v>API 推出 GPT‑5、GPT‑5 mini 與 GPT‑5 nano</x:v>
      </x:c>
      <x:c r="O145" s="63" t="str">
        <x:v>Released GPT-5 family of models in the API, including gpt-5 , gpt-5-mini , and gpt-5-nano . Introduced the minimal reasoning effort value to optimize for fast responses in GPT-5 models (which support reasoning). Introduced custom tool call type, which allows for freeform inputs to and outputs from the model when tool calling.</x:v>
      </x:c>
      <x:c r="P145" s="63" t="str">
        <x:v>API 推出 GPT‑5、GPT‑5 mini 與 GPT‑5 nano。OpenAI 將此列為 2025-08-07 的功能；重點涉及代理與工具調用，模型、端點與參數名稱依官方英文保留。</x:v>
      </x:c>
      <x:c r="Q145" s="60" t="n">
        <x:v>5</x:v>
      </x:c>
      <x:c r="R145" s="60" t="str">
        <x:v>landmark</x:v>
      </x:c>
      <x:c r="S145" s="60" t="n">
        <x:v>2723</x:v>
      </x:c>
      <x:c r="T145" s="60" t="n">
        <x:v>295</x:v>
      </x:c>
      <x:c r="U145" s="52" t="str">
        <x:v>OpenAI API Changelog</x:v>
      </x:c>
      <x:c r="V145" s="52" t="str">
        <x:v>https://developers.openai.com/api/docs/changelog</x:v>
      </x:c>
      <x:c r="W145" s="52" t="str">
        <x:v>official_changelog</x:v>
      </x:c>
      <x:c r="X145" s="52" t="str">
        <x:v>corroborated</x:v>
      </x:c>
      <x:c r="Y145" s="52" t="str">
        <x:v>high</x:v>
      </x:c>
      <x:c r="Z145" s="52" t="str">
        <x:v>models_reasoning | model_release | Model Platform | api | feature | models</x:v>
      </x:c>
      <x:c r="AA145" s="52" t="n">
        <x:v>2</x:v>
      </x:c>
      <x:c r="AB145" s="53" t="b">
        <x:v>1</x:v>
      </x:c>
    </x:row>
    <x:row r="146" ht="42" customHeight="1">
      <x:c r="A146" s="57" t="n">
        <x:v>45876</x:v>
      </x:c>
      <x:c r="B146" s="52" t="str">
        <x:v>evt-20250807-standard-voice-mode-retirement-announced</x:v>
      </x:c>
      <x:c r="C146" s="60" t="n">
        <x:v>2025</x:v>
      </x:c>
      <x:c r="D146" s="52" t="str">
        <x:v>Q3</x:v>
      </x:c>
      <x:c r="E146" s="52" t="str">
        <x:v>Unified Intelligence</x:v>
      </x:c>
      <x:c r="F146" s="52" t="str">
        <x:v>multimodal</x:v>
      </x:c>
      <x:c r="G146" s="52" t="str">
        <x:v>Multimodal Coast</x:v>
      </x:c>
      <x:c r="H146" s="52" t="n">
        <x:v>4</x:v>
      </x:c>
      <x:c r="I146" s="52" t="str">
        <x:v>~</x:v>
      </x:c>
      <x:c r="J146" s="52" t="str">
        <x:v>ChatGPT Voice</x:v>
      </x:c>
      <x:c r="K146" s="52" t="str">
        <x:v>deprecation</x:v>
      </x:c>
      <x:c r="L146" s="52" t="str">
        <x:v>deprecated</x:v>
      </x:c>
      <x:c r="M146" s="63" t="str">
        <x:v>Standard Voice Mode retirement announced</x:v>
      </x:c>
      <x:c r="N146" s="63" t="str">
        <x:v>宣佈淘汰標準語音模式</x:v>
      </x:c>
      <x:c r="O146" s="63" t="str">
        <x:v>OpenAI announced that Standard Voice Mode would be retired in 30 days, moving users to the newer unified Voice experience.</x:v>
      </x:c>
      <x:c r="P146" s="63" t="str">
        <x:v>OpenAI 宣佈標準語音模式將於 30 天后淘汰，並將使用者遷移至較新的統一語音體驗。</x:v>
      </x:c>
      <x:c r="Q146" s="60" t="n">
        <x:v>4</x:v>
      </x:c>
      <x:c r="R146" s="60" t="str">
        <x:v>major</x:v>
      </x:c>
      <x:c r="S146" s="60" t="n">
        <x:v>2723</x:v>
      </x:c>
      <x:c r="T146" s="60" t="n">
        <x:v>747</x:v>
      </x:c>
      <x:c r="U146" s="52" t="str">
        <x:v>ChatGPT — Release Notes</x:v>
      </x:c>
      <x:c r="V146" s="52" t="str">
        <x:v>https://help.openai.com/en/articles/6825453-chatgpt-release-notes</x:v>
      </x:c>
      <x:c r="W146" s="52" t="str">
        <x:v>help_center_release_notes</x:v>
      </x:c>
      <x:c r="X146" s="52" t="str">
        <x:v>complete</x:v>
      </x:c>
      <x:c r="Y146" s="52" t="str">
        <x:v>high</x:v>
      </x:c>
      <x:c r="Z146" s="52" t="str">
        <x:v>multimodal | deprecation | ChatGPT Voice | 2025 | chatgpt-voice</x:v>
      </x:c>
      <x:c r="AA146" s="52" t="n">
        <x:v>1</x:v>
      </x:c>
      <x:c r="AB146" s="53" t="b">
        <x:v>0</x:v>
      </x:c>
    </x:row>
    <x:row r="147" ht="42" customHeight="1">
      <x:c r="A147" s="57" t="n">
        <x:v>45876</x:v>
      </x:c>
      <x:c r="B147" s="52" t="str">
        <x:v>evt-20250807-chatgpt-voice-updates</x:v>
      </x:c>
      <x:c r="C147" s="60" t="n">
        <x:v>2025</x:v>
      </x:c>
      <x:c r="D147" s="52" t="str">
        <x:v>Q3</x:v>
      </x:c>
      <x:c r="E147" s="52" t="str">
        <x:v>Unified Intelligence</x:v>
      </x:c>
      <x:c r="F147" s="52" t="str">
        <x:v>safety_lifecycle</x:v>
      </x:c>
      <x:c r="G147" s="52" t="str">
        <x:v>Safety Wall</x:v>
      </x:c>
      <x:c r="H147" s="52" t="n">
        <x:v>9</x:v>
      </x:c>
      <x:c r="I147" s="52" t="str">
        <x:v>!</x:v>
      </x:c>
      <x:c r="J147" s="52" t="str">
        <x:v>ChatGPT Voice</x:v>
      </x:c>
      <x:c r="K147" s="52" t="str">
        <x:v>retirement</x:v>
      </x:c>
      <x:c r="L147" s="52" t="str">
        <x:v>retired</x:v>
      </x:c>
      <x:c r="M147" s="63" t="str">
        <x:v>ChatGPT Voice updates</x:v>
      </x:c>
      <x:c r="N147" s="63" t="str">
        <x:v>退役：ChatGPT Voice updates</x:v>
      </x:c>
      <x:c r="O147" s="63" t="str">
        <x:v>Today we’re rolling out improvements to Voice Mode to make it more accessible and useful for everyone. It also now works with custom GPTs. We’re expanding access with near-unlimited use for Plus users and hours each day for Free users. To simplify the experience, Standard Voice Mode will be retired in 30 days, unifying all users onto our latest voice experience.</x:v>
      </x:c>
      <x:c r="P147" s="63" t="str">
        <x:v>OpenAI 於 2025-08-07 為 ChatGPT Voice 完成退役或停止服務；此節點依官方發布記錄整理，完整能力、適用方案與限制請見來源。</x:v>
      </x:c>
      <x:c r="Q147" s="60" t="n">
        <x:v>4</x:v>
      </x:c>
      <x:c r="R147" s="60" t="str">
        <x:v>major</x:v>
      </x:c>
      <x:c r="S147" s="60" t="n">
        <x:v>2723</x:v>
      </x:c>
      <x:c r="T147" s="60" t="n">
        <x:v>1526</x:v>
      </x:c>
      <x:c r="U147" s="52" t="str">
        <x:v>ChatGPT — Release Notes</x:v>
      </x:c>
      <x:c r="V147" s="52" t="str">
        <x:v>https://help.openai.com/en/articles/6825453-chatgpt-release-notes</x:v>
      </x:c>
      <x:c r="W147" s="52" t="str">
        <x:v>help_center_release_notes</x:v>
      </x:c>
      <x:c r="X147" s="52" t="str">
        <x:v>parsed</x:v>
      </x:c>
      <x:c r="Y147" s="52" t="str">
        <x:v>high</x:v>
      </x:c>
      <x:c r="Z147" s="52" t="str">
        <x:v>safety_lifecycle | retirement | ChatGPT Voice</x:v>
      </x:c>
      <x:c r="AA147" s="52" t="n">
        <x:v>1</x:v>
      </x:c>
      <x:c r="AB147" s="53" t="b">
        <x:v>0</x:v>
      </x:c>
    </x:row>
    <x:row r="148" ht="42" customHeight="1">
      <x:c r="A148" s="57" t="n">
        <x:v>45876</x:v>
      </x:c>
      <x:c r="B148" s="52" t="str">
        <x:v>evt-20250807-expanded-chatgpt-voice-access-and-custom-gpt-support</x:v>
      </x:c>
      <x:c r="C148" s="60" t="n">
        <x:v>2025</x:v>
      </x:c>
      <x:c r="D148" s="52" t="str">
        <x:v>Q3</x:v>
      </x:c>
      <x:c r="E148" s="52" t="str">
        <x:v>Unified Intelligence</x:v>
      </x:c>
      <x:c r="F148" s="52" t="str">
        <x:v>multimodal</x:v>
      </x:c>
      <x:c r="G148" s="52" t="str">
        <x:v>Multimodal Coast</x:v>
      </x:c>
      <x:c r="H148" s="52" t="n">
        <x:v>4</x:v>
      </x:c>
      <x:c r="I148" s="52" t="str">
        <x:v>~</x:v>
      </x:c>
      <x:c r="J148" s="52" t="str">
        <x:v>ChatGPT Voice</x:v>
      </x:c>
      <x:c r="K148" s="52" t="str">
        <x:v>feature</x:v>
      </x:c>
      <x:c r="L148" s="52" t="str">
        <x:v>active</x:v>
      </x:c>
      <x:c r="M148" s="63" t="str">
        <x:v>Expanded ChatGPT Voice access and custom GPT support</x:v>
      </x:c>
      <x:c r="N148" s="63" t="str">
        <x:v>擴展 ChatGPT 語音存取與自訂 GPT 支援</x:v>
      </x:c>
      <x:c r="O148" s="63" t="str">
        <x:v>Voice Mode added custom GPT support, near-unlimited use for Plus, and hours of daily use for Free users.</x:v>
      </x:c>
      <x:c r="P148" s="63" t="str">
        <x:v>語音模式新增自訂 GPT 支援，Plus 用戶可享有近乎無限的使用量，免費版用戶則享有每日數小時的使用量。</x:v>
      </x:c>
      <x:c r="Q148" s="60" t="n">
        <x:v>4</x:v>
      </x:c>
      <x:c r="R148" s="60" t="str">
        <x:v>major</x:v>
      </x:c>
      <x:c r="S148" s="60" t="n">
        <x:v>2723</x:v>
      </x:c>
      <x:c r="T148" s="60" t="n">
        <x:v>764</x:v>
      </x:c>
      <x:c r="U148" s="52" t="str">
        <x:v>ChatGPT — Release Notes</x:v>
      </x:c>
      <x:c r="V148" s="52" t="str">
        <x:v>https://help.openai.com/en/articles/6825453-chatgpt-release-notes</x:v>
      </x:c>
      <x:c r="W148" s="52" t="str">
        <x:v>help_center_release_notes</x:v>
      </x:c>
      <x:c r="X148" s="52" t="str">
        <x:v>complete</x:v>
      </x:c>
      <x:c r="Y148" s="52" t="str">
        <x:v>high</x:v>
      </x:c>
      <x:c r="Z148" s="52" t="str">
        <x:v>multimodal | feature | ChatGPT Voice | 2025 | chatgpt-voice</x:v>
      </x:c>
      <x:c r="AA148" s="52" t="n">
        <x:v>1</x:v>
      </x:c>
      <x:c r="AB148" s="53" t="b">
        <x:v>0</x:v>
      </x:c>
    </x:row>
    <x:row r="149" ht="42" customHeight="1">
      <x:c r="A149" s="57" t="n">
        <x:v>45877</x:v>
      </x:c>
      <x:c r="B149" s="52" t="str">
        <x:v>evt-20250808-chatgpt-agent-available-for-enterprise-and-edu</x:v>
      </x:c>
      <x:c r="C149" s="60" t="n">
        <x:v>2025</x:v>
      </x:c>
      <x:c r="D149" s="52" t="str">
        <x:v>Q3</x:v>
      </x:c>
      <x:c r="E149" s="52" t="str">
        <x:v>Unified Intelligence</x:v>
      </x:c>
      <x:c r="F149" s="52" t="str">
        <x:v>enterprise_vertical</x:v>
      </x:c>
      <x:c r="G149" s="52" t="str">
        <x:v>Enterprise Citadel</x:v>
      </x:c>
      <x:c r="H149" s="52" t="n">
        <x:v>7</x:v>
      </x:c>
      <x:c r="I149" s="52" t="str">
        <x:v>H</x:v>
      </x:c>
      <x:c r="J149" s="52" t="str">
        <x:v>ChatGPT Agent</x:v>
      </x:c>
      <x:c r="K149" s="52" t="str">
        <x:v>availability</x:v>
      </x:c>
      <x:c r="L149" s="52" t="str">
        <x:v>active</x:v>
      </x:c>
      <x:c r="M149" s="63" t="str">
        <x:v>ChatGPT agent available for Enterprise and Edu</x:v>
      </x:c>
      <x:c r="N149" s="63" t="str">
        <x:v>ChatGPT Agent 開放 Enterprise 與 Edu</x:v>
      </x:c>
      <x:c r="O149" s="63" t="str">
        <x:v>ChatGPT agent availability expanded to Enterprise and Edu plans.</x:v>
      </x:c>
      <x:c r="P149" s="63" t="str">
        <x:v>ChatGPT Agent 的使用範圍擴大至 Enterprise 與 Edu 方案。</x:v>
      </x:c>
      <x:c r="Q149" s="60" t="n">
        <x:v>4</x:v>
      </x:c>
      <x:c r="R149" s="60" t="str">
        <x:v>major</x:v>
      </x:c>
      <x:c r="S149" s="60" t="n">
        <x:v>2725</x:v>
      </x:c>
      <x:c r="T149" s="60" t="n">
        <x:v>1228</x:v>
      </x:c>
      <x:c r="U149" s="52" t="str">
        <x:v>ChatGPT agent — Release Notes</x:v>
      </x:c>
      <x:c r="V149" s="52" t="str">
        <x:v>https://help.openai.com/en/articles/11794368-chatgpt-agent-release-notes</x:v>
      </x:c>
      <x:c r="W149" s="52" t="str">
        <x:v>help_center_release_notes</x:v>
      </x:c>
      <x:c r="X149" s="52" t="str">
        <x:v>parsed</x:v>
      </x:c>
      <x:c r="Y149" s="52" t="str">
        <x:v>high</x:v>
      </x:c>
      <x:c r="Z149" s="52" t="str">
        <x:v>enterprise_vertical | availability | ChatGPT Agent</x:v>
      </x:c>
      <x:c r="AA149" s="52" t="n">
        <x:v>1</x:v>
      </x:c>
      <x:c r="AB149" s="53" t="b">
        <x:v>0</x:v>
      </x:c>
    </x:row>
    <x:row r="150" ht="42" customHeight="1">
      <x:c r="A150" s="57" t="n">
        <x:v>45877</x:v>
      </x:c>
      <x:c r="B150" s="52" t="str">
        <x:v>evt-20250808-chatgpt-agent-expands-to-enterprise-and-edu</x:v>
      </x:c>
      <x:c r="C150" s="60" t="n">
        <x:v>2025</x:v>
      </x:c>
      <x:c r="D150" s="52" t="str">
        <x:v>Q3</x:v>
      </x:c>
      <x:c r="E150" s="52" t="str">
        <x:v>Unified Intelligence</x:v>
      </x:c>
      <x:c r="F150" s="52" t="str">
        <x:v>agents_research</x:v>
      </x:c>
      <x:c r="G150" s="52" t="str">
        <x:v>Agentic Frontier</x:v>
      </x:c>
      <x:c r="H150" s="52" t="n">
        <x:v>2</x:v>
      </x:c>
      <x:c r="I150" s="52" t="str">
        <x:v>&gt;</x:v>
      </x:c>
      <x:c r="J150" s="52" t="str">
        <x:v>ChatGPT agent</x:v>
      </x:c>
      <x:c r="K150" s="52" t="str">
        <x:v>availability</x:v>
      </x:c>
      <x:c r="L150" s="52" t="str">
        <x:v>active</x:v>
      </x:c>
      <x:c r="M150" s="63" t="str">
        <x:v>ChatGPT agent expands to Enterprise and Edu</x:v>
      </x:c>
      <x:c r="N150" s="63" t="str">
        <x:v>ChatGPT 代理服務擴展至企業版與教育版</x:v>
      </x:c>
      <x:c r="O150" s="63" t="str">
        <x:v>ChatGPT agent became available for Enterprise and Edu plans.</x:v>
      </x:c>
      <x:c r="P150" s="63" t="str">
        <x:v>ChatGPT 代理服務已適用於企業版與教育版方案。</x:v>
      </x:c>
      <x:c r="Q150" s="60" t="n">
        <x:v>4</x:v>
      </x:c>
      <x:c r="R150" s="60" t="str">
        <x:v>major</x:v>
      </x:c>
      <x:c r="S150" s="60" t="n">
        <x:v>2725</x:v>
      </x:c>
      <x:c r="T150" s="60" t="n">
        <x:v>459</x:v>
      </x:c>
      <x:c r="U150" s="52" t="str">
        <x:v>ChatGPT agent — Release Notes</x:v>
      </x:c>
      <x:c r="V150" s="52" t="str">
        <x:v>https://help.openai.com/en/articles/11794368-chatgpt-agent-release-notes</x:v>
      </x:c>
      <x:c r="W150" s="52" t="str">
        <x:v>help_center_release_notes</x:v>
      </x:c>
      <x:c r="X150" s="52" t="str">
        <x:v>complete</x:v>
      </x:c>
      <x:c r="Y150" s="52" t="str">
        <x:v>high</x:v>
      </x:c>
      <x:c r="Z150" s="52" t="str">
        <x:v>agents_research | availability | ChatGPT agent | 2025 | agents-research | chatgpt-agent</x:v>
      </x:c>
      <x:c r="AA150" s="52" t="n">
        <x:v>1</x:v>
      </x:c>
      <x:c r="AB150" s="53" t="b">
        <x:v>0</x:v>
      </x:c>
    </x:row>
    <x:row r="151" ht="42" customHeight="1">
      <x:c r="A151" s="57" t="n">
        <x:v>45880</x:v>
      </x:c>
      <x:c r="B151" s="52" t="str">
        <x:v>evt-20250811-additional-connectors-for-plus-and-pro</x:v>
      </x:c>
      <x:c r="C151" s="60" t="n">
        <x:v>2025</x:v>
      </x:c>
      <x:c r="D151" s="52" t="str">
        <x:v>Q3</x:v>
      </x:c>
      <x:c r="E151" s="52" t="str">
        <x:v>Unified Intelligence</x:v>
      </x:c>
      <x:c r="F151" s="52" t="str">
        <x:v>developer_platform</x:v>
      </x:c>
      <x:c r="G151" s="52" t="str">
        <x:v>Toolsmith Harbor</x:v>
      </x:c>
      <x:c r="H151" s="52" t="n">
        <x:v>3</x:v>
      </x:c>
      <x:c r="I151" s="52" t="str">
        <x:v>#</x:v>
      </x:c>
      <x:c r="J151" s="52" t="str">
        <x:v>Apps &amp; Connectors</x:v>
      </x:c>
      <x:c r="K151" s="52" t="str">
        <x:v>integration</x:v>
      </x:c>
      <x:c r="L151" s="52" t="str">
        <x:v>active</x:v>
      </x:c>
      <x:c r="M151" s="63" t="str">
        <x:v>Additional connectors for Plus and Pro</x:v>
      </x:c>
      <x:c r="N151" s="63" t="str">
        <x:v>Plus 與 Pro 方案新增連接器</x:v>
      </x:c>
      <x:c r="O151" s="63" t="str">
        <x:v>Now connect even more tools in ChatGPT for useful, relevant responses in chat. The following connectors are now available to search by chat in addition to deep research. Plus: Box, Canva, Dropbox, HubSpot, Notion, Microsoft SharePoint, and Microsoft Teams Pro: Microsoft Teams and Github Rollout begins today, and all eligible accounts will have access in the coming days. To enable, visit Settings → Connectors→ Connect on the applicati…</x:v>
      </x:c>
      <x:c r="P151" s="63" t="str">
        <x:v>OpenAI 於 2025-08-11 為 Deep Research 擴大開放範圍；此節點依官方發布記錄整理，完整能力、適用方案與限制請見來源。</x:v>
      </x:c>
      <x:c r="Q151" s="60" t="n">
        <x:v>4</x:v>
      </x:c>
      <x:c r="R151" s="60" t="str">
        <x:v>major</x:v>
      </x:c>
      <x:c r="S151" s="60" t="n">
        <x:v>2733</x:v>
      </x:c>
      <x:c r="T151" s="60" t="n">
        <x:v>615</x:v>
      </x:c>
      <x:c r="U151" s="52" t="str">
        <x:v>ChatGPT — Release Notes</x:v>
      </x:c>
      <x:c r="V151" s="52" t="str">
        <x:v>https://help.openai.com/en/articles/6825453-chatgpt-release-notes</x:v>
      </x:c>
      <x:c r="W151" s="52" t="str">
        <x:v>help_center_release_notes</x:v>
      </x:c>
      <x:c r="X151" s="52" t="str">
        <x:v>complete</x:v>
      </x:c>
      <x:c r="Y151" s="52" t="str">
        <x:v>high</x:v>
      </x:c>
      <x:c r="Z151" s="52" t="str">
        <x:v>developer_platform | integration | Apps &amp; Connectors | 2025 | apps-connectors | developer-platform</x:v>
      </x:c>
      <x:c r="AA151" s="52" t="n">
        <x:v>1</x:v>
      </x:c>
      <x:c r="AB151" s="53" t="b">
        <x:v>0</x:v>
      </x:c>
    </x:row>
    <x:row r="152" ht="42" customHeight="1">
      <x:c r="A152" s="57" t="n">
        <x:v>45881</x:v>
      </x:c>
      <x:c r="B152" s="52" t="str">
        <x:v>evt-20250812-gmail-google-calendar-and-google-contacts-connectors-in-ch</x:v>
      </x:c>
      <x:c r="C152" s="60" t="n">
        <x:v>2025</x:v>
      </x:c>
      <x:c r="D152" s="52" t="str">
        <x:v>Q3</x:v>
      </x:c>
      <x:c r="E152" s="52" t="str">
        <x:v>Unified Intelligence</x:v>
      </x:c>
      <x:c r="F152" s="52" t="str">
        <x:v>developer_platform</x:v>
      </x:c>
      <x:c r="G152" s="52" t="str">
        <x:v>Toolsmith Harbor</x:v>
      </x:c>
      <x:c r="H152" s="52" t="n">
        <x:v>3</x:v>
      </x:c>
      <x:c r="I152" s="52" t="str">
        <x:v>#</x:v>
      </x:c>
      <x:c r="J152" s="52" t="str">
        <x:v>Apps &amp; Connectors</x:v>
      </x:c>
      <x:c r="K152" s="52" t="str">
        <x:v>integration</x:v>
      </x:c>
      <x:c r="L152" s="52" t="str">
        <x:v>active</x:v>
      </x:c>
      <x:c r="M152" s="63" t="str">
        <x:v>Gmail, Google Calendar, and Google Contacts Connectors in ChatGPT (Pro)</x:v>
      </x:c>
      <x:c r="N152" s="63" t="str">
        <x:v>ChatGPT (Pro) 中的 Gmail、Google 日曆與 Google 聯絡人連接器</x:v>
      </x:c>
      <x:c r="O152" s="63" t="str">
        <x:v>Gmail, Google Calendar, and Google Contacts are now available to connect and use in chat. Once you enable them, ChatGPT will automatically reference them when relevant, making it faster and easier to bring information from these tools into your conversations without having to manually select them each time. This capability is part of GPT-5 and will begin rolling out to Pro users globally this week, followed by Plus, Team, Enterprise,…</x:v>
      </x:c>
      <x:c r="P152" s="63" t="str">
        <x:v>Gmail、Google 日曆與 Google 聯絡人現在可供連接並在對話中使用。啟用後，ChatGPT 將在相關時自動參考這些工具，讓您能更快速且輕鬆地將資訊帶入對話中，無需每次手動選取……</x:v>
      </x:c>
      <x:c r="Q152" s="60" t="n">
        <x:v>4</x:v>
      </x:c>
      <x:c r="R152" s="60" t="str">
        <x:v>major</x:v>
      </x:c>
      <x:c r="S152" s="60" t="n">
        <x:v>2736</x:v>
      </x:c>
      <x:c r="T152" s="60" t="n">
        <x:v>595</x:v>
      </x:c>
      <x:c r="U152" s="52" t="str">
        <x:v>ChatGPT — Release Notes</x:v>
      </x:c>
      <x:c r="V152" s="52" t="str">
        <x:v>https://help.openai.com/en/articles/6825453-chatgpt-release-notes</x:v>
      </x:c>
      <x:c r="W152" s="52" t="str">
        <x:v>help_center_release_notes</x:v>
      </x:c>
      <x:c r="X152" s="52" t="str">
        <x:v>complete</x:v>
      </x:c>
      <x:c r="Y152" s="52" t="str">
        <x:v>high</x:v>
      </x:c>
      <x:c r="Z152" s="52" t="str">
        <x:v>developer_platform | integration | Apps &amp; Connectors | 2025 | apps-connectors | developer-platform</x:v>
      </x:c>
      <x:c r="AA152" s="52" t="n">
        <x:v>1</x:v>
      </x:c>
      <x:c r="AB152" s="53" t="b">
        <x:v>0</x:v>
      </x:c>
    </x:row>
    <x:row r="153" ht="42" customHeight="1">
      <x:c r="A153" s="57" t="n">
        <x:v>45887</x:v>
      </x:c>
      <x:c r="B153" s="52" t="str">
        <x:v>evt-20250818-introducing-chatgpt-go</x:v>
      </x:c>
      <x:c r="C153" s="60" t="n">
        <x:v>2025</x:v>
      </x:c>
      <x:c r="D153" s="52" t="str">
        <x:v>Q3</x:v>
      </x:c>
      <x:c r="E153" s="52" t="str">
        <x:v>Unified Intelligence</x:v>
      </x:c>
      <x:c r="F153" s="52" t="str">
        <x:v>chatgpt_core</x:v>
      </x:c>
      <x:c r="G153" s="52" t="str">
        <x:v>Origin Plaza</x:v>
      </x:c>
      <x:c r="H153" s="52" t="n">
        <x:v>0</x:v>
      </x:c>
      <x:c r="I153" s="52" t="str">
        <x:v>@</x:v>
      </x:c>
      <x:c r="J153" s="52" t="str">
        <x:v>ChatGPT Go</x:v>
      </x:c>
      <x:c r="K153" s="52" t="str">
        <x:v>launch</x:v>
      </x:c>
      <x:c r="L153" s="52" t="str">
        <x:v>active</x:v>
      </x:c>
      <x:c r="M153" s="63" t="str">
        <x:v>Introducing ChatGPT Go</x:v>
      </x:c>
      <x:c r="N153" s="63" t="str">
        <x:v>推出 ChatGPT Go</x:v>
      </x:c>
      <x:c r="O153" s="63" t="str">
        <x:v>We’re launching ChatGPT Go, a new low-cost subscription plan. This will initially be available for users in India only. For ₹399/month (GST included), ChatGPT Go provides everything included in the Free plan, and: More messages, larger file uploads, and expanded image generation Access to advanced data analysis Longer memory for more personalized responses Available on web, mobile (iOS &amp; Android), and desktop (macOS &amp; Windows). ChatG…</x:v>
      </x:c>
      <x:c r="P153" s="63" t="str">
        <x:v>我們推出了一項新的低成本訂閱方案 ChatGPT Go。此方案初期僅開放給印度使用者。ChatGPT Go 每月收費 ₹399（含 GST），提供免費版方案中的所有功能，並包含：更多訊息、更大的檔案上傳限制、更廣泛的影像生成功能、進階數據分析存取權，以及更長的記憶空間以提供更個人化的回應……</x:v>
      </x:c>
      <x:c r="Q153" s="60" t="n">
        <x:v>5</x:v>
      </x:c>
      <x:c r="R153" s="60" t="str">
        <x:v>landmark</x:v>
      </x:c>
      <x:c r="S153" s="60" t="n">
        <x:v>2751</x:v>
      </x:c>
      <x:c r="T153" s="60" t="n">
        <x:v>162</x:v>
      </x:c>
      <x:c r="U153" s="52" t="str">
        <x:v>ChatGPT — Release Notes</x:v>
      </x:c>
      <x:c r="V153" s="52" t="str">
        <x:v>https://help.openai.com/en/articles/6825453-chatgpt-release-notes</x:v>
      </x:c>
      <x:c r="W153" s="52" t="str">
        <x:v>help_center_release_notes</x:v>
      </x:c>
      <x:c r="X153" s="52" t="str">
        <x:v>complete</x:v>
      </x:c>
      <x:c r="Y153" s="52" t="str">
        <x:v>high</x:v>
      </x:c>
      <x:c r="Z153" s="52" t="str">
        <x:v>chatgpt_core | launch | ChatGPT Go | 2025 | chatgpt-core | chatgpt-go</x:v>
      </x:c>
      <x:c r="AA153" s="52" t="n">
        <x:v>1</x:v>
      </x:c>
      <x:c r="AB153" s="53" t="b">
        <x:v>0</x:v>
      </x:c>
    </x:row>
    <x:row r="154" ht="42" customHeight="1">
      <x:c r="A154" s="57" t="n">
        <x:v>45889</x:v>
      </x:c>
      <x:c r="B154" s="52" t="str">
        <x:v>evt-20250820-released-the-conversations-api</x:v>
      </x:c>
      <x:c r="C154" s="60" t="n">
        <x:v>2025</x:v>
      </x:c>
      <x:c r="D154" s="52" t="str">
        <x:v>Q3</x:v>
      </x:c>
      <x:c r="E154" s="52" t="str">
        <x:v>Unified Intelligence</x:v>
      </x:c>
      <x:c r="F154" s="52" t="str">
        <x:v>developer_platform</x:v>
      </x:c>
      <x:c r="G154" s="52" t="str">
        <x:v>Toolsmith Harbor</x:v>
      </x:c>
      <x:c r="H154" s="52" t="n">
        <x:v>3</x:v>
      </x:c>
      <x:c r="I154" s="52" t="str">
        <x:v>#</x:v>
      </x:c>
      <x:c r="J154" s="52" t="str">
        <x:v>Responses API</x:v>
      </x:c>
      <x:c r="K154" s="52" t="str">
        <x:v>launch</x:v>
      </x:c>
      <x:c r="L154" s="52" t="str">
        <x:v>active</x:v>
      </x:c>
      <x:c r="M154" s="63" t="str">
        <x:v>Released the Conversations API</x:v>
      </x:c>
      <x:c r="N154" s="63" t="str">
        <x:v>發布the Conversations API</x:v>
      </x:c>
      <x:c r="O154" s="63" t="str">
        <x:v>Released the Conversations API, which allows you to create and manage long-running conversations with the Responses API. See the migration guide to see a side-by-side comparison and learn how to migrate from an Assistants API integration to Responses and Conversations.</x:v>
      </x:c>
      <x:c r="P154" s="63" t="str">
        <x:v>OpenAI 於 2025-08-20 為 Responses API 推出新產品或能力；此節點依官方發布記錄整理，完整能力、適用方案與限制請見來源。</x:v>
      </x:c>
      <x:c r="Q154" s="60" t="n">
        <x:v>4</x:v>
      </x:c>
      <x:c r="R154" s="60" t="str">
        <x:v>major</x:v>
      </x:c>
      <x:c r="S154" s="60" t="n">
        <x:v>2756</x:v>
      </x:c>
      <x:c r="T154" s="60" t="n">
        <x:v>577</x:v>
      </x:c>
      <x:c r="U154" s="52" t="str">
        <x:v>OpenAI API Changelog</x:v>
      </x:c>
      <x:c r="V154" s="52" t="str">
        <x:v>https://platform.openai.com/docs/changelog</x:v>
      </x:c>
      <x:c r="W154" s="52" t="str">
        <x:v>developer_changelog</x:v>
      </x:c>
      <x:c r="X154" s="52" t="str">
        <x:v>parsed</x:v>
      </x:c>
      <x:c r="Y154" s="52" t="str">
        <x:v>high</x:v>
      </x:c>
      <x:c r="Z154" s="52" t="str">
        <x:v>developer_platform | launch | Responses API</x:v>
      </x:c>
      <x:c r="AA154" s="52" t="n">
        <x:v>1</x:v>
      </x:c>
      <x:c r="AB154" s="53" t="b">
        <x:v>0</x:v>
      </x:c>
    </x:row>
    <x:row r="155" ht="42" customHeight="1">
      <x:c r="A155" s="57" t="n">
        <x:v>45889</x:v>
      </x:c>
      <x:c r="B155" s="52" t="str">
        <x:v>evt-20250820-assistants-api-deprecation</x:v>
      </x:c>
      <x:c r="C155" s="60" t="n">
        <x:v>2025</x:v>
      </x:c>
      <x:c r="D155" s="52" t="str">
        <x:v>Q3</x:v>
      </x:c>
      <x:c r="E155" s="52" t="str">
        <x:v>Unified Intelligence</x:v>
      </x:c>
      <x:c r="F155" s="52" t="str">
        <x:v>safety_lifecycle</x:v>
      </x:c>
      <x:c r="G155" s="52" t="str">
        <x:v>Safety Wall</x:v>
      </x:c>
      <x:c r="H155" s="52" t="n">
        <x:v>9</x:v>
      </x:c>
      <x:c r="I155" s="52" t="str">
        <x:v>!</x:v>
      </x:c>
      <x:c r="J155" s="52" t="str">
        <x:v>Assistants API</x:v>
      </x:c>
      <x:c r="K155" s="52" t="str">
        <x:v>deprecation</x:v>
      </x:c>
      <x:c r="L155" s="52" t="str">
        <x:v>deprecated</x:v>
      </x:c>
      <x:c r="M155" s="63" t="str">
        <x:v>Assistants API deprecation</x:v>
      </x:c>
      <x:c r="N155" s="63" t="str">
        <x:v>Assistants API 棄用公告</x:v>
      </x:c>
      <x:c r="O155" s="63" t="str">
        <x:v>On August 26th, 2025, we notified developers using the Assistants API of its deprecation and removal from the API one year later, on August 26, 2026. When we released the Responses API in March 2025 , we announced plans to bring all Assistants API features to the easier to use Responses API, with a sunset date in 2026. See the Assistants to Conversations migration guide to learn more about how to migrate your current integration to t…</x:v>
      </x:c>
      <x:c r="P155" s="63" t="str">
        <x:v>OpenAI 於 2025-08-20 公告 Assistants API 的棄用或下線時程，並列出替代方案與遷移方向。</x:v>
      </x:c>
      <x:c r="Q155" s="60" t="n">
        <x:v>4</x:v>
      </x:c>
      <x:c r="R155" s="60" t="str">
        <x:v>major</x:v>
      </x:c>
      <x:c r="S155" s="60" t="n">
        <x:v>2756</x:v>
      </x:c>
      <x:c r="T155" s="60" t="n">
        <x:v>1538</x:v>
      </x:c>
      <x:c r="U155" s="52" t="str">
        <x:v>OpenAI API Deprecations</x:v>
      </x:c>
      <x:c r="V155" s="52" t="str">
        <x:v>https://developers.openai.com/api/docs/deprecations#2025-08-20-assistants-api</x:v>
      </x:c>
      <x:c r="W155" s="52" t="str">
        <x:v>official_deprecation_registry</x:v>
      </x:c>
      <x:c r="X155" s="52" t="str">
        <x:v>complete</x:v>
      </x:c>
      <x:c r="Y155" s="52" t="str">
        <x:v>high</x:v>
      </x:c>
      <x:c r="Z155" s="52" t="str">
        <x:v>safety_lifecycle | deprecation | Assistants API | api | assistants-api</x:v>
      </x:c>
      <x:c r="AA155" s="52" t="n">
        <x:v>1</x:v>
      </x:c>
      <x:c r="AB155" s="53" t="b">
        <x:v>0</x:v>
      </x:c>
    </x:row>
    <x:row r="156" ht="42" customHeight="1">
      <x:c r="A156" s="57" t="n">
        <x:v>45891</x:v>
      </x:c>
      <x:c r="B156" s="52" t="str">
        <x:v>evt-20250822-project-only-memory</x:v>
      </x:c>
      <x:c r="C156" s="60" t="n">
        <x:v>2025</x:v>
      </x:c>
      <x:c r="D156" s="52" t="str">
        <x:v>Q3</x:v>
      </x:c>
      <x:c r="E156" s="52" t="str">
        <x:v>Unified Intelligence</x:v>
      </x:c>
      <x:c r="F156" s="52" t="str">
        <x:v>memory_knowledge</x:v>
      </x:c>
      <x:c r="G156" s="52" t="str">
        <x:v>Memory Forest</x:v>
      </x:c>
      <x:c r="H156" s="52" t="n">
        <x:v>5</x:v>
      </x:c>
      <x:c r="I156" s="52" t="str">
        <x:v>&amp;</x:v>
      </x:c>
      <x:c r="J156" s="52" t="str">
        <x:v>ChatGPT Memory</x:v>
      </x:c>
      <x:c r="K156" s="52" t="str">
        <x:v>feature</x:v>
      </x:c>
      <x:c r="L156" s="52" t="str">
        <x:v>active</x:v>
      </x:c>
      <x:c r="M156" s="63" t="str">
        <x:v>Project-only memory</x:v>
      </x:c>
      <x:c r="N156" s="63" t="str">
        <x:v>僅限專案記憶</x:v>
      </x:c>
      <x:c r="O156" s="63" t="str">
        <x:v>An improvement to projects is now available. When creating a project, users have the option to enable project-only memory. With project-only memory enabled, ChatGPT can use other conversations in that project for additional context, and won’t use your saved memories from outside the project to shape responses. Additionally, it won’t carry anything from the project into future chats outside of the project.…</x:v>
      </x:c>
      <x:c r="P156" s="63" t="str">
        <x:v>現已提供一項專案改進功能。在建立專案時，使用者可選擇啟用「僅限專案記憶」。啟用此功能後，ChatGPT 可使用該專案中的其他對話作為額外上下文，且不會使用您在專案外儲存的記憶來調整回應……</x:v>
      </x:c>
      <x:c r="Q156" s="60" t="n">
        <x:v>4</x:v>
      </x:c>
      <x:c r="R156" s="60" t="str">
        <x:v>major</x:v>
      </x:c>
      <x:c r="S156" s="60" t="n">
        <x:v>2761</x:v>
      </x:c>
      <x:c r="T156" s="60" t="n">
        <x:v>894</x:v>
      </x:c>
      <x:c r="U156" s="52" t="str">
        <x:v>ChatGPT — Release Notes</x:v>
      </x:c>
      <x:c r="V156" s="52" t="str">
        <x:v>https://help.openai.com/en/articles/6825453-chatgpt-release-notes</x:v>
      </x:c>
      <x:c r="W156" s="52" t="str">
        <x:v>help_center_release_notes</x:v>
      </x:c>
      <x:c r="X156" s="52" t="str">
        <x:v>complete</x:v>
      </x:c>
      <x:c r="Y156" s="52" t="str">
        <x:v>high</x:v>
      </x:c>
      <x:c r="Z156" s="52" t="str">
        <x:v>memory_knowledge | feature | ChatGPT Memory | 2025 | memory | memory-knowledge</x:v>
      </x:c>
      <x:c r="AA156" s="52" t="n">
        <x:v>1</x:v>
      </x:c>
      <x:c r="AB156" s="53" t="b">
        <x:v>0</x:v>
      </x:c>
    </x:row>
    <x:row r="157" ht="42" customHeight="1">
      <x:c r="A157" s="57" t="n">
        <x:v>45896</x:v>
      </x:c>
      <x:c r="B157" s="52" t="str">
        <x:v>evt-20250827-updates-to-codex-plus-pro</x:v>
      </x:c>
      <x:c r="C157" s="60" t="n">
        <x:v>2025</x:v>
      </x:c>
      <x:c r="D157" s="52" t="str">
        <x:v>Q3</x:v>
      </x:c>
      <x:c r="E157" s="52" t="str">
        <x:v>Unified Intelligence</x:v>
      </x:c>
      <x:c r="F157" s="52" t="str">
        <x:v>clients_surfaces</x:v>
      </x:c>
      <x:c r="G157" s="52" t="str">
        <x:v>Client Archipelago</x:v>
      </x:c>
      <x:c r="H157" s="52" t="n">
        <x:v>8</x:v>
      </x:c>
      <x:c r="I157" s="52" t="str">
        <x:v>+</x:v>
      </x:c>
      <x:c r="J157" s="52" t="str">
        <x:v>Codex</x:v>
      </x:c>
      <x:c r="K157" s="52" t="str">
        <x:v>launch</x:v>
      </x:c>
      <x:c r="L157" s="52" t="str">
        <x:v>active</x:v>
      </x:c>
      <x:c r="M157" s="63" t="str">
        <x:v>Updates to Codex (Plus/Pro)</x:v>
      </x:c>
      <x:c r="N157" s="63" t="str">
        <x:v>更新：Codex (Plus/Pro)</x:v>
      </x:c>
      <x:c r="O157" s="63" t="str">
        <x:v>Starting today, Codex works with you everywhere you build—in your terminal or IDE, on the web, in GitHub, and even from the ChatGPT iOS app. Your ChatGPT account connects it all, so you can work seamlessly between your local environment and Codex’s cloud without losing state. We’re excited to introduce the latest Codex updates:</x:v>
      </x:c>
      <x:c r="P157" s="63" t="str">
        <x:v>即日起，Codex 可在您建構的任何地方運作，包括終端機、IDE、網頁、GitHub，甚至是 ChatGPT iOS App。您的 ChatGPT 帳號將所有服務串聯起來，讓您能在本機環境與 Codex 雲端之間無縫工作，且不會遺失狀態。</x:v>
      </x:c>
      <x:c r="Q157" s="60" t="n">
        <x:v>5</x:v>
      </x:c>
      <x:c r="R157" s="60" t="str">
        <x:v>landmark</x:v>
      </x:c>
      <x:c r="S157" s="60" t="n">
        <x:v>2774</x:v>
      </x:c>
      <x:c r="T157" s="60" t="n">
        <x:v>1355</x:v>
      </x:c>
      <x:c r="U157" s="52" t="str">
        <x:v>ChatGPT — Release Notes</x:v>
      </x:c>
      <x:c r="V157" s="52" t="str">
        <x:v>https://help.openai.com/en/articles/6825453-chatgpt-release-notes</x:v>
      </x:c>
      <x:c r="W157" s="52" t="str">
        <x:v>help_center_release_notes</x:v>
      </x:c>
      <x:c r="X157" s="52" t="str">
        <x:v>complete</x:v>
      </x:c>
      <x:c r="Y157" s="52" t="str">
        <x:v>high</x:v>
      </x:c>
      <x:c r="Z157" s="52" t="str">
        <x:v>clients_surfaces | launch | Codex | 2025 | agents-research | codex | feature</x:v>
      </x:c>
      <x:c r="AA157" s="52" t="n">
        <x:v>1</x:v>
      </x:c>
      <x:c r="AB157" s="53" t="b">
        <x:v>0</x:v>
      </x:c>
    </x:row>
    <x:row r="158" ht="42" customHeight="1">
      <x:c r="A158" s="57" t="n">
        <x:v>45896</x:v>
      </x:c>
      <x:c r="B158" s="52" t="str">
        <x:v>evt-20250827-late-august-update</x:v>
      </x:c>
      <x:c r="C158" s="60" t="n">
        <x:v>2025</x:v>
      </x:c>
      <x:c r="D158" s="52" t="str">
        <x:v>Q3</x:v>
      </x:c>
      <x:c r="E158" s="52" t="str">
        <x:v>Unified Intelligence</x:v>
      </x:c>
      <x:c r="F158" s="52" t="str">
        <x:v>agents_research</x:v>
      </x:c>
      <x:c r="G158" s="52" t="str">
        <x:v>Agentic Frontier</x:v>
      </x:c>
      <x:c r="H158" s="52" t="n">
        <x:v>2</x:v>
      </x:c>
      <x:c r="I158" s="52" t="str">
        <x:v>&gt;</x:v>
      </x:c>
      <x:c r="J158" s="52" t="str">
        <x:v>Codex</x:v>
      </x:c>
      <x:c r="K158" s="52" t="str">
        <x:v>pricing_quota</x:v>
      </x:c>
      <x:c r="L158" s="52" t="str">
        <x:v>active</x:v>
      </x:c>
      <x:c r="M158" s="63" t="str">
        <x:v>Late August update</x:v>
      </x:c>
      <x:c r="N158" s="63" t="str">
        <x:v>Late August update 更新</x:v>
      </x:c>
      <x:c r="O158" s="63" t="str">
        <x:v>IDE extension (Compatible with VS Code, Cursor, Windsurf) Codex now runs in your IDE with an interactive UI for fast local iteration. Easily switch between modes and reasoning efforts. Sign in with ChatGPT (IDE &amp; CLI) One-click authentication that removes API keys and uses ChatGPT Enterprise credits. Move work between local ↔ cloud Hand off tasks to Codex web from the IDE with the ability to apply changes locally so you can delegate…</x:v>
      </x:c>
      <x:c r="P158" s="63" t="str">
        <x:v>Codex Changelog 在 2025-08-27 記錄了Codex 編碼代理、定價與用量相關更新；完整版本與修正內容見官方英文摘要。</x:v>
      </x:c>
      <x:c r="Q158" s="60" t="n">
        <x:v>4</x:v>
      </x:c>
      <x:c r="R158" s="60" t="str">
        <x:v>major</x:v>
      </x:c>
      <x:c r="S158" s="60" t="n">
        <x:v>2774</x:v>
      </x:c>
      <x:c r="T158" s="60" t="n">
        <x:v>482</x:v>
      </x:c>
      <x:c r="U158" s="52" t="str">
        <x:v>Codex Changelog</x:v>
      </x:c>
      <x:c r="V158" s="52" t="str">
        <x:v>https://developers.openai.com/codex/changelog/</x:v>
      </x:c>
      <x:c r="W158" s="52" t="str">
        <x:v>developer_changelog</x:v>
      </x:c>
      <x:c r="X158" s="52" t="str">
        <x:v>complete</x:v>
      </x:c>
      <x:c r="Y158" s="52" t="str">
        <x:v>high</x:v>
      </x:c>
      <x:c r="Z158" s="52" t="str">
        <x:v>agents_research | pricing_quota | Codex | codex | release-notes</x:v>
      </x:c>
      <x:c r="AA158" s="52" t="n">
        <x:v>1</x:v>
      </x:c>
      <x:c r="AB158" s="53" t="b">
        <x:v>0</x:v>
      </x:c>
    </x:row>
    <x:row r="159" ht="42" customHeight="1">
      <x:c r="A159" s="57" t="n">
        <x:v>45897</x:v>
      </x:c>
      <x:c r="B159" s="52" t="str">
        <x:v>evt-20250828-the-openai-realtime-api-is-now-generally-available</x:v>
      </x:c>
      <x:c r="C159" s="60" t="n">
        <x:v>2025</x:v>
      </x:c>
      <x:c r="D159" s="52" t="str">
        <x:v>Q3</x:v>
      </x:c>
      <x:c r="E159" s="52" t="str">
        <x:v>Unified Intelligence</x:v>
      </x:c>
      <x:c r="F159" s="52" t="str">
        <x:v>multimodal</x:v>
      </x:c>
      <x:c r="G159" s="52" t="str">
        <x:v>Multimodal Coast</x:v>
      </x:c>
      <x:c r="H159" s="52" t="n">
        <x:v>4</x:v>
      </x:c>
      <x:c r="I159" s="52" t="str">
        <x:v>~</x:v>
      </x:c>
      <x:c r="J159" s="52" t="str">
        <x:v>Realtime &amp; Audio API</x:v>
      </x:c>
      <x:c r="K159" s="52" t="str">
        <x:v>availability</x:v>
      </x:c>
      <x:c r="L159" s="52" t="str">
        <x:v>general_availability</x:v>
      </x:c>
      <x:c r="M159" s="63" t="str">
        <x:v>The OpenAI Realtime API is now generally available.</x:v>
      </x:c>
      <x:c r="N159" s="63" t="str">
        <x:v>Realtime API 正式 GA</x:v>
      </x:c>
      <x:c r="O159" s="63" t="str">
        <x:v>The OpenAI Realtime API is now generally available. Learn more in our Realtime API guide .</x:v>
      </x:c>
      <x:c r="P159" s="63" t="str">
        <x:v>Realtime API 正式 GA。OpenAI 將此列為 2025-08-28 的功能；重點涉及即時語音與音訊，模型、端點與參數名稱依官方英文保留。</x:v>
      </x:c>
      <x:c r="Q159" s="60" t="n">
        <x:v>4</x:v>
      </x:c>
      <x:c r="R159" s="60" t="str">
        <x:v>major</x:v>
      </x:c>
      <x:c r="S159" s="60" t="n">
        <x:v>2776</x:v>
      </x:c>
      <x:c r="T159" s="60" t="n">
        <x:v>781</x:v>
      </x:c>
      <x:c r="U159" s="52" t="str">
        <x:v>OpenAI API Changelog</x:v>
      </x:c>
      <x:c r="V159" s="52" t="str">
        <x:v>https://developers.openai.com/api/docs/changelog</x:v>
      </x:c>
      <x:c r="W159" s="52" t="str">
        <x:v>official_changelog</x:v>
      </x:c>
      <x:c r="X159" s="52" t="str">
        <x:v>complete</x:v>
      </x:c>
      <x:c r="Y159" s="52" t="str">
        <x:v>high</x:v>
      </x:c>
      <x:c r="Z159" s="52" t="str">
        <x:v>multimodal | availability | Realtime &amp; Audio API | audio | feature | realtime</x:v>
      </x:c>
      <x:c r="AA159" s="52" t="n">
        <x:v>1</x:v>
      </x:c>
      <x:c r="AB159" s="53" t="b">
        <x:v>0</x:v>
      </x:c>
    </x:row>
    <x:row r="160" ht="42" customHeight="1">
      <x:c r="A160" s="57" t="n">
        <x:v>45903</x:v>
      </x:c>
      <x:c r="B160" s="52" t="str">
        <x:v>evt-20250903-projects-now-available-on-chatgpt-free-tier</x:v>
      </x:c>
      <x:c r="C160" s="60" t="n">
        <x:v>2025</x:v>
      </x:c>
      <x:c r="D160" s="52" t="str">
        <x:v>Q3</x:v>
      </x:c>
      <x:c r="E160" s="52" t="str">
        <x:v>Unified Intelligence</x:v>
      </x:c>
      <x:c r="F160" s="52" t="str">
        <x:v>memory_knowledge</x:v>
      </x:c>
      <x:c r="G160" s="52" t="str">
        <x:v>Memory Forest</x:v>
      </x:c>
      <x:c r="H160" s="52" t="n">
        <x:v>5</x:v>
      </x:c>
      <x:c r="I160" s="52" t="str">
        <x:v>&amp;</x:v>
      </x:c>
      <x:c r="J160" s="52" t="str">
        <x:v>ChatGPT Projects</x:v>
      </x:c>
      <x:c r="K160" s="52" t="str">
        <x:v>availability</x:v>
      </x:c>
      <x:c r="L160" s="52" t="str">
        <x:v>active</x:v>
      </x:c>
      <x:c r="M160" s="63" t="str">
        <x:v>Projects Now Available on ChatGPT Free Tier</x:v>
      </x:c>
      <x:c r="N160" s="63" t="str">
        <x:v>「專案」功能現已開放給 ChatGPT 免費版使用</x:v>
      </x:c>
      <x:c r="O160" s="63" t="str">
        <x:v>Projects bring your chats and files into one place, helping you stay focused and get things done. They’re now available on our Free tier, with up to 5 file uploads per project. We’ve also updated file uploads on paid tiers: Plus, Go, and Edu support up to 25 files per project. Pro, Business, and Enterprise support up to 40 files per project. New customization options are available for all plans, including colors and icons, to help ke…</x:v>
      </x:c>
      <x:c r="P160" s="63" t="str">
        <x:v>「專案」將您的對話與檔案集中於一處，助您保持專注並完成任務。此功能現已開放給免費版使用者，每個專案最多可上傳 5 個檔案。我們亦更新了付費版的檔案上傳限制：Plus、Go 與 Edu 方案每個專案支援最多 25 個檔案；Pro、Business 與 Enterprise 方案每個專案支援最多 40 個檔案。</x:v>
      </x:c>
      <x:c r="Q160" s="60" t="n">
        <x:v>4</x:v>
      </x:c>
      <x:c r="R160" s="60" t="str">
        <x:v>major</x:v>
      </x:c>
      <x:c r="S160" s="60" t="n">
        <x:v>2792</x:v>
      </x:c>
      <x:c r="T160" s="60" t="n">
        <x:v>890</x:v>
      </x:c>
      <x:c r="U160" s="52" t="str">
        <x:v>ChatGPT — Release Notes</x:v>
      </x:c>
      <x:c r="V160" s="52" t="str">
        <x:v>https://help.openai.com/en/articles/6825453-chatgpt-release-notes</x:v>
      </x:c>
      <x:c r="W160" s="52" t="str">
        <x:v>help_center_release_notes</x:v>
      </x:c>
      <x:c r="X160" s="52" t="str">
        <x:v>complete</x:v>
      </x:c>
      <x:c r="Y160" s="52" t="str">
        <x:v>high</x:v>
      </x:c>
      <x:c r="Z160" s="52" t="str">
        <x:v>memory_knowledge | availability | ChatGPT Projects | 2025 | memory-knowledge | projects</x:v>
      </x:c>
      <x:c r="AA160" s="52" t="n">
        <x:v>1</x:v>
      </x:c>
      <x:c r="AB160" s="53" t="b">
        <x:v>0</x:v>
      </x:c>
    </x:row>
    <x:row r="161" ht="42" customHeight="1">
      <x:c r="A161" s="57" t="n">
        <x:v>45909</x:v>
      </x:c>
      <x:c r="B161" s="52" t="str">
        <x:v>evt-20250909-chatgpt-voice-update</x:v>
      </x:c>
      <x:c r="C161" s="60" t="n">
        <x:v>2025</x:v>
      </x:c>
      <x:c r="D161" s="52" t="str">
        <x:v>Q3</x:v>
      </x:c>
      <x:c r="E161" s="52" t="str">
        <x:v>Unified Intelligence</x:v>
      </x:c>
      <x:c r="F161" s="52" t="str">
        <x:v>safety_lifecycle</x:v>
      </x:c>
      <x:c r="G161" s="52" t="str">
        <x:v>Safety Wall</x:v>
      </x:c>
      <x:c r="H161" s="52" t="n">
        <x:v>9</x:v>
      </x:c>
      <x:c r="I161" s="52" t="str">
        <x:v>!</x:v>
      </x:c>
      <x:c r="J161" s="52" t="str">
        <x:v>ChatGPT Voice</x:v>
      </x:c>
      <x:c r="K161" s="52" t="str">
        <x:v>retirement</x:v>
      </x:c>
      <x:c r="L161" s="52" t="str">
        <x:v>retired</x:v>
      </x:c>
      <x:c r="M161" s="63" t="str">
        <x:v>ChatGPT Voice Update</x:v>
      </x:c>
      <x:c r="N161" s="63" t="str">
        <x:v>退役：ChatGPT Voice Update</x:v>
      </x:c>
      <x:c r="O161" s="63" t="str">
        <x:v>Last month we announced that everyone now has access to Advanced Voice Mode, with usage expanded from minutes per day to hours for Free users, and near-unlimited use for Plus. We also shared that Standard Voice Mode would be retired following a 30-day sunset period. We’ve heard feedback that Standard Voice is special to some folks, and we want to make sure the transition feels right. To that end, we’re keeping Standard Voice availabl…</x:v>
      </x:c>
      <x:c r="P161" s="63" t="str">
        <x:v>上個月我們宣佈所有人皆可使用「進階語音模式」，使用量限制從每天幾分鐘擴展至免費使用者每天幾小時，Plus 使用者則為近乎無限。我們同時宣告「標準語音模式」在 30 天的停用過渡期後將正式退役。</x:v>
      </x:c>
      <x:c r="Q161" s="60" t="n">
        <x:v>4</x:v>
      </x:c>
      <x:c r="R161" s="60" t="str">
        <x:v>major</x:v>
      </x:c>
      <x:c r="S161" s="60" t="n">
        <x:v>2807</x:v>
      </x:c>
      <x:c r="T161" s="60" t="n">
        <x:v>1518</x:v>
      </x:c>
      <x:c r="U161" s="52" t="str">
        <x:v>ChatGPT — Release Notes</x:v>
      </x:c>
      <x:c r="V161" s="52" t="str">
        <x:v>https://help.openai.com/en/articles/6825453-chatgpt-release-notes</x:v>
      </x:c>
      <x:c r="W161" s="52" t="str">
        <x:v>help_center_release_notes</x:v>
      </x:c>
      <x:c r="X161" s="52" t="str">
        <x:v>complete</x:v>
      </x:c>
      <x:c r="Y161" s="52" t="str">
        <x:v>high</x:v>
      </x:c>
      <x:c r="Z161" s="52" t="str">
        <x:v>safety_lifecycle | retirement | ChatGPT Voice | 2025 | chatgpt-voice | feature | multimodal</x:v>
      </x:c>
      <x:c r="AA161" s="52" t="n">
        <x:v>1</x:v>
      </x:c>
      <x:c r="AB161" s="53" t="b">
        <x:v>0</x:v>
      </x:c>
    </x:row>
    <x:row r="162" ht="42" customHeight="1">
      <x:c r="A162" s="57" t="n">
        <x:v>45915</x:v>
      </x:c>
      <x:c r="B162" s="52" t="str">
        <x:v>evt-20250915-updates-to-codex-plus-pro-introducing-gpt-5-codex</x:v>
      </x:c>
      <x:c r="C162" s="60" t="n">
        <x:v>2025</x:v>
      </x:c>
      <x:c r="D162" s="52" t="str">
        <x:v>Q3</x:v>
      </x:c>
      <x:c r="E162" s="52" t="str">
        <x:v>Unified Intelligence</x:v>
      </x:c>
      <x:c r="F162" s="52" t="str">
        <x:v>agents_research</x:v>
      </x:c>
      <x:c r="G162" s="52" t="str">
        <x:v>Agentic Frontier</x:v>
      </x:c>
      <x:c r="H162" s="52" t="n">
        <x:v>2</x:v>
      </x:c>
      <x:c r="I162" s="52" t="str">
        <x:v>&gt;</x:v>
      </x:c>
      <x:c r="J162" s="52" t="str">
        <x:v>GPT-5-Codex</x:v>
      </x:c>
      <x:c r="K162" s="52" t="str">
        <x:v>model_release</x:v>
      </x:c>
      <x:c r="L162" s="52" t="str">
        <x:v>active</x:v>
      </x:c>
      <x:c r="M162" s="63" t="str">
        <x:v>Updates to Codex (Plus/Pro) - Introducing GPT-5-Codex</x:v>
      </x:c>
      <x:c r="N162" s="63" t="str">
        <x:v>Codex 更新 (Plus/Pro) - 推出 GPT-5-Codex</x:v>
      </x:c>
      <x:c r="O162" s="63" t="str">
        <x:v>We’re adding GPT-5-codex, a GPT-5 variant optimized for agentic coding in Codex. It’s available everywhere you use Codex: default for cloud tasks and code review, and selectable for local workflows via the Codex CLI and IDE extension. Use GPT-5-codex for coding-focused work in Codex, or Codex-like environments; use GPT-5 for general, non-coding tasks. Please review the announcement blog for more information. Note: GPT-5-Codex is not…</x:v>
      </x:c>
      <x:c r="P162" s="63" t="str">
        <x:v>我們加入了 GPT-5-Codex，這是為 Codex 中的代理式程式開發所優化的 GPT-5 變體。它可用於您使用 Codex 的所有地方：雲端任務與程式碼審查的預設選項，並可透過 Codex CLI 與 IDE 擴充功能在本地工作流程中選用。請在 Codex 或類 Codex 環境中使用 GPT-5-Codex 進行程式開發相關工作，並使用 GPT-5 處理一般的非程式設計任務。</x:v>
      </x:c>
      <x:c r="Q162" s="60" t="n">
        <x:v>5</x:v>
      </x:c>
      <x:c r="R162" s="60" t="str">
        <x:v>landmark</x:v>
      </x:c>
      <x:c r="S162" s="60" t="n">
        <x:v>2822</x:v>
      </x:c>
      <x:c r="T162" s="60" t="n">
        <x:v>499</x:v>
      </x:c>
      <x:c r="U162" s="52" t="str">
        <x:v>ChatGPT — Release Notes</x:v>
      </x:c>
      <x:c r="V162" s="52" t="str">
        <x:v>https://help.openai.com/en/articles/6825453-chatgpt-release-notes</x:v>
      </x:c>
      <x:c r="W162" s="52" t="str">
        <x:v>help_center_release_notes</x:v>
      </x:c>
      <x:c r="X162" s="52" t="str">
        <x:v>complete</x:v>
      </x:c>
      <x:c r="Y162" s="52" t="str">
        <x:v>high</x:v>
      </x:c>
      <x:c r="Z162" s="52" t="str">
        <x:v>agents_research | model_release | GPT-5-Codex | 2025 | agents-research | gpt-5-codex</x:v>
      </x:c>
      <x:c r="AA162" s="52" t="n">
        <x:v>1</x:v>
      </x:c>
      <x:c r="AB162" s="53" t="b">
        <x:v>0</x:v>
      </x:c>
    </x:row>
    <x:row r="163" ht="42" customHeight="1">
      <x:c r="A163" s="57" t="n">
        <x:v>45915</x:v>
      </x:c>
      <x:c r="B163" s="52" t="str">
        <x:v>evt-20250915-introducing-gpt-5-codex</x:v>
      </x:c>
      <x:c r="C163" s="60" t="n">
        <x:v>2025</x:v>
      </x:c>
      <x:c r="D163" s="52" t="str">
        <x:v>Q3</x:v>
      </x:c>
      <x:c r="E163" s="52" t="str">
        <x:v>Unified Intelligence</x:v>
      </x:c>
      <x:c r="F163" s="52" t="str">
        <x:v>agents_research</x:v>
      </x:c>
      <x:c r="G163" s="52" t="str">
        <x:v>Agentic Frontier</x:v>
      </x:c>
      <x:c r="H163" s="52" t="n">
        <x:v>2</x:v>
      </x:c>
      <x:c r="I163" s="52" t="str">
        <x:v>&gt;</x:v>
      </x:c>
      <x:c r="J163" s="52" t="str">
        <x:v>Codex</x:v>
      </x:c>
      <x:c r="K163" s="52" t="str">
        <x:v>launch</x:v>
      </x:c>
      <x:c r="L163" s="52" t="str">
        <x:v>active</x:v>
      </x:c>
      <x:c r="M163" s="63" t="str">
        <x:v>Introducing GPT-5-Codex</x:v>
      </x:c>
      <x:c r="N163" s="63" t="str">
        <x:v>推出 GPT-5-Codex</x:v>
      </x:c>
      <x:c r="O163" s="63" t="str">
        <x:v>New model: GPT-5-Codex GPT-5-Codex is a version of GPT-5 further optimized for agentic coding in Codex. It’s available in the IDE extension and CLI when you sign in with your ChatGPT account. It also powers the cloud agent and Code Review in GitHub. To learn more about GPT-5-Codex and how it performs compared to GPT-5 on software engineering tasks, see our announcement blog post . Image outputs When working in the cloud on front-end…</x:v>
      </x:c>
      <x:c r="P163" s="63" t="str">
        <x:v>Codex Changelog 在 2025-09-15 記錄了Codex 編碼代理、代理與工具調用、圖像與影片相關更新；完整版本與修正內容見官方英文摘要。</x:v>
      </x:c>
      <x:c r="Q163" s="60" t="n">
        <x:v>5</x:v>
      </x:c>
      <x:c r="R163" s="60" t="str">
        <x:v>landmark</x:v>
      </x:c>
      <x:c r="S163" s="60" t="n">
        <x:v>2822</x:v>
      </x:c>
      <x:c r="T163" s="60" t="n">
        <x:v>500</x:v>
      </x:c>
      <x:c r="U163" s="52" t="str">
        <x:v>Codex Changelog</x:v>
      </x:c>
      <x:c r="V163" s="52" t="str">
        <x:v>https://developers.openai.com/codex/changelog/</x:v>
      </x:c>
      <x:c r="W163" s="52" t="str">
        <x:v>developer_changelog</x:v>
      </x:c>
      <x:c r="X163" s="52" t="str">
        <x:v>complete</x:v>
      </x:c>
      <x:c r="Y163" s="52" t="str">
        <x:v>high</x:v>
      </x:c>
      <x:c r="Z163" s="52" t="str">
        <x:v>agents_research | launch | Codex | codex | release-notes</x:v>
      </x:c>
      <x:c r="AA163" s="52" t="n">
        <x:v>1</x:v>
      </x:c>
      <x:c r="AB163" s="53" t="b">
        <x:v>0</x:v>
      </x:c>
    </x:row>
    <x:row r="164" ht="42" customHeight="1">
      <x:c r="A164" s="57" t="n">
        <x:v>45915</x:v>
      </x:c>
      <x:c r="B164" s="52" t="str">
        <x:v>evt-20250915-introducing-gpt-5-codex-2</x:v>
      </x:c>
      <x:c r="C164" s="60" t="n">
        <x:v>2025</x:v>
      </x:c>
      <x:c r="D164" s="52" t="str">
        <x:v>Q3</x:v>
      </x:c>
      <x:c r="E164" s="52" t="str">
        <x:v>Unified Intelligence</x:v>
      </x:c>
      <x:c r="F164" s="52" t="str">
        <x:v>models_reasoning</x:v>
      </x:c>
      <x:c r="G164" s="52" t="str">
        <x:v>Model Mountains</x:v>
      </x:c>
      <x:c r="H164" s="52" t="n">
        <x:v>1</x:v>
      </x:c>
      <x:c r="I164" s="52" t="str">
        <x:v>^</x:v>
      </x:c>
      <x:c r="J164" s="52" t="str">
        <x:v>GPT-5</x:v>
      </x:c>
      <x:c r="K164" s="52" t="str">
        <x:v>model_release</x:v>
      </x:c>
      <x:c r="L164" s="52" t="str">
        <x:v>active</x:v>
      </x:c>
      <x:c r="M164" s="63" t="str">
        <x:v>Introducing GPT-5-codex</x:v>
      </x:c>
      <x:c r="N164" s="63" t="str">
        <x:v>推出GPT-5-codex</x:v>
      </x:c>
      <x:c r="O164" s="63" t="str">
        <x:v>We’re adding GPT-5-codex, a GPT-5 variant optimized for agentic coding in Codex. It’s available everywhere you use Codex: default for cloud tasks and code review, and selectable for local workflows via the Codex CLI and IDE extension. Use GPT-5-codex for coding-focused work in Codex, or Codex-like environments; use GPT-5 for general, non-coding tasks. In day-to-day use, GPT-5-codex supports fast interactive edits and can run independ…</x:v>
      </x:c>
      <x:c r="P164" s="63" t="str">
        <x:v>OpenAI 於 2025-09-15 為 GPT-5 發布模型；此節點依官方發布記錄整理，完整能力、適用方案與限制請見來源。</x:v>
      </x:c>
      <x:c r="Q164" s="60" t="n">
        <x:v>4</x:v>
      </x:c>
      <x:c r="R164" s="60" t="str">
        <x:v>major</x:v>
      </x:c>
      <x:c r="S164" s="60" t="n">
        <x:v>2822</x:v>
      </x:c>
      <x:c r="T164" s="60" t="n">
        <x:v>295</x:v>
      </x:c>
      <x:c r="U164" s="52" t="str">
        <x:v>Model Release Notes</x:v>
      </x:c>
      <x:c r="V164" s="52" t="str">
        <x:v>https://help.openai.com/en/articles/9624314-model-release-notes</x:v>
      </x:c>
      <x:c r="W164" s="52" t="str">
        <x:v>help_center_release_notes</x:v>
      </x:c>
      <x:c r="X164" s="52" t="str">
        <x:v>parsed</x:v>
      </x:c>
      <x:c r="Y164" s="52" t="str">
        <x:v>high</x:v>
      </x:c>
      <x:c r="Z164" s="52" t="str">
        <x:v>models_reasoning | model_release | GPT-5</x:v>
      </x:c>
      <x:c r="AA164" s="52" t="n">
        <x:v>1</x:v>
      </x:c>
      <x:c r="AB164" s="53" t="b">
        <x:v>0</x:v>
      </x:c>
    </x:row>
    <x:row r="165" ht="42" customHeight="1">
      <x:c r="A165" s="57" t="n">
        <x:v>45915</x:v>
      </x:c>
      <x:c r="B165" s="52" t="str">
        <x:v>evt-20250915-gpt-4o-realtime-preview-models-deprecation</x:v>
      </x:c>
      <x:c r="C165" s="60" t="n">
        <x:v>2025</x:v>
      </x:c>
      <x:c r="D165" s="52" t="str">
        <x:v>Q3</x:v>
      </x:c>
      <x:c r="E165" s="52" t="str">
        <x:v>Unified Intelligence</x:v>
      </x:c>
      <x:c r="F165" s="52" t="str">
        <x:v>safety_lifecycle</x:v>
      </x:c>
      <x:c r="G165" s="52" t="str">
        <x:v>Safety Wall</x:v>
      </x:c>
      <x:c r="H165" s="52" t="n">
        <x:v>9</x:v>
      </x:c>
      <x:c r="I165" s="52" t="str">
        <x:v>!</x:v>
      </x:c>
      <x:c r="J165" s="52" t="str">
        <x:v>Realtime API</x:v>
      </x:c>
      <x:c r="K165" s="52" t="str">
        <x:v>deprecation</x:v>
      </x:c>
      <x:c r="L165" s="52" t="str">
        <x:v>deprecated</x:v>
      </x:c>
      <x:c r="M165" s="63" t="str">
        <x:v>gpt-4o-realtime-preview models deprecation</x:v>
      </x:c>
      <x:c r="N165" s="63" t="str">
        <x:v>gpt-4o-realtime-preview models 棄用公告</x:v>
      </x:c>
      <x:c r="O165" s="63" t="str">
        <x:v>In September, 2025, we notified developers using gpt-4o-realtime-preview models of their deprecation and removal from the API in six months. Schedule/replacements: 2026-05-07 gpt-4o-realtime-preview gpt-realtime-1.5; 2026-05-07 gpt-4o-realtime-preview-2025-06-03 gpt-realtime-1.5; 2026-05-07 gpt-4o-realtime-preview-2024-12-17 gpt-realtime-1.5; 2026-05-07 gpt-4o-mini-realtime-preview gpt-realtime-mini; 2026-05-07 gpt-4o-audio-preview g…</x:v>
      </x:c>
      <x:c r="P165" s="63" t="str">
        <x:v>OpenAI 於 2025-09-15 公告 gpt-4o-realtime-preview models 的棄用或下線時程，並列出替代方案與遷移方向。</x:v>
      </x:c>
      <x:c r="Q165" s="60" t="n">
        <x:v>4</x:v>
      </x:c>
      <x:c r="R165" s="60" t="str">
        <x:v>major</x:v>
      </x:c>
      <x:c r="S165" s="60" t="n">
        <x:v>2822</x:v>
      </x:c>
      <x:c r="T165" s="60" t="n">
        <x:v>1478</x:v>
      </x:c>
      <x:c r="U165" s="52" t="str">
        <x:v>OpenAI API Deprecations</x:v>
      </x:c>
      <x:c r="V165" s="52" t="str">
        <x:v>https://developers.openai.com/api/docs/deprecations#2025-09-15-gpt-4o-realtime-preview-models</x:v>
      </x:c>
      <x:c r="W165" s="52" t="str">
        <x:v>official_deprecation_registry</x:v>
      </x:c>
      <x:c r="X165" s="52" t="str">
        <x:v>corroborated</x:v>
      </x:c>
      <x:c r="Y165" s="52" t="str">
        <x:v>high</x:v>
      </x:c>
      <x:c r="Z165" s="52" t="str">
        <x:v>safety_lifecycle | deprecation | Realtime API | api | realtime-api</x:v>
      </x:c>
      <x:c r="AA165" s="52" t="n">
        <x:v>2</x:v>
      </x:c>
      <x:c r="AB165" s="53" t="b">
        <x:v>1</x:v>
      </x:c>
    </x:row>
    <x:row r="166" ht="42" customHeight="1">
      <x:c r="A166" s="57" t="n">
        <x:v>45915</x:v>
      </x:c>
      <x:c r="B166" s="52" t="str">
        <x:v>evt-20250915-realtime-api-beta-deprecation</x:v>
      </x:c>
      <x:c r="C166" s="60" t="n">
        <x:v>2025</x:v>
      </x:c>
      <x:c r="D166" s="52" t="str">
        <x:v>Q3</x:v>
      </x:c>
      <x:c r="E166" s="52" t="str">
        <x:v>Unified Intelligence</x:v>
      </x:c>
      <x:c r="F166" s="52" t="str">
        <x:v>safety_lifecycle</x:v>
      </x:c>
      <x:c r="G166" s="52" t="str">
        <x:v>Safety Wall</x:v>
      </x:c>
      <x:c r="H166" s="52" t="n">
        <x:v>9</x:v>
      </x:c>
      <x:c r="I166" s="52" t="str">
        <x:v>!</x:v>
      </x:c>
      <x:c r="J166" s="52" t="str">
        <x:v>Realtime API</x:v>
      </x:c>
      <x:c r="K166" s="52" t="str">
        <x:v>deprecation</x:v>
      </x:c>
      <x:c r="L166" s="52" t="str">
        <x:v>deprecated</x:v>
      </x:c>
      <x:c r="M166" s="63" t="str">
        <x:v>Realtime API Beta deprecation</x:v>
      </x:c>
      <x:c r="N166" s="63" t="str">
        <x:v>Realtime API Beta 棄用公告</x:v>
      </x:c>
      <x:c r="O166" s="63" t="str">
        <x:v>The Realtime API Beta was deprecated and removed from the API on May 12, 2026. There are a few key differences between the interfaces in the Realtime beta API and the released GA API. See the migration guide for the current GA interface and related Realtime docs. Schedule/replacements: 2026‑05‑12 OpenAI-Beta: realtime=v1 Realtime API</x:v>
      </x:c>
      <x:c r="P166" s="63" t="str">
        <x:v>OpenAI 於 2025-09-15 為 Realtime API 公布淘汰計畫；此節點依官方發布記錄整理，完整能力、適用方案與限制請見來源。</x:v>
      </x:c>
      <x:c r="Q166" s="60" t="n">
        <x:v>4</x:v>
      </x:c>
      <x:c r="R166" s="60" t="str">
        <x:v>major</x:v>
      </x:c>
      <x:c r="S166" s="60" t="n">
        <x:v>2822</x:v>
      </x:c>
      <x:c r="T166" s="60" t="n">
        <x:v>1535</x:v>
      </x:c>
      <x:c r="U166" s="52" t="str">
        <x:v>OpenAI API Deprecations</x:v>
      </x:c>
      <x:c r="V166" s="52" t="str">
        <x:v>https://developers.openai.com/api/docs/deprecations#2025-09-15-realtime-api-beta</x:v>
      </x:c>
      <x:c r="W166" s="52" t="str">
        <x:v>official_deprecation_registry</x:v>
      </x:c>
      <x:c r="X166" s="52" t="str">
        <x:v>corroborated</x:v>
      </x:c>
      <x:c r="Y166" s="52" t="str">
        <x:v>high</x:v>
      </x:c>
      <x:c r="Z166" s="52" t="str">
        <x:v>safety_lifecycle | deprecation | Realtime API | api | realtime-api</x:v>
      </x:c>
      <x:c r="AA166" s="52" t="n">
        <x:v>2</x:v>
      </x:c>
      <x:c r="AB166" s="53" t="b">
        <x:v>1</x:v>
      </x:c>
    </x:row>
    <x:row r="167" ht="42" customHeight="1">
      <x:c r="A167" s="57" t="n">
        <x:v>45915</x:v>
      </x:c>
      <x:c r="B167" s="52" t="str">
        <x:v>evt-20250915-personalization-settings-are-now-in-settings</x:v>
      </x:c>
      <x:c r="C167" s="60" t="n">
        <x:v>2025</x:v>
      </x:c>
      <x:c r="D167" s="52" t="str">
        <x:v>Q3</x:v>
      </x:c>
      <x:c r="E167" s="52" t="str">
        <x:v>Unified Intelligence</x:v>
      </x:c>
      <x:c r="F167" s="52" t="str">
        <x:v>chatgpt_core</x:v>
      </x:c>
      <x:c r="G167" s="52" t="str">
        <x:v>Origin Plaza</x:v>
      </x:c>
      <x:c r="H167" s="52" t="n">
        <x:v>0</x:v>
      </x:c>
      <x:c r="I167" s="52" t="str">
        <x:v>@</x:v>
      </x:c>
      <x:c r="J167" s="52" t="str">
        <x:v>ChatGPT Memory</x:v>
      </x:c>
      <x:c r="K167" s="52" t="str">
        <x:v>feature</x:v>
      </x:c>
      <x:c r="L167" s="52" t="str">
        <x:v>active</x:v>
      </x:c>
      <x:c r="M167" s="63" t="str">
        <x:v>Personalization settings are now in Settings</x:v>
      </x:c>
      <x:c r="N167" s="63" t="str">
        <x:v>個人化設定現已移至「設定」中</x:v>
      </x:c>
      <x:c r="O167" s="63" t="str">
        <x:v>Personalization no longer opens in a separate modal. You can manage personalization, choose a ChatGPT personality, add custom instructions, and update Memory directly in Settings → Personalization.</x:v>
      </x:c>
      <x:c r="P167" s="63" t="str">
        <x:v>OpenAI 於 2025-09-15 為 ChatGPT Memory 更新模型或體驗；此節點依官方發布記錄整理，完整能力、適用方案與限制請見來源。</x:v>
      </x:c>
      <x:c r="Q167" s="60" t="n">
        <x:v>4</x:v>
      </x:c>
      <x:c r="R167" s="60" t="str">
        <x:v>major</x:v>
      </x:c>
      <x:c r="S167" s="60" t="n">
        <x:v>2822</x:v>
      </x:c>
      <x:c r="T167" s="60" t="n">
        <x:v>199</x:v>
      </x:c>
      <x:c r="U167" s="52" t="str">
        <x:v>ChatGPT — Release Notes</x:v>
      </x:c>
      <x:c r="V167" s="52" t="str">
        <x:v>https://help.openai.com/en/articles/6825453-chatgpt-release-notes</x:v>
      </x:c>
      <x:c r="W167" s="52" t="str">
        <x:v>help_center_release_notes</x:v>
      </x:c>
      <x:c r="X167" s="52" t="str">
        <x:v>complete</x:v>
      </x:c>
      <x:c r="Y167" s="52" t="str">
        <x:v>high</x:v>
      </x:c>
      <x:c r="Z167" s="52" t="str">
        <x:v>chatgpt_core | feature | ChatGPT Memory | 2025 | chatgpt | chatgpt-core</x:v>
      </x:c>
      <x:c r="AA167" s="52" t="n">
        <x:v>1</x:v>
      </x:c>
      <x:c r="AB167" s="53" t="b">
        <x:v>0</x:v>
      </x:c>
    </x:row>
    <x:row r="168" ht="42" customHeight="1">
      <x:c r="A168" s="57" t="n">
        <x:v>45917</x:v>
      </x:c>
      <x:c r="B168" s="52" t="str">
        <x:v>evt-20250917-toggle-thinking-time-in-the-message-composer</x:v>
      </x:c>
      <x:c r="C168" s="60" t="n">
        <x:v>2025</x:v>
      </x:c>
      <x:c r="D168" s="52" t="str">
        <x:v>Q3</x:v>
      </x:c>
      <x:c r="E168" s="52" t="str">
        <x:v>Unified Intelligence</x:v>
      </x:c>
      <x:c r="F168" s="52" t="str">
        <x:v>models_reasoning</x:v>
      </x:c>
      <x:c r="G168" s="52" t="str">
        <x:v>Model Mountains</x:v>
      </x:c>
      <x:c r="H168" s="52" t="n">
        <x:v>1</x:v>
      </x:c>
      <x:c r="I168" s="52" t="str">
        <x:v>^</x:v>
      </x:c>
      <x:c r="J168" s="52" t="str">
        <x:v>ChatGPT</x:v>
      </x:c>
      <x:c r="K168" s="52" t="str">
        <x:v>feature</x:v>
      </x:c>
      <x:c r="L168" s="52" t="str">
        <x:v>active</x:v>
      </x:c>
      <x:c r="M168" s="63" t="str">
        <x:v>Toggle thinking time in the message composer</x:v>
      </x:c>
      <x:c r="N168" s="63" t="str">
        <x:v>訊息輸入框中的思考時間切換</x:v>
      </x:c>
      <x:c r="O168" s="63" t="str">
        <x:v>We’re giving Plus, Business, and Pro users more control over how long GPT-5 thinks before responding. You can now choose the level of reasoning time, so you can decide whether you want a quicker answer or more in-depth reasoning for your task. When you select GPT-5 with Thinking in ChatGPT, you’ll see a new thinking time toggle in the message composer.…</x:v>
      </x:c>
      <x:c r="P168" s="63" t="str">
        <x:v>我們為 Plus、Business 與 Pro 使用者提供更多對 GPT-5 回應前思考時間的控制權。您現在可選擇推理時間的長度，決定任務需要較快速的回應或是更深入的推理。當您在 ChatGPT 中選擇「GPT-5 with Thinking」時，訊息輸入框中將出現新的思考時間切換開關。</x:v>
      </x:c>
      <x:c r="Q168" s="60" t="n">
        <x:v>4</x:v>
      </x:c>
      <x:c r="R168" s="60" t="str">
        <x:v>major</x:v>
      </x:c>
      <x:c r="S168" s="60" t="n">
        <x:v>2827</x:v>
      </x:c>
      <x:c r="T168" s="60" t="n">
        <x:v>332</x:v>
      </x:c>
      <x:c r="U168" s="52" t="str">
        <x:v>ChatGPT — Release Notes</x:v>
      </x:c>
      <x:c r="V168" s="52" t="str">
        <x:v>https://help.openai.com/en/articles/6825453-chatgpt-release-notes</x:v>
      </x:c>
      <x:c r="W168" s="52" t="str">
        <x:v>help_center_release_notes</x:v>
      </x:c>
      <x:c r="X168" s="52" t="str">
        <x:v>complete</x:v>
      </x:c>
      <x:c r="Y168" s="52" t="str">
        <x:v>high</x:v>
      </x:c>
      <x:c r="Z168" s="52" t="str">
        <x:v>models_reasoning | feature | ChatGPT | 2025 | chatgpt | models-reasoning</x:v>
      </x:c>
      <x:c r="AA168" s="52" t="n">
        <x:v>1</x:v>
      </x:c>
      <x:c r="AB168" s="53" t="b">
        <x:v>0</x:v>
      </x:c>
    </x:row>
    <x:row r="169" ht="42" customHeight="1">
      <x:c r="A169" s="57" t="n">
        <x:v>45918</x:v>
      </x:c>
      <x:c r="B169" s="52" t="str">
        <x:v>evt-20250918-voice-updates</x:v>
      </x:c>
      <x:c r="C169" s="60" t="n">
        <x:v>2025</x:v>
      </x:c>
      <x:c r="D169" s="52" t="str">
        <x:v>Q3</x:v>
      </x:c>
      <x:c r="E169" s="52" t="str">
        <x:v>Unified Intelligence</x:v>
      </x:c>
      <x:c r="F169" s="52" t="str">
        <x:v>multimodal</x:v>
      </x:c>
      <x:c r="G169" s="52" t="str">
        <x:v>Multimodal Coast</x:v>
      </x:c>
      <x:c r="H169" s="52" t="n">
        <x:v>4</x:v>
      </x:c>
      <x:c r="I169" s="52" t="str">
        <x:v>~</x:v>
      </x:c>
      <x:c r="J169" s="52" t="str">
        <x:v>ChatGPT Voice</x:v>
      </x:c>
      <x:c r="K169" s="52" t="str">
        <x:v>feature</x:v>
      </x:c>
      <x:c r="L169" s="52" t="str">
        <x:v>active</x:v>
      </x:c>
      <x:c r="M169" s="63" t="str">
        <x:v>Voice Updates</x:v>
      </x:c>
      <x:c r="N169" s="63" t="str">
        <x:v>語音更新</x:v>
      </x:c>
      <x:c r="O169" s="63" t="str">
        <x:v>We’re improving the quality and latency of responses of the version of Advanced Voice powered by GPT-4o mini.</x:v>
      </x:c>
      <x:c r="P169" s="63" t="str">
        <x:v>OpenAI 於 2025-09-18 為 GPT-4o 更新模型或體驗；此節點依官方發布記錄整理，完整能力、適用方案與限制請見來源。</x:v>
      </x:c>
      <x:c r="Q169" s="60" t="n">
        <x:v>4</x:v>
      </x:c>
      <x:c r="R169" s="60" t="str">
        <x:v>major</x:v>
      </x:c>
      <x:c r="S169" s="60" t="n">
        <x:v>2830</x:v>
      </x:c>
      <x:c r="T169" s="60" t="n">
        <x:v>798</x:v>
      </x:c>
      <x:c r="U169" s="52" t="str">
        <x:v>ChatGPT — Release Notes</x:v>
      </x:c>
      <x:c r="V169" s="52" t="str">
        <x:v>https://help.openai.com/en/articles/6825453-chatgpt-release-notes</x:v>
      </x:c>
      <x:c r="W169" s="52" t="str">
        <x:v>help_center_release_notes</x:v>
      </x:c>
      <x:c r="X169" s="52" t="str">
        <x:v>complete</x:v>
      </x:c>
      <x:c r="Y169" s="52" t="str">
        <x:v>high</x:v>
      </x:c>
      <x:c r="Z169" s="52" t="str">
        <x:v>multimodal | feature | ChatGPT Voice | 2025 | chatgpt-voice</x:v>
      </x:c>
      <x:c r="AA169" s="52" t="n">
        <x:v>1</x:v>
      </x:c>
      <x:c r="AB169" s="53" t="b">
        <x:v>0</x:v>
      </x:c>
    </x:row>
    <x:row r="170" ht="42" customHeight="1">
      <x:c r="A170" s="57" t="n">
        <x:v>45922</x:v>
      </x:c>
      <x:c r="B170" s="52" t="str">
        <x:v>evt-20250922-chatgpt-go-now-available-in-indonesia</x:v>
      </x:c>
      <x:c r="C170" s="60" t="n">
        <x:v>2025</x:v>
      </x:c>
      <x:c r="D170" s="52" t="str">
        <x:v>Q3</x:v>
      </x:c>
      <x:c r="E170" s="52" t="str">
        <x:v>Unified Intelligence</x:v>
      </x:c>
      <x:c r="F170" s="52" t="str">
        <x:v>chatgpt_core</x:v>
      </x:c>
      <x:c r="G170" s="52" t="str">
        <x:v>Origin Plaza</x:v>
      </x:c>
      <x:c r="H170" s="52" t="n">
        <x:v>0</x:v>
      </x:c>
      <x:c r="I170" s="52" t="str">
        <x:v>@</x:v>
      </x:c>
      <x:c r="J170" s="52" t="str">
        <x:v>ChatGPT Go</x:v>
      </x:c>
      <x:c r="K170" s="52" t="str">
        <x:v>availability</x:v>
      </x:c>
      <x:c r="L170" s="52" t="str">
        <x:v>active</x:v>
      </x:c>
      <x:c r="M170" s="63" t="str">
        <x:v>ChatGPT Go now available in Indonesia</x:v>
      </x:c>
      <x:c r="N170" s="63" t="str">
        <x:v>ChatGPT Go 現已於印尼推出</x:v>
      </x:c>
      <x:c r="O170" s="63" t="str">
        <x:v>We're launching ChatGPT Go, our low cost subscription plan, in Indonesia. For Rp 75.000/month, ChatGPT Go provides everything included in the Free plan, and: More messages, larger file uploads, and expanded image generation Access to advanced data analysis Longer memory for more personalized responses Available on web, mobile (iOS &amp; Android), and desktop (macOS &amp; Windows). Learn more about ChatGPT Go.</x:v>
      </x:c>
      <x:c r="P170" s="63" t="str">
        <x:v>我們在印尼推出了低成本訂閱方案 ChatGPT Go。每月 Rp 75.000，ChatGPT Go 提供免費版的所有功能，外加：更多的訊息量、更大的檔案上傳限制、擴充的影像生成功能、進階數據分析存取權，以及更長的「記憶」以提供更個人化的回應。適用於網頁、行動裝置 (iOS 與 Android) 及桌面端。</x:v>
      </x:c>
      <x:c r="Q170" s="60" t="n">
        <x:v>4</x:v>
      </x:c>
      <x:c r="R170" s="60" t="str">
        <x:v>major</x:v>
      </x:c>
      <x:c r="S170" s="60" t="n">
        <x:v>2840</x:v>
      </x:c>
      <x:c r="T170" s="60" t="n">
        <x:v>149</x:v>
      </x:c>
      <x:c r="U170" s="52" t="str">
        <x:v>ChatGPT — Release Notes</x:v>
      </x:c>
      <x:c r="V170" s="52" t="str">
        <x:v>https://help.openai.com/en/articles/6825453-chatgpt-release-notes</x:v>
      </x:c>
      <x:c r="W170" s="52" t="str">
        <x:v>help_center_release_notes</x:v>
      </x:c>
      <x:c r="X170" s="52" t="str">
        <x:v>complete</x:v>
      </x:c>
      <x:c r="Y170" s="52" t="str">
        <x:v>high</x:v>
      </x:c>
      <x:c r="Z170" s="52" t="str">
        <x:v>chatgpt_core | availability | ChatGPT Go | 2025 | chatgpt-core | chatgpt-go</x:v>
      </x:c>
      <x:c r="AA170" s="52" t="n">
        <x:v>1</x:v>
      </x:c>
      <x:c r="AB170" s="53" t="b">
        <x:v>0</x:v>
      </x:c>
    </x:row>
    <x:row r="171" ht="42" customHeight="1">
      <x:c r="A171" s="57" t="n">
        <x:v>45923</x:v>
      </x:c>
      <x:c r="B171" s="52" t="str">
        <x:v>evt-20250923-launched-special-purpose-model-gpt-5-codex-built-and-optim</x:v>
      </x:c>
      <x:c r="C171" s="60" t="n">
        <x:v>2025</x:v>
      </x:c>
      <x:c r="D171" s="52" t="str">
        <x:v>Q3</x:v>
      </x:c>
      <x:c r="E171" s="52" t="str">
        <x:v>Unified Intelligence</x:v>
      </x:c>
      <x:c r="F171" s="52" t="str">
        <x:v>agents_research</x:v>
      </x:c>
      <x:c r="G171" s="52" t="str">
        <x:v>Agentic Frontier</x:v>
      </x:c>
      <x:c r="H171" s="52" t="n">
        <x:v>2</x:v>
      </x:c>
      <x:c r="I171" s="52" t="str">
        <x:v>&gt;</x:v>
      </x:c>
      <x:c r="J171" s="52" t="str">
        <x:v>Codex</x:v>
      </x:c>
      <x:c r="K171" s="52" t="str">
        <x:v>model_release</x:v>
      </x:c>
      <x:c r="L171" s="52" t="str">
        <x:v>active</x:v>
      </x:c>
      <x:c r="M171" s="63" t="str">
        <x:v>Launched special-purpose model gpt-5-codex, built and optimized for use with the Codex CLI.</x:v>
      </x:c>
      <x:c r="N171" s="63" t="str">
        <x:v>模型發布：Codex</x:v>
      </x:c>
      <x:c r="O171" s="63" t="str">
        <x:v>Launched special-purpose model gpt-5-codex , built and optimized for use with the Codex CLI .</x:v>
      </x:c>
      <x:c r="P171" s="63" t="str">
        <x:v>推出：special-purpose 模型 gpt-5-codex , built and optimized for use with Codex CLI。OpenAI 將此列為 2025-09-23 的功能；重點涉及Codex 編碼代理，模型、端點與參數名稱依官方英文保留。</x:v>
      </x:c>
      <x:c r="Q171" s="60" t="n">
        <x:v>4</x:v>
      </x:c>
      <x:c r="R171" s="60" t="str">
        <x:v>major</x:v>
      </x:c>
      <x:c r="S171" s="60" t="n">
        <x:v>2843</x:v>
      </x:c>
      <x:c r="T171" s="60" t="n">
        <x:v>470</x:v>
      </x:c>
      <x:c r="U171" s="52" t="str">
        <x:v>OpenAI API Changelog</x:v>
      </x:c>
      <x:c r="V171" s="52" t="str">
        <x:v>https://developers.openai.com/api/docs/changelog</x:v>
      </x:c>
      <x:c r="W171" s="52" t="str">
        <x:v>official_changelog</x:v>
      </x:c>
      <x:c r="X171" s="52" t="str">
        <x:v>corroborated</x:v>
      </x:c>
      <x:c r="Y171" s="52" t="str">
        <x:v>high</x:v>
      </x:c>
      <x:c r="Z171" s="52" t="str">
        <x:v>agents_research | model_release | Codex | codex | coding-agent | feature</x:v>
      </x:c>
      <x:c r="AA171" s="52" t="n">
        <x:v>2</x:v>
      </x:c>
      <x:c r="AB171" s="53" t="b">
        <x:v>1</x:v>
      </x:c>
    </x:row>
    <x:row r="172" ht="42" customHeight="1">
      <x:c r="A172" s="57" t="n">
        <x:v>45925</x:v>
      </x:c>
      <x:c r="B172" s="52" t="str">
        <x:v>evt-20250925-introducing-chatgpt-pulse-for-pro-users</x:v>
      </x:c>
      <x:c r="C172" s="60" t="n">
        <x:v>2025</x:v>
      </x:c>
      <x:c r="D172" s="52" t="str">
        <x:v>Q3</x:v>
      </x:c>
      <x:c r="E172" s="52" t="str">
        <x:v>Unified Intelligence</x:v>
      </x:c>
      <x:c r="F172" s="52" t="str">
        <x:v>agents_research</x:v>
      </x:c>
      <x:c r="G172" s="52" t="str">
        <x:v>Agentic Frontier</x:v>
      </x:c>
      <x:c r="H172" s="52" t="n">
        <x:v>2</x:v>
      </x:c>
      <x:c r="I172" s="52" t="str">
        <x:v>&gt;</x:v>
      </x:c>
      <x:c r="J172" s="52" t="str">
        <x:v>ChatGPT Memory</x:v>
      </x:c>
      <x:c r="K172" s="52" t="str">
        <x:v>launch</x:v>
      </x:c>
      <x:c r="L172" s="52" t="str">
        <x:v>active</x:v>
      </x:c>
      <x:c r="M172" s="63" t="str">
        <x:v>Introducing ChatGPT Pulse for Pro users</x:v>
      </x:c>
      <x:c r="N172" s="63" t="str">
        <x:v>推出適用於 Pro 用戶的 ChatGPT Pulse</x:v>
      </x:c>
      <x:c r="O172" s="63" t="str">
        <x:v>We’re launching an early preview of ChatGPT pulse for Pro users on iOS and Android. This is a new experience where ChatGPT can now proactively deliver personalized, focused updates for you once a day. These updates are based on asynchronous research ChatGPT can do on your behalf overnight, synthesizing information from your memory, chat history, and direct feedback to learn what’s most relevant to you. Updates are delivered once a da…</x:v>
      </x:c>
      <x:c r="P172" s="63" t="str">
        <x:v>我們正在 iOS 和 Android 上推出適用於 Pro 用戶的 ChatGPT Pulse 搶先預覽版。這是一項新的體驗，ChatGPT 現在可以每天主動為您提供個人化、精準的更新。…</x:v>
      </x:c>
      <x:c r="Q172" s="60" t="n">
        <x:v>5</x:v>
      </x:c>
      <x:c r="R172" s="60" t="str">
        <x:v>landmark</x:v>
      </x:c>
      <x:c r="S172" s="60" t="n">
        <x:v>2848</x:v>
      </x:c>
      <x:c r="T172" s="60" t="n">
        <x:v>503</x:v>
      </x:c>
      <x:c r="U172" s="52" t="str">
        <x:v>ChatGPT — Release Notes</x:v>
      </x:c>
      <x:c r="V172" s="52" t="str">
        <x:v>https://help.openai.com/en/articles/6825453-chatgpt-release-notes</x:v>
      </x:c>
      <x:c r="W172" s="52" t="str">
        <x:v>help_center_release_notes</x:v>
      </x:c>
      <x:c r="X172" s="52" t="str">
        <x:v>complete</x:v>
      </x:c>
      <x:c r="Y172" s="52" t="str">
        <x:v>high</x:v>
      </x:c>
      <x:c r="Z172" s="52" t="str">
        <x:v>agents_research | launch | ChatGPT Memory | 2025 | agents-research | chatgpt-pulse</x:v>
      </x:c>
      <x:c r="AA172" s="52" t="n">
        <x:v>1</x:v>
      </x:c>
      <x:c r="AB172" s="53" t="b">
        <x:v>0</x:v>
      </x:c>
    </x:row>
    <x:row r="173" ht="42" customHeight="1">
      <x:c r="A173" s="57" t="n">
        <x:v>45926</x:v>
      </x:c>
      <x:c r="B173" s="52" t="str">
        <x:v>evt-20250926-legacy-gpt-model-snapshots-deprecation</x:v>
      </x:c>
      <x:c r="C173" s="60" t="n">
        <x:v>2025</x:v>
      </x:c>
      <x:c r="D173" s="52" t="str">
        <x:v>Q3</x:v>
      </x:c>
      <x:c r="E173" s="52" t="str">
        <x:v>Unified Intelligence</x:v>
      </x:c>
      <x:c r="F173" s="52" t="str">
        <x:v>safety_lifecycle</x:v>
      </x:c>
      <x:c r="G173" s="52" t="str">
        <x:v>Safety Wall</x:v>
      </x:c>
      <x:c r="H173" s="52" t="n">
        <x:v>9</x:v>
      </x:c>
      <x:c r="I173" s="52" t="str">
        <x:v>!</x:v>
      </x:c>
      <x:c r="J173" s="52" t="str">
        <x:v>Model Platform</x:v>
      </x:c>
      <x:c r="K173" s="52" t="str">
        <x:v>deprecation</x:v>
      </x:c>
      <x:c r="L173" s="52" t="str">
        <x:v>deprecated</x:v>
      </x:c>
      <x:c r="M173" s="63" t="str">
        <x:v>Legacy GPT model snapshots deprecation</x:v>
      </x:c>
      <x:c r="N173" s="63" t="str">
        <x:v>Legacy GPT model snapshots 棄用公告</x:v>
      </x:c>
      <x:c r="O173" s="63" t="str">
        <x:v>To improve reliability and make it easier for developers to choose the right models, we are deprecating a set of older OpenAI models with declining usage over the next six to twelve months. Access to these models will be shut down on the dates below. For tasks that are especially latency sensitive and don’t require reasoning Schedule/replacements: 2026‑03‑26 gpt-4-0314 gpt-5 or gpt-4.1; 2026‑03‑26 gpt-4-1106-preview gpt-5 or gpt-4.1;…</x:v>
      </x:c>
      <x:c r="P173" s="63" t="str">
        <x:v>OpenAI 於 2025-09-26 公告 Legacy GPT model snapshots 的棄用或下線時程，並列出替代方案與遷移方向。</x:v>
      </x:c>
      <x:c r="Q173" s="60" t="n">
        <x:v>4</x:v>
      </x:c>
      <x:c r="R173" s="60" t="str">
        <x:v>major</x:v>
      </x:c>
      <x:c r="S173" s="60" t="n">
        <x:v>2850</x:v>
      </x:c>
      <x:c r="T173" s="60" t="n">
        <x:v>1488</x:v>
      </x:c>
      <x:c r="U173" s="52" t="str">
        <x:v>OpenAI API Deprecations</x:v>
      </x:c>
      <x:c r="V173" s="52" t="str">
        <x:v>https://developers.openai.com/api/docs/deprecations#2025-09-26-legacy-gpt-model-snapshots</x:v>
      </x:c>
      <x:c r="W173" s="52" t="str">
        <x:v>official_deprecation_registry</x:v>
      </x:c>
      <x:c r="X173" s="52" t="str">
        <x:v>corroborated</x:v>
      </x:c>
      <x:c r="Y173" s="52" t="str">
        <x:v>high</x:v>
      </x:c>
      <x:c r="Z173" s="52" t="str">
        <x:v>safety_lifecycle | deprecation | Model Platform | api | model-platform</x:v>
      </x:c>
      <x:c r="AA173" s="52" t="n">
        <x:v>2</x:v>
      </x:c>
      <x:c r="AB173" s="53" t="b">
        <x:v>1</x:v>
      </x:c>
    </x:row>
    <x:row r="174" ht="42" customHeight="1">
      <x:c r="A174" s="57" t="n">
        <x:v>45929</x:v>
      </x:c>
      <x:c r="B174" s="52" t="str">
        <x:v>evt-20250929-introducing-instant-checkout-in-chatgpt</x:v>
      </x:c>
      <x:c r="C174" s="60" t="n">
        <x:v>2025</x:v>
      </x:c>
      <x:c r="D174" s="52" t="str">
        <x:v>Q3</x:v>
      </x:c>
      <x:c r="E174" s="52" t="str">
        <x:v>Unified Intelligence</x:v>
      </x:c>
      <x:c r="F174" s="52" t="str">
        <x:v>search_commerce</x:v>
      </x:c>
      <x:c r="G174" s="52" t="str">
        <x:v>Commerce Bazaar</x:v>
      </x:c>
      <x:c r="H174" s="52" t="n">
        <x:v>6</x:v>
      </x:c>
      <x:c r="I174" s="52" t="str">
        <x:v>$</x:v>
      </x:c>
      <x:c r="J174" s="52" t="str">
        <x:v>Shopping</x:v>
      </x:c>
      <x:c r="K174" s="52" t="str">
        <x:v>launch</x:v>
      </x:c>
      <x:c r="L174" s="52" t="str">
        <x:v>active</x:v>
      </x:c>
      <x:c r="M174" s="63" t="str">
        <x:v>Introducing Instant Checkout in ChatGPT</x:v>
      </x:c>
      <x:c r="N174" s="63" t="str">
        <x:v>推出 ChatGPT 中的 Instant Checkout</x:v>
      </x:c>
      <x:c r="O174" s="63" t="str">
        <x:v>Instant Checkout began letting U.S. ChatGPT users buy eligible products from participating merchants without leaving the conversation.</x:v>
      </x:c>
      <x:c r="P174" s="63" t="str">
        <x:v>Instant Checkout 開始讓美國的 ChatGPT 用戶無需離開對話即可向參與的商家購買符合條件的產品。</x:v>
      </x:c>
      <x:c r="Q174" s="60" t="n">
        <x:v>4</x:v>
      </x:c>
      <x:c r="R174" s="60" t="str">
        <x:v>major</x:v>
      </x:c>
      <x:c r="S174" s="60" t="n">
        <x:v>2858</x:v>
      </x:c>
      <x:c r="T174" s="60" t="n">
        <x:v>1021</x:v>
      </x:c>
      <x:c r="U174" s="52" t="str">
        <x:v>ChatGPT — Release Notes</x:v>
      </x:c>
      <x:c r="V174" s="52" t="str">
        <x:v>https://help.openai.com/en/articles/6825453-chatgpt-release-notes</x:v>
      </x:c>
      <x:c r="W174" s="52" t="str">
        <x:v>help_center_release_notes</x:v>
      </x:c>
      <x:c r="X174" s="52" t="str">
        <x:v>complete</x:v>
      </x:c>
      <x:c r="Y174" s="52" t="str">
        <x:v>high</x:v>
      </x:c>
      <x:c r="Z174" s="52" t="str">
        <x:v>search_commerce | launch | Shopping | 2025 | search-commerce | shopping</x:v>
      </x:c>
      <x:c r="AA174" s="52" t="n">
        <x:v>1</x:v>
      </x:c>
      <x:c r="AB174" s="53" t="b">
        <x:v>0</x:v>
      </x:c>
    </x:row>
    <x:row r="175" ht="42" customHeight="1">
      <x:c r="A175" s="57" t="n">
        <x:v>45929</x:v>
      </x:c>
      <x:c r="B175" s="52" t="str">
        <x:v>evt-20250929-introducing-the-agentic-commerce-protocol</x:v>
      </x:c>
      <x:c r="C175" s="60" t="n">
        <x:v>2025</x:v>
      </x:c>
      <x:c r="D175" s="52" t="str">
        <x:v>Q3</x:v>
      </x:c>
      <x:c r="E175" s="52" t="str">
        <x:v>Unified Intelligence</x:v>
      </x:c>
      <x:c r="F175" s="52" t="str">
        <x:v>search_commerce</x:v>
      </x:c>
      <x:c r="G175" s="52" t="str">
        <x:v>Commerce Bazaar</x:v>
      </x:c>
      <x:c r="H175" s="52" t="n">
        <x:v>6</x:v>
      </x:c>
      <x:c r="I175" s="52" t="str">
        <x:v>$</x:v>
      </x:c>
      <x:c r="J175" s="52" t="str">
        <x:v>Shopping</x:v>
      </x:c>
      <x:c r="K175" s="52" t="str">
        <x:v>launch</x:v>
      </x:c>
      <x:c r="L175" s="52" t="str">
        <x:v>active</x:v>
      </x:c>
      <x:c r="M175" s="63" t="str">
        <x:v>Introducing the Agentic Commerce Protocol</x:v>
      </x:c>
      <x:c r="N175" s="63" t="str">
        <x:v>推出 Agentic Commerce Protocol</x:v>
      </x:c>
      <x:c r="O175" s="63" t="str">
        <x:v>OpenAI and Stripe introduced the open Agentic Commerce Protocol as infrastructure for merchants and agents to complete purchases while merchants remain the merchant of record.</x:v>
      </x:c>
      <x:c r="P175" s="63" t="str">
        <x:v>OpenAI 和 Stripe 推出了開放式的 Agentic Commerce Protocol，作為商家和代理進行購買交易的基礎設施，同時商家仍保留為記錄上的賣方。</x:v>
      </x:c>
      <x:c r="Q175" s="60" t="n">
        <x:v>4</x:v>
      </x:c>
      <x:c r="R175" s="60" t="str">
        <x:v>major</x:v>
      </x:c>
      <x:c r="S175" s="60" t="n">
        <x:v>2858</x:v>
      </x:c>
      <x:c r="T175" s="60" t="n">
        <x:v>1078</x:v>
      </x:c>
      <x:c r="U175" s="52" t="str">
        <x:v>ChatGPT — Release Notes</x:v>
      </x:c>
      <x:c r="V175" s="52" t="str">
        <x:v>https://help.openai.com/en/articles/6825453-chatgpt-release-notes</x:v>
      </x:c>
      <x:c r="W175" s="52" t="str">
        <x:v>help_center_release_notes</x:v>
      </x:c>
      <x:c r="X175" s="52" t="str">
        <x:v>complete</x:v>
      </x:c>
      <x:c r="Y175" s="52" t="str">
        <x:v>high</x:v>
      </x:c>
      <x:c r="Z175" s="52" t="str">
        <x:v>search_commerce | launch | Shopping | 2025 | search-commerce | shopping</x:v>
      </x:c>
      <x:c r="AA175" s="52" t="n">
        <x:v>1</x:v>
      </x:c>
      <x:c r="AB175" s="53" t="b">
        <x:v>0</x:v>
      </x:c>
    </x:row>
    <x:row r="176" ht="42" customHeight="1">
      <x:c r="A176" s="57" t="n">
        <x:v>45929</x:v>
      </x:c>
      <x:c r="B176" s="52" t="str">
        <x:v>evt-20250929-parental-controls</x:v>
      </x:c>
      <x:c r="C176" s="60" t="n">
        <x:v>2025</x:v>
      </x:c>
      <x:c r="D176" s="52" t="str">
        <x:v>Q3</x:v>
      </x:c>
      <x:c r="E176" s="52" t="str">
        <x:v>Unified Intelligence</x:v>
      </x:c>
      <x:c r="F176" s="52" t="str">
        <x:v>safety_lifecycle</x:v>
      </x:c>
      <x:c r="G176" s="52" t="str">
        <x:v>Safety Wall</x:v>
      </x:c>
      <x:c r="H176" s="52" t="n">
        <x:v>9</x:v>
      </x:c>
      <x:c r="I176" s="52" t="str">
        <x:v>!</x:v>
      </x:c>
      <x:c r="J176" s="52" t="str">
        <x:v>ChatGPT Work</x:v>
      </x:c>
      <x:c r="K176" s="52" t="str">
        <x:v>safety</x:v>
      </x:c>
      <x:c r="L176" s="52" t="str">
        <x:v>active</x:v>
      </x:c>
      <x:c r="M176" s="63" t="str">
        <x:v>Parental Controls</x:v>
      </x:c>
      <x:c r="N176" s="63" t="str">
        <x:v>家長控制功能</x:v>
      </x:c>
      <x:c r="O176" s="63" t="str">
        <x:v>We’re rolling out parental controls globally in ChatGPT to help families guide how ChatGPT works in their homes. Available starting on the web today, mobile soon. To set up parental controls, a parent or guardian sends an invite to their teen to connect accounts. After the teen accepts, the parent can manage the teen’s settings from their own account. Teens can also invite a parent to connect. Once a teen is connected to a parent’s a…</x:v>
      </x:c>
      <x:c r="P176" s="63" t="str">
        <x:v>我們正在全球範圍內推出 ChatGPT 家長控制功能，以協助家庭引導 ChatGPT 在家中的運作方式。今日起於網頁版開放，行動版隨後推出。若要設定家長控制，家長或監護人需發送邀請給青少年以連結帳戶。青少年接受後，家長即可從自己的帳戶管理青少年的設定。…</x:v>
      </x:c>
      <x:c r="Q176" s="60" t="n">
        <x:v>4</x:v>
      </x:c>
      <x:c r="R176" s="60" t="str">
        <x:v>major</x:v>
      </x:c>
      <x:c r="S176" s="60" t="n">
        <x:v>2858</x:v>
      </x:c>
      <x:c r="T176" s="60" t="n">
        <x:v>1497</x:v>
      </x:c>
      <x:c r="U176" s="52" t="str">
        <x:v>ChatGPT — Release Notes</x:v>
      </x:c>
      <x:c r="V176" s="52" t="str">
        <x:v>https://help.openai.com/en/articles/6825453-chatgpt-release-notes</x:v>
      </x:c>
      <x:c r="W176" s="52" t="str">
        <x:v>help_center_release_notes</x:v>
      </x:c>
      <x:c r="X176" s="52" t="str">
        <x:v>complete</x:v>
      </x:c>
      <x:c r="Y176" s="52" t="str">
        <x:v>high</x:v>
      </x:c>
      <x:c r="Z176" s="52" t="str">
        <x:v>safety_lifecycle | safety | ChatGPT Work | 2025 | chatgpt | safety-lifecycle</x:v>
      </x:c>
      <x:c r="AA176" s="52" t="n">
        <x:v>1</x:v>
      </x:c>
      <x:c r="AB176" s="53" t="b">
        <x:v>0</x:v>
      </x:c>
    </x:row>
    <x:row r="177" ht="42" customHeight="1">
      <x:c r="A177" s="57" t="n">
        <x:v>45930</x:v>
      </x:c>
      <x:c r="B177" s="52" t="str">
        <x:v>evt-20250930-sora-2-and-the-sora-app-launch</x:v>
      </x:c>
      <x:c r="C177" s="60" t="n">
        <x:v>2025</x:v>
      </x:c>
      <x:c r="D177" s="52" t="str">
        <x:v>Q3</x:v>
      </x:c>
      <x:c r="E177" s="52" t="str">
        <x:v>Unified Intelligence</x:v>
      </x:c>
      <x:c r="F177" s="52" t="str">
        <x:v>multimodal</x:v>
      </x:c>
      <x:c r="G177" s="52" t="str">
        <x:v>Multimodal Coast</x:v>
      </x:c>
      <x:c r="H177" s="52" t="n">
        <x:v>4</x:v>
      </x:c>
      <x:c r="I177" s="52" t="str">
        <x:v>~</x:v>
      </x:c>
      <x:c r="J177" s="52" t="str">
        <x:v>Sora</x:v>
      </x:c>
      <x:c r="K177" s="52" t="str">
        <x:v>launch</x:v>
      </x:c>
      <x:c r="L177" s="52" t="str">
        <x:v>active</x:v>
      </x:c>
      <x:c r="M177" s="63" t="str">
        <x:v>Sora 2 and the Sora app launch</x:v>
      </x:c>
      <x:c r="N177" s="63" t="str">
        <x:v>Sora 2 和 Sora 應用程式推出</x:v>
      </x:c>
      <x:c r="O177" s="63" t="str">
        <x:v>OpenAI released Sora 2 with more accurate physics, greater realism and control, synchronized dialogue and sound effects, and an initial U.S. and Canada rollout through a new iOS Sora app and sora.com.</x:v>
      </x:c>
      <x:c r="P177" s="63" t="str">
        <x:v>OpenAI 推出 Sora 2，具有更準確的物理效果、更高的真實感與控制力、同步的對話和音效，並透過全新的 iOS Sora 應用程式和 sora.com 在美國和加拿大進行初步推廣。</x:v>
      </x:c>
      <x:c r="Q177" s="60" t="n">
        <x:v>5</x:v>
      </x:c>
      <x:c r="R177" s="60" t="str">
        <x:v>landmark</x:v>
      </x:c>
      <x:c r="S177" s="60" t="n">
        <x:v>2861</x:v>
      </x:c>
      <x:c r="T177" s="60" t="n">
        <x:v>796</x:v>
      </x:c>
      <x:c r="U177" s="52" t="str">
        <x:v>Sora 2 is here</x:v>
      </x:c>
      <x:c r="V177" s="52" t="str">
        <x:v>https://openai.com/index/sora-2/</x:v>
      </x:c>
      <x:c r="W177" s="52" t="str">
        <x:v>official_launch_post</x:v>
      </x:c>
      <x:c r="X177" s="52" t="str">
        <x:v>complete</x:v>
      </x:c>
      <x:c r="Y177" s="52" t="str">
        <x:v>high</x:v>
      </x:c>
      <x:c r="Z177" s="52" t="str">
        <x:v>multimodal | launch | Sora | 2025 | sora</x:v>
      </x:c>
      <x:c r="AA177" s="52" t="n">
        <x:v>1</x:v>
      </x:c>
      <x:c r="AB177" s="53" t="b">
        <x:v>0</x:v>
      </x:c>
    </x:row>
    <x:row r="178" ht="42" customHeight="1">
      <x:c r="A178" s="57" t="n">
        <x:v>45936</x:v>
      </x:c>
      <x:c r="B178" s="52" t="str">
        <x:v>evt-20251006-released-several-new-features-at-openai-devday</x:v>
      </x:c>
      <x:c r="C178" s="60" t="n">
        <x:v>2025</x:v>
      </x:c>
      <x:c r="D178" s="52" t="str">
        <x:v>Q4</x:v>
      </x:c>
      <x:c r="E178" s="52" t="str">
        <x:v>Unified Intelligence</x:v>
      </x:c>
      <x:c r="F178" s="52" t="str">
        <x:v>models_reasoning</x:v>
      </x:c>
      <x:c r="G178" s="52" t="str">
        <x:v>Model Mountains</x:v>
      </x:c>
      <x:c r="H178" s="52" t="n">
        <x:v>1</x:v>
      </x:c>
      <x:c r="I178" s="52" t="str">
        <x:v>^</x:v>
      </x:c>
      <x:c r="J178" s="52" t="str">
        <x:v>Model Platform</x:v>
      </x:c>
      <x:c r="K178" s="52" t="str">
        <x:v>model_release</x:v>
      </x:c>
      <x:c r="L178" s="52" t="str">
        <x:v>active</x:v>
      </x:c>
      <x:c r="M178" s="63" t="str">
        <x:v>Released several new features at OpenAI DevDay</x:v>
      </x:c>
      <x:c r="N178" s="63" t="str">
        <x:v>OpenAI DevDay API 與代理平台更新</x:v>
      </x:c>
      <x:c r="O178" s="63" t="str">
        <x:v>Released several new features at OpenAI DevDay : Released GPT-5 Pro , a version of GPT-5 that uses more compute to think harder and provide consistently better answers. Released GPT-Realtime mini and gpt-audio-mini for more cost-efficient speech to speech performance. Released gpt-image-1-mini for more cost-efficient image generation and editing. Launched v1/videos for rich, detailed, and dynamic video generation and remixing with ou…</x:v>
      </x:c>
      <x:c r="P178" s="63" t="str">
        <x:v>OpenAI DevDay API 與代理平台更新。OpenAI 將此列為 2025-10-06 的功能；重點涉及代理與工具調用、即時語音與音訊、圖像與影片，模型、端點與參數名稱依官方英文保留。</x:v>
      </x:c>
      <x:c r="Q178" s="60" t="n">
        <x:v>4</x:v>
      </x:c>
      <x:c r="R178" s="60" t="str">
        <x:v>major</x:v>
      </x:c>
      <x:c r="S178" s="60" t="n">
        <x:v>2876</x:v>
      </x:c>
      <x:c r="T178" s="60" t="n">
        <x:v>321</x:v>
      </x:c>
      <x:c r="U178" s="52" t="str">
        <x:v>OpenAI API Changelog</x:v>
      </x:c>
      <x:c r="V178" s="52" t="str">
        <x:v>https://developers.openai.com/api/docs/changelog</x:v>
      </x:c>
      <x:c r="W178" s="52" t="str">
        <x:v>official_changelog</x:v>
      </x:c>
      <x:c r="X178" s="52" t="str">
        <x:v>complete</x:v>
      </x:c>
      <x:c r="Y178" s="52" t="str">
        <x:v>high</x:v>
      </x:c>
      <x:c r="Z178" s="52" t="str">
        <x:v>models_reasoning | model_release | Model Platform | api | feature | models</x:v>
      </x:c>
      <x:c r="AA178" s="52" t="n">
        <x:v>1</x:v>
      </x:c>
      <x:c r="AB178" s="53" t="b">
        <x:v>0</x:v>
      </x:c>
    </x:row>
    <x:row r="179" ht="42" customHeight="1">
      <x:c r="A179" s="57" t="n">
        <x:v>45936</x:v>
      </x:c>
      <x:c r="B179" s="52" t="str">
        <x:v>evt-20251006-codex-is-now-ga</x:v>
      </x:c>
      <x:c r="C179" s="60" t="n">
        <x:v>2025</x:v>
      </x:c>
      <x:c r="D179" s="52" t="str">
        <x:v>Q4</x:v>
      </x:c>
      <x:c r="E179" s="52" t="str">
        <x:v>Unified Intelligence</x:v>
      </x:c>
      <x:c r="F179" s="52" t="str">
        <x:v>agents_research</x:v>
      </x:c>
      <x:c r="G179" s="52" t="str">
        <x:v>Agentic Frontier</x:v>
      </x:c>
      <x:c r="H179" s="52" t="n">
        <x:v>2</x:v>
      </x:c>
      <x:c r="I179" s="52" t="str">
        <x:v>&gt;</x:v>
      </x:c>
      <x:c r="J179" s="52" t="str">
        <x:v>Codex</x:v>
      </x:c>
      <x:c r="K179" s="52" t="str">
        <x:v>availability</x:v>
      </x:c>
      <x:c r="L179" s="52" t="str">
        <x:v>general_availability</x:v>
      </x:c>
      <x:c r="M179" s="63" t="str">
        <x:v>Codex is now GA</x:v>
      </x:c>
      <x:c r="N179" s="63" t="str">
        <x:v>Codex is now GA 更新</x:v>
      </x:c>
      <x:c r="O179" s="63" t="str">
        <x:v>Codex is now generally available with 3 new features — @Codex in Slack, Codex SDK, and new admin tools. @Codex in Slack You can now questions and assign tasks to Codex directly from Slack. See the Slack guide to get started. Codex SDK Integrate the same agent that powers the Codex CLI inside your own tools and workflows with the Codex SDK in Typescript. With the new Codex GitHub Action, you can easily add Codex to CI/CD workflows. Se…</x:v>
      </x:c>
      <x:c r="P179" s="63" t="str">
        <x:v>Codex Changelog 在 2025-10-06 記錄了Codex 編碼代理、代理與工具調用、企業管理控制相關更新；完整版本與修正內容見官方英文摘要。</x:v>
      </x:c>
      <x:c r="Q179" s="60" t="n">
        <x:v>4</x:v>
      </x:c>
      <x:c r="R179" s="60" t="str">
        <x:v>major</x:v>
      </x:c>
      <x:c r="S179" s="60" t="n">
        <x:v>2876</x:v>
      </x:c>
      <x:c r="T179" s="60" t="n">
        <x:v>438</x:v>
      </x:c>
      <x:c r="U179" s="52" t="str">
        <x:v>Codex Changelog</x:v>
      </x:c>
      <x:c r="V179" s="52" t="str">
        <x:v>https://developers.openai.com/codex/changelog/</x:v>
      </x:c>
      <x:c r="W179" s="52" t="str">
        <x:v>developer_changelog</x:v>
      </x:c>
      <x:c r="X179" s="52" t="str">
        <x:v>complete</x:v>
      </x:c>
      <x:c r="Y179" s="52" t="str">
        <x:v>high</x:v>
      </x:c>
      <x:c r="Z179" s="52" t="str">
        <x:v>agents_research | availability | Codex | codex | release-notes</x:v>
      </x:c>
      <x:c r="AA179" s="52" t="n">
        <x:v>1</x:v>
      </x:c>
      <x:c r="AB179" s="53" t="b">
        <x:v>0</x:v>
      </x:c>
    </x:row>
    <x:row r="180" ht="42" customHeight="1">
      <x:c r="A180" s="57" t="n">
        <x:v>45936</x:v>
      </x:c>
      <x:c r="B180" s="52" t="str">
        <x:v>evt-20251006-introducing-apps-in-chatgpt</x:v>
      </x:c>
      <x:c r="C180" s="60" t="n">
        <x:v>2025</x:v>
      </x:c>
      <x:c r="D180" s="52" t="str">
        <x:v>Q4</x:v>
      </x:c>
      <x:c r="E180" s="52" t="str">
        <x:v>Unified Intelligence</x:v>
      </x:c>
      <x:c r="F180" s="52" t="str">
        <x:v>developer_platform</x:v>
      </x:c>
      <x:c r="G180" s="52" t="str">
        <x:v>Toolsmith Harbor</x:v>
      </x:c>
      <x:c r="H180" s="52" t="n">
        <x:v>3</x:v>
      </x:c>
      <x:c r="I180" s="52" t="str">
        <x:v>#</x:v>
      </x:c>
      <x:c r="J180" s="52" t="str">
        <x:v>Apps &amp; Connectors</x:v>
      </x:c>
      <x:c r="K180" s="52" t="str">
        <x:v>launch</x:v>
      </x:c>
      <x:c r="L180" s="52" t="str">
        <x:v>active</x:v>
      </x:c>
      <x:c r="M180" s="63" t="str">
        <x:v>Introducing apps in ChatGPT</x:v>
      </x:c>
      <x:c r="N180" s="63" t="str">
        <x:v>推出 ChatGPT 中的應用程式</x:v>
      </x:c>
      <x:c r="O180" s="63" t="str">
        <x:v>OpenAI launched conversational apps inside ChatGPT with an initial partner set and released the Apps SDK in preview for developers to build interactive in-chat experiences.</x:v>
      </x:c>
      <x:c r="P180" s="63" t="str">
        <x:v>OpenAI 在 ChatGPT 中推出了對話式應用程式，並初步與合作夥伴合作，同時為開發者釋出 Apps SDK 預覽版，以建構互動式的對話體驗。</x:v>
      </x:c>
      <x:c r="Q180" s="60" t="n">
        <x:v>4</x:v>
      </x:c>
      <x:c r="R180" s="60" t="str">
        <x:v>major</x:v>
      </x:c>
      <x:c r="S180" s="60" t="n">
        <x:v>2876</x:v>
      </x:c>
      <x:c r="T180" s="60" t="n">
        <x:v>614</x:v>
      </x:c>
      <x:c r="U180" s="52" t="str">
        <x:v>Introducing apps in ChatGPT and the new Apps SDK</x:v>
      </x:c>
      <x:c r="V180" s="52" t="str">
        <x:v>https://openai.com/index/introducing-apps-in-chatgpt/</x:v>
      </x:c>
      <x:c r="W180" s="52" t="str">
        <x:v>official_launch_post</x:v>
      </x:c>
      <x:c r="X180" s="52" t="str">
        <x:v>complete</x:v>
      </x:c>
      <x:c r="Y180" s="52" t="str">
        <x:v>high</x:v>
      </x:c>
      <x:c r="Z180" s="52" t="str">
        <x:v>developer_platform | launch | Apps &amp; Connectors | 2025 | apps-connectors | developer-platform</x:v>
      </x:c>
      <x:c r="AA180" s="52" t="n">
        <x:v>1</x:v>
      </x:c>
      <x:c r="AB180" s="53" t="b">
        <x:v>0</x:v>
      </x:c>
    </x:row>
    <x:row r="181" ht="42" customHeight="1">
      <x:c r="A181" s="57" t="n">
        <x:v>45936</x:v>
      </x:c>
      <x:c r="B181" s="52" t="str">
        <x:v>evt-20251006-updates-to-codex</x:v>
      </x:c>
      <x:c r="C181" s="60" t="n">
        <x:v>2025</x:v>
      </x:c>
      <x:c r="D181" s="52" t="str">
        <x:v>Q4</x:v>
      </x:c>
      <x:c r="E181" s="52" t="str">
        <x:v>Unified Intelligence</x:v>
      </x:c>
      <x:c r="F181" s="52" t="str">
        <x:v>agents_research</x:v>
      </x:c>
      <x:c r="G181" s="52" t="str">
        <x:v>Agentic Frontier</x:v>
      </x:c>
      <x:c r="H181" s="52" t="n">
        <x:v>2</x:v>
      </x:c>
      <x:c r="I181" s="52" t="str">
        <x:v>&gt;</x:v>
      </x:c>
      <x:c r="J181" s="52" t="str">
        <x:v>Codex</x:v>
      </x:c>
      <x:c r="K181" s="52" t="str">
        <x:v>feature</x:v>
      </x:c>
      <x:c r="L181" s="52" t="str">
        <x:v>active</x:v>
      </x:c>
      <x:c r="M181" s="63" t="str">
        <x:v>Updates to Codex</x:v>
      </x:c>
      <x:c r="N181" s="63" t="str">
        <x:v>Codex 更新</x:v>
      </x:c>
      <x:c r="O181" s="63" t="str">
        <x:v>We’re rolling out new Codex capabilities to help teams work and build better: Codex now works in Slack, and supports programmatic control through the Codex SDK. Additionally, we've updated Codex rates. For more information, review our Help Center article on Codex, and the Codex developer documentation.</x:v>
      </x:c>
      <x:c r="P181" s="63" t="str">
        <x:v>我們正在推出新的 Codex 功能，以協助團隊更有效地工作和開發：Codex 現在可在 Slack 中運作，並透過 Codex SDK 支援程式化控制。此外，我們更新了 Codex 費率。欲了解更多資訊，請查看我們說明中心關於 Codex 的文章以及 Codex 開發者文件。</x:v>
      </x:c>
      <x:c r="Q181" s="60" t="n">
        <x:v>4</x:v>
      </x:c>
      <x:c r="R181" s="60" t="str">
        <x:v>major</x:v>
      </x:c>
      <x:c r="S181" s="60" t="n">
        <x:v>2876</x:v>
      </x:c>
      <x:c r="T181" s="60" t="n">
        <x:v>478</x:v>
      </x:c>
      <x:c r="U181" s="52" t="str">
        <x:v>ChatGPT — Release Notes</x:v>
      </x:c>
      <x:c r="V181" s="52" t="str">
        <x:v>https://help.openai.com/en/articles/6825453-chatgpt-release-notes</x:v>
      </x:c>
      <x:c r="W181" s="52" t="str">
        <x:v>help_center_release_notes</x:v>
      </x:c>
      <x:c r="X181" s="52" t="str">
        <x:v>complete</x:v>
      </x:c>
      <x:c r="Y181" s="52" t="str">
        <x:v>high</x:v>
      </x:c>
      <x:c r="Z181" s="52" t="str">
        <x:v>agents_research | feature | Codex | 2025 | agents-research | codex</x:v>
      </x:c>
      <x:c r="AA181" s="52" t="n">
        <x:v>1</x:v>
      </x:c>
      <x:c r="AB181" s="53" t="b">
        <x:v>0</x:v>
      </x:c>
    </x:row>
    <x:row r="182" ht="42" customHeight="1">
      <x:c r="A182" s="57" t="n">
        <x:v>45938</x:v>
      </x:c>
      <x:c r="B182" s="52" t="str">
        <x:v>evt-20251008-chatgpt-go-expansion</x:v>
      </x:c>
      <x:c r="C182" s="60" t="n">
        <x:v>2025</x:v>
      </x:c>
      <x:c r="D182" s="52" t="str">
        <x:v>Q4</x:v>
      </x:c>
      <x:c r="E182" s="52" t="str">
        <x:v>Unified Intelligence</x:v>
      </x:c>
      <x:c r="F182" s="52" t="str">
        <x:v>chatgpt_core</x:v>
      </x:c>
      <x:c r="G182" s="52" t="str">
        <x:v>Origin Plaza</x:v>
      </x:c>
      <x:c r="H182" s="52" t="n">
        <x:v>0</x:v>
      </x:c>
      <x:c r="I182" s="52" t="str">
        <x:v>@</x:v>
      </x:c>
      <x:c r="J182" s="52" t="str">
        <x:v>ChatGPT Images</x:v>
      </x:c>
      <x:c r="K182" s="52" t="str">
        <x:v>availability</x:v>
      </x:c>
      <x:c r="L182" s="52" t="str">
        <x:v>active</x:v>
      </x:c>
      <x:c r="M182" s="63" t="str">
        <x:v>ChatGPT Go expansion</x:v>
      </x:c>
      <x:c r="N182" s="63" t="str">
        <x:v>ChatGPT Go 擴展</x:v>
      </x:c>
      <x:c r="O182" s="63" t="str">
        <x:v>We're excited to announce that ChatGPT Go, our low cost subscription plan, is now available in 16 additional countries. For an affordable price, ChatGPT Go provides everything included in the Free plan, and: More messages, larger file uploads, and expanded image generation Access to advanced data analysis Longer memory for more personalized responses Available on web, mobile (iOS &amp; Android), and desktop (macOS &amp; Windows). Note: In Ca…</x:v>
      </x:c>
      <x:c r="P182" s="63" t="str">
        <x:v>我們宣佈，低成本訂閱方案 ChatGPT Go 現已在另外 16 個國家/地區推出。以實惠的價格，ChatGPT Go 提供免費方案包含的所有功能，以及：更多訊息量、更大的檔案上傳限制、擴展的影像生成、存取進階資料分析、更長的記憶功能以提供更個人化的回應…</x:v>
      </x:c>
      <x:c r="Q182" s="60" t="n">
        <x:v>4</x:v>
      </x:c>
      <x:c r="R182" s="60" t="str">
        <x:v>major</x:v>
      </x:c>
      <x:c r="S182" s="60" t="n">
        <x:v>2881</x:v>
      </x:c>
      <x:c r="T182" s="60" t="n">
        <x:v>192</x:v>
      </x:c>
      <x:c r="U182" s="52" t="str">
        <x:v>ChatGPT — Release Notes</x:v>
      </x:c>
      <x:c r="V182" s="52" t="str">
        <x:v>https://help.openai.com/en/articles/6825453-chatgpt-release-notes</x:v>
      </x:c>
      <x:c r="W182" s="52" t="str">
        <x:v>help_center_release_notes</x:v>
      </x:c>
      <x:c r="X182" s="52" t="str">
        <x:v>complete</x:v>
      </x:c>
      <x:c r="Y182" s="52" t="str">
        <x:v>high</x:v>
      </x:c>
      <x:c r="Z182" s="52" t="str">
        <x:v>chatgpt_core | availability | ChatGPT Images | 2025 | chatgpt-core | chatgpt-go</x:v>
      </x:c>
      <x:c r="AA182" s="52" t="n">
        <x:v>1</x:v>
      </x:c>
      <x:c r="AB182" s="53" t="b">
        <x:v>0</x:v>
      </x:c>
    </x:row>
    <x:row r="183" ht="42" customHeight="1">
      <x:c r="A183" s="57" t="n">
        <x:v>45944</x:v>
      </x:c>
      <x:c r="B183" s="52" t="str">
        <x:v>evt-20251014-chatgpt-go-expansion</x:v>
      </x:c>
      <x:c r="C183" s="60" t="n">
        <x:v>2025</x:v>
      </x:c>
      <x:c r="D183" s="52" t="str">
        <x:v>Q4</x:v>
      </x:c>
      <x:c r="E183" s="52" t="str">
        <x:v>Unified Intelligence</x:v>
      </x:c>
      <x:c r="F183" s="52" t="str">
        <x:v>chatgpt_core</x:v>
      </x:c>
      <x:c r="G183" s="52" t="str">
        <x:v>Origin Plaza</x:v>
      </x:c>
      <x:c r="H183" s="52" t="n">
        <x:v>0</x:v>
      </x:c>
      <x:c r="I183" s="52" t="str">
        <x:v>@</x:v>
      </x:c>
      <x:c r="J183" s="52" t="str">
        <x:v>ChatGPT Go</x:v>
      </x:c>
      <x:c r="K183" s="52" t="str">
        <x:v>availability</x:v>
      </x:c>
      <x:c r="L183" s="52" t="str">
        <x:v>active</x:v>
      </x:c>
      <x:c r="M183" s="63" t="str">
        <x:v>ChatGPT Go expansion</x:v>
      </x:c>
      <x:c r="N183" s="63" t="str">
        <x:v>ChatGPT Go 擴展</x:v>
      </x:c>
      <x:c r="O183" s="63" t="str">
        <x:v>We're excited to announce that ChatGPT Go, our low cost subscription plan, is now available in 71 additional countries, bringing total coverage to 89 countries. For an affordable price, ChatGPT Go provides everything included in the Free plan, and: More messages, larger file uploads, and expanded image generation Access to advanced data analysis Longer memory for more personalized responses Available on web, mobile (iOS &amp; Android), a…</x:v>
      </x:c>
      <x:c r="P183" s="63" t="str">
        <x:v>OpenAI 於 2025-10-14 為 ChatGPT 調整方案、額度或計費；此節點依官方發布記錄整理，完整能力、適用方案與限制請見來源。</x:v>
      </x:c>
      <x:c r="Q183" s="60" t="n">
        <x:v>4</x:v>
      </x:c>
      <x:c r="R183" s="60" t="str">
        <x:v>major</x:v>
      </x:c>
      <x:c r="S183" s="60" t="n">
        <x:v>2896</x:v>
      </x:c>
      <x:c r="T183" s="60" t="n">
        <x:v>202</x:v>
      </x:c>
      <x:c r="U183" s="52" t="str">
        <x:v>ChatGPT — Release Notes</x:v>
      </x:c>
      <x:c r="V183" s="52" t="str">
        <x:v>https://help.openai.com/en/articles/6825453-chatgpt-release-notes</x:v>
      </x:c>
      <x:c r="W183" s="52" t="str">
        <x:v>help_center_release_notes</x:v>
      </x:c>
      <x:c r="X183" s="52" t="str">
        <x:v>complete</x:v>
      </x:c>
      <x:c r="Y183" s="52" t="str">
        <x:v>high</x:v>
      </x:c>
      <x:c r="Z183" s="52" t="str">
        <x:v>chatgpt_core | availability | ChatGPT Go | 2025 | chatgpt-core | chatgpt-go</x:v>
      </x:c>
      <x:c r="AA183" s="52" t="n">
        <x:v>1</x:v>
      </x:c>
      <x:c r="AB183" s="53" t="b">
        <x:v>0</x:v>
      </x:c>
    </x:row>
    <x:row r="184" ht="42" customHeight="1">
      <x:c r="A184" s="57" t="n">
        <x:v>45945</x:v>
      </x:c>
      <x:c r="B184" s="52" t="str">
        <x:v>evt-20251015-chatgpt-can-now-automatically-manage-saved-memories-so-it-</x:v>
      </x:c>
      <x:c r="C184" s="60" t="n">
        <x:v>2025</x:v>
      </x:c>
      <x:c r="D184" s="52" t="str">
        <x:v>Q4</x:v>
      </x:c>
      <x:c r="E184" s="52" t="str">
        <x:v>Unified Intelligence</x:v>
      </x:c>
      <x:c r="F184" s="52" t="str">
        <x:v>chatgpt_core</x:v>
      </x:c>
      <x:c r="G184" s="52" t="str">
        <x:v>Origin Plaza</x:v>
      </x:c>
      <x:c r="H184" s="52" t="n">
        <x:v>0</x:v>
      </x:c>
      <x:c r="I184" s="52" t="str">
        <x:v>@</x:v>
      </x:c>
      <x:c r="J184" s="52" t="str">
        <x:v>ChatGPT Search</x:v>
      </x:c>
      <x:c r="K184" s="52" t="str">
        <x:v>feature</x:v>
      </x:c>
      <x:c r="L184" s="52" t="str">
        <x:v>active</x:v>
      </x:c>
      <x:c r="M184" s="63" t="str">
        <x:v>ChatGPT can now automatically manage saved memories so it’s even better at remembering what’s important to you.</x:v>
      </x:c>
      <x:c r="N184" s="63" t="str">
        <x:v>ChatGPT 現在可以自動管理已儲存的記憶，因此它能更有效地記住對您重要的事項。</x:v>
      </x:c>
      <x:c r="O184" s="63" t="str">
        <x:v>ChatGPT now manages saved memories automatically by keeping the most relevant details prioritized and moving less important ones to the background. This helps prevent saved memories from reaching capacity and helps avoid “memory full” state in your ChatGPT account. To decide which memories stay top of mind, ChatGPT considers factors such as how recent a detail is and how often you talk about a topic. You can now also search your save…</x:v>
      </x:c>
      <x:c r="P184" s="63" t="str">
        <x:v>ChatGPT 現在透過將最相關的詳細資訊保持在優先位置並將較不重要的資訊移至背景，來自動管理已儲存的記憶。這有助於防止已儲存的記憶達到容量上限，並避免 ChatGPT 帳戶出現「記憶體已滿」的狀態。…</x:v>
      </x:c>
      <x:c r="Q184" s="60" t="n">
        <x:v>4</x:v>
      </x:c>
      <x:c r="R184" s="60" t="str">
        <x:v>major</x:v>
      </x:c>
      <x:c r="S184" s="60" t="n">
        <x:v>2899</x:v>
      </x:c>
      <x:c r="T184" s="60" t="n">
        <x:v>177</x:v>
      </x:c>
      <x:c r="U184" s="52" t="str">
        <x:v>ChatGPT — Release Notes</x:v>
      </x:c>
      <x:c r="V184" s="52" t="str">
        <x:v>https://help.openai.com/en/articles/6825453-chatgpt-release-notes</x:v>
      </x:c>
      <x:c r="W184" s="52" t="str">
        <x:v>help_center_release_notes</x:v>
      </x:c>
      <x:c r="X184" s="52" t="str">
        <x:v>complete</x:v>
      </x:c>
      <x:c r="Y184" s="52" t="str">
        <x:v>high</x:v>
      </x:c>
      <x:c r="Z184" s="52" t="str">
        <x:v>chatgpt_core | feature | ChatGPT Search | 2025 | chatgpt-core | memory</x:v>
      </x:c>
      <x:c r="AA184" s="52" t="n">
        <x:v>1</x:v>
      </x:c>
      <x:c r="AB184" s="53" t="b">
        <x:v>0</x:v>
      </x:c>
    </x:row>
    <x:row r="185" ht="42" customHeight="1">
      <x:c r="A185" s="57" t="n">
        <x:v>45951</x:v>
      </x:c>
      <x:c r="B185" s="52" t="str">
        <x:v>evt-20251021-introducing-chatgpt-atlas</x:v>
      </x:c>
      <x:c r="C185" s="60" t="n">
        <x:v>2025</x:v>
      </x:c>
      <x:c r="D185" s="52" t="str">
        <x:v>Q4</x:v>
      </x:c>
      <x:c r="E185" s="52" t="str">
        <x:v>Unified Intelligence</x:v>
      </x:c>
      <x:c r="F185" s="52" t="str">
        <x:v>clients_surfaces</x:v>
      </x:c>
      <x:c r="G185" s="52" t="str">
        <x:v>Client Archipelago</x:v>
      </x:c>
      <x:c r="H185" s="52" t="n">
        <x:v>8</x:v>
      </x:c>
      <x:c r="I185" s="52" t="str">
        <x:v>+</x:v>
      </x:c>
      <x:c r="J185" s="52" t="str">
        <x:v>ChatGPT Atlas</x:v>
      </x:c>
      <x:c r="K185" s="52" t="str">
        <x:v>launch</x:v>
      </x:c>
      <x:c r="L185" s="52" t="str">
        <x:v>active</x:v>
      </x:c>
      <x:c r="M185" s="63" t="str">
        <x:v>Introducing ChatGPT Atlas</x:v>
      </x:c>
      <x:c r="N185" s="63" t="str">
        <x:v>推出 ChatGPT Atlas</x:v>
      </x:c>
      <x:c r="O185" s="63" t="str">
        <x:v>OpenAI launched ChatGPT Atlas, a macOS browser with ChatGPT, optional browser memories, an Ask ChatGPT sidebar, and an agent-mode preview for eligible paid users.</x:v>
      </x:c>
      <x:c r="P185" s="63" t="str">
        <x:v>OpenAI 推出 ChatGPT Atlas，這是一款具備 ChatGPT、選用瀏覽器記憶功能、詢問 ChatGPT 側邊欄以及代理模式預覽功能的 macOS 瀏覽器，適用於符合資格的付費使用者。</x:v>
      </x:c>
      <x:c r="Q185" s="60" t="n">
        <x:v>5</x:v>
      </x:c>
      <x:c r="R185" s="60" t="str">
        <x:v>landmark</x:v>
      </x:c>
      <x:c r="S185" s="60" t="n">
        <x:v>2914</x:v>
      </x:c>
      <x:c r="T185" s="60" t="n">
        <x:v>1365</x:v>
      </x:c>
      <x:c r="U185" s="52" t="str">
        <x:v>Introducing ChatGPT Atlas</x:v>
      </x:c>
      <x:c r="V185" s="52" t="str">
        <x:v>https://openai.com/index/introducing-chatgpt-atlas/</x:v>
      </x:c>
      <x:c r="W185" s="52" t="str">
        <x:v>official_launch_post</x:v>
      </x:c>
      <x:c r="X185" s="52" t="str">
        <x:v>complete</x:v>
      </x:c>
      <x:c r="Y185" s="52" t="str">
        <x:v>high</x:v>
      </x:c>
      <x:c r="Z185" s="52" t="str">
        <x:v>clients_surfaces | launch | ChatGPT Atlas | 2025 | chatgpt-atlas | clients-surfaces | agent | atlas | browser</x:v>
      </x:c>
      <x:c r="AA185" s="52" t="n">
        <x:v>1</x:v>
      </x:c>
      <x:c r="AB185" s="53" t="b">
        <x:v>0</x:v>
      </x:c>
    </x:row>
    <x:row r="186" ht="42" customHeight="1">
      <x:c r="A186" s="57" t="n">
        <x:v>45954</x:v>
      </x:c>
      <x:c r="B186" s="52" t="str">
        <x:v>evt-20251024-released-enterprise-key-management-ekm</x:v>
      </x:c>
      <x:c r="C186" s="60" t="n">
        <x:v>2025</x:v>
      </x:c>
      <x:c r="D186" s="52" t="str">
        <x:v>Q4</x:v>
      </x:c>
      <x:c r="E186" s="52" t="str">
        <x:v>Unified Intelligence</x:v>
      </x:c>
      <x:c r="F186" s="52" t="str">
        <x:v>enterprise_vertical</x:v>
      </x:c>
      <x:c r="G186" s="52" t="str">
        <x:v>Enterprise Citadel</x:v>
      </x:c>
      <x:c r="H186" s="52" t="n">
        <x:v>7</x:v>
      </x:c>
      <x:c r="I186" s="52" t="str">
        <x:v>H</x:v>
      </x:c>
      <x:c r="J186" s="52" t="str">
        <x:v>ChatGPT Enterprise &amp; Edu</x:v>
      </x:c>
      <x:c r="K186" s="52" t="str">
        <x:v>launch</x:v>
      </x:c>
      <x:c r="L186" s="52" t="str">
        <x:v>active</x:v>
      </x:c>
      <x:c r="M186" s="63" t="str">
        <x:v>Released Enterprise Key Management (EKM).</x:v>
      </x:c>
      <x:c r="N186" s="63" t="str">
        <x:v>發布Enterprise Key Management (EKM).</x:v>
      </x:c>
      <x:c r="O186" s="63" t="str">
        <x:v>Released Enterprise Key Management (EKM). Enterprise Key Management (EKM) allows you to encrypt your customer content at OpenAI using keys managed by your own external Key Management System (KMS).</x:v>
      </x:c>
      <x:c r="P186" s="63" t="str">
        <x:v>OpenAI 於 2025-10-24 為 ChatGPT Enterprise &amp; Edu 推出新產品或能力；此節點依官方發布記錄整理，完整能力、適用方案與限制請見來源。</x:v>
      </x:c>
      <x:c r="Q186" s="60" t="n">
        <x:v>4</x:v>
      </x:c>
      <x:c r="R186" s="60" t="str">
        <x:v>major</x:v>
      </x:c>
      <x:c r="S186" s="60" t="n">
        <x:v>2922</x:v>
      </x:c>
      <x:c r="T186" s="60" t="n">
        <x:v>1243</x:v>
      </x:c>
      <x:c r="U186" s="52" t="str">
        <x:v>OpenAI API Changelog</x:v>
      </x:c>
      <x:c r="V186" s="52" t="str">
        <x:v>https://platform.openai.com/docs/changelog</x:v>
      </x:c>
      <x:c r="W186" s="52" t="str">
        <x:v>developer_changelog</x:v>
      </x:c>
      <x:c r="X186" s="52" t="str">
        <x:v>parsed</x:v>
      </x:c>
      <x:c r="Y186" s="52" t="str">
        <x:v>high</x:v>
      </x:c>
      <x:c r="Z186" s="52" t="str">
        <x:v>enterprise_vertical | launch | ChatGPT Enterprise &amp; Edu</x:v>
      </x:c>
      <x:c r="AA186" s="52" t="n">
        <x:v>1</x:v>
      </x:c>
      <x:c r="AB186" s="53" t="b">
        <x:v>0</x:v>
      </x:c>
    </x:row>
    <x:row r="187" ht="42" customHeight="1">
      <x:c r="A187" s="57" t="n">
        <x:v>45960</x:v>
      </x:c>
      <x:c r="B187" s="52" t="str">
        <x:v>evt-20251030-credits-for-flexible-usage-for-codex-and-sora</x:v>
      </x:c>
      <x:c r="C187" s="60" t="n">
        <x:v>2025</x:v>
      </x:c>
      <x:c r="D187" s="52" t="str">
        <x:v>Q4</x:v>
      </x:c>
      <x:c r="E187" s="52" t="str">
        <x:v>Unified Intelligence</x:v>
      </x:c>
      <x:c r="F187" s="52" t="str">
        <x:v>agents_research</x:v>
      </x:c>
      <x:c r="G187" s="52" t="str">
        <x:v>Agentic Frontier</x:v>
      </x:c>
      <x:c r="H187" s="52" t="n">
        <x:v>2</x:v>
      </x:c>
      <x:c r="I187" s="52" t="str">
        <x:v>&gt;</x:v>
      </x:c>
      <x:c r="J187" s="52" t="str">
        <x:v>Codex</x:v>
      </x:c>
      <x:c r="K187" s="52" t="str">
        <x:v>pricing_quota</x:v>
      </x:c>
      <x:c r="L187" s="52" t="str">
        <x:v>active</x:v>
      </x:c>
      <x:c r="M187" s="63" t="str">
        <x:v>Credits for Flexible Usage for Codex and Sora</x:v>
      </x:c>
      <x:c r="N187" s="63" t="str">
        <x:v>Codex 與 Sora 的彈性使用點數</x:v>
      </x:c>
      <x:c r="O187" s="63" t="str">
        <x:v>Today we’re introducing ways to purchase additional usage in products like Codex and Sora. If you hit your included limits, you can seamlessly buy more credits right in the Codex dashboard or buy more video generations in the Sora app to keep going. Learn more in our article: Using Credits for Flexible Usage in ChatGPT (Free/Go/Plus/Pro) &amp; Sora.</x:v>
      </x:c>
      <x:c r="P187" s="63" t="str">
        <x:v>今天我們推出購買 Codex 與 Sora 等產品額外使用量的方法。如果您達到包含的使用上限，可以直接在 Codex 儀表板購買更多點數，或在 Sora 應用程式購買更多影片生成額度以繼續使用。在我們的文章中瞭解更多：在 ChatGPT（免費/Go/Plus/Pro）與 Sora 中使用彈性使用點數。</x:v>
      </x:c>
      <x:c r="Q187" s="60" t="n">
        <x:v>4</x:v>
      </x:c>
      <x:c r="R187" s="60" t="str">
        <x:v>major</x:v>
      </x:c>
      <x:c r="S187" s="60" t="n">
        <x:v>2937</x:v>
      </x:c>
      <x:c r="T187" s="60" t="n">
        <x:v>447</x:v>
      </x:c>
      <x:c r="U187" s="52" t="str">
        <x:v>ChatGPT — Release Notes</x:v>
      </x:c>
      <x:c r="V187" s="52" t="str">
        <x:v>https://help.openai.com/en/articles/6825453-chatgpt-release-notes</x:v>
      </x:c>
      <x:c r="W187" s="52" t="str">
        <x:v>help_center_release_notes</x:v>
      </x:c>
      <x:c r="X187" s="52" t="str">
        <x:v>complete</x:v>
      </x:c>
      <x:c r="Y187" s="52" t="str">
        <x:v>high</x:v>
      </x:c>
      <x:c r="Z187" s="52" t="str">
        <x:v>agents_research | pricing_quota | Codex | 2025 | agents-research | sora</x:v>
      </x:c>
      <x:c r="AA187" s="52" t="n">
        <x:v>1</x:v>
      </x:c>
      <x:c r="AB187" s="53" t="b">
        <x:v>0</x:v>
      </x:c>
    </x:row>
    <x:row r="188" ht="42" customHeight="1">
      <x:c r="A188" s="57" t="n">
        <x:v>45965</x:v>
      </x:c>
      <x:c r="B188" s="52" t="str">
        <x:v>evt-20251104-resources-updates</x:v>
      </x:c>
      <x:c r="C188" s="60" t="n">
        <x:v>2025</x:v>
      </x:c>
      <x:c r="D188" s="52" t="str">
        <x:v>Q4</x:v>
      </x:c>
      <x:c r="E188" s="52" t="str">
        <x:v>Unified Intelligence</x:v>
      </x:c>
      <x:c r="F188" s="52" t="str">
        <x:v>developer_platform</x:v>
      </x:c>
      <x:c r="G188" s="52" t="str">
        <x:v>Toolsmith Harbor</x:v>
      </x:c>
      <x:c r="H188" s="52" t="n">
        <x:v>3</x:v>
      </x:c>
      <x:c r="I188" s="52" t="str">
        <x:v>#</x:v>
      </x:c>
      <x:c r="J188" s="52" t="str">
        <x:v>Apps SDK</x:v>
      </x:c>
      <x:c r="K188" s="52" t="str">
        <x:v>launch</x:v>
      </x:c>
      <x:c r="L188" s="52" t="str">
        <x:v>active</x:v>
      </x:c>
      <x:c r="M188" s="63" t="str">
        <x:v>Resources updates</x:v>
      </x:c>
      <x:c r="N188" s="63" t="str">
        <x:v>Resources updates 更新</x:v>
      </x:c>
      <x:c r="O188" s="63" t="str">
        <x:v>Fixes &amp; improvements Published a new Apps SDK state management guide. Added copy functionality to all code snippets. Launched a unified developers changelog .</x:v>
      </x:c>
      <x:c r="P188" s="63" t="str">
        <x:v>OpenAI 於 2025-11-04 為 Apps SDK 更新開發者平台；此節點依官方發布記錄整理，完整能力、適用方案與限制請見來源。</x:v>
      </x:c>
      <x:c r="Q188" s="60" t="n">
        <x:v>4</x:v>
      </x:c>
      <x:c r="R188" s="60" t="str">
        <x:v>major</x:v>
      </x:c>
      <x:c r="S188" s="60" t="n">
        <x:v>2950</x:v>
      </x:c>
      <x:c r="T188" s="60" t="n">
        <x:v>634</x:v>
      </x:c>
      <x:c r="U188" s="52" t="str">
        <x:v>Apps SDK Changelog</x:v>
      </x:c>
      <x:c r="V188" s="52" t="str">
        <x:v>https://developers.openai.com/apps-sdk/changelog/</x:v>
      </x:c>
      <x:c r="W188" s="52" t="str">
        <x:v>developer_changelog</x:v>
      </x:c>
      <x:c r="X188" s="52" t="str">
        <x:v>complete</x:v>
      </x:c>
      <x:c r="Y188" s="52" t="str">
        <x:v>high</x:v>
      </x:c>
      <x:c r="Z188" s="52" t="str">
        <x:v>developer_platform | launch | Apps SDK | apps-sdk | chatgpt-apps | mcp</x:v>
      </x:c>
      <x:c r="AA188" s="52" t="n">
        <x:v>1</x:v>
      </x:c>
      <x:c r="AB188" s="53" t="b">
        <x:v>0</x:v>
      </x:c>
    </x:row>
    <x:row r="189" ht="42" customHeight="1">
      <x:c r="A189" s="57" t="n">
        <x:v>45966</x:v>
      </x:c>
      <x:c r="B189" s="52" t="str">
        <x:v>evt-20251105-sora-for-android-launches</x:v>
      </x:c>
      <x:c r="C189" s="60" t="n">
        <x:v>2025</x:v>
      </x:c>
      <x:c r="D189" s="52" t="str">
        <x:v>Q4</x:v>
      </x:c>
      <x:c r="E189" s="52" t="str">
        <x:v>Unified Intelligence</x:v>
      </x:c>
      <x:c r="F189" s="52" t="str">
        <x:v>multimodal</x:v>
      </x:c>
      <x:c r="G189" s="52" t="str">
        <x:v>Multimodal Coast</x:v>
      </x:c>
      <x:c r="H189" s="52" t="n">
        <x:v>4</x:v>
      </x:c>
      <x:c r="I189" s="52" t="str">
        <x:v>~</x:v>
      </x:c>
      <x:c r="J189" s="52" t="str">
        <x:v>Sora</x:v>
      </x:c>
      <x:c r="K189" s="52" t="str">
        <x:v>launch</x:v>
      </x:c>
      <x:c r="L189" s="52" t="str">
        <x:v>active</x:v>
      </x:c>
      <x:c r="M189" s="63" t="str">
        <x:v>Sora for Android launches</x:v>
      </x:c>
      <x:c r="N189" s="63" t="str">
        <x:v>Sora Android 版推出</x:v>
      </x:c>
      <x:c r="O189" s="63" t="str">
        <x:v>OpenAI launched the Sora Android app globally after a 28-day build, bringing prompt-based video creation to Android devices.</x:v>
      </x:c>
      <x:c r="P189" s="63" t="str">
        <x:v>OpenAI 在經歷 28 天的開發後，全球同步推出 Sora Android 應用程式，將基於提示詞的影片創作功能帶到 Android 裝置上。</x:v>
      </x:c>
      <x:c r="Q189" s="60" t="n">
        <x:v>5</x:v>
      </x:c>
      <x:c r="R189" s="60" t="str">
        <x:v>landmark</x:v>
      </x:c>
      <x:c r="S189" s="60" t="n">
        <x:v>2952</x:v>
      </x:c>
      <x:c r="T189" s="60" t="n">
        <x:v>777</x:v>
      </x:c>
      <x:c r="U189" s="52" t="str">
        <x:v>How we used Codex to build Sora for Android in 28 days</x:v>
      </x:c>
      <x:c r="V189" s="52" t="str">
        <x:v>https://openai.com/index/shipping-sora-for-android-with-codex/</x:v>
      </x:c>
      <x:c r="W189" s="52" t="str">
        <x:v>official_engineering_post</x:v>
      </x:c>
      <x:c r="X189" s="52" t="str">
        <x:v>complete</x:v>
      </x:c>
      <x:c r="Y189" s="52" t="str">
        <x:v>high</x:v>
      </x:c>
      <x:c r="Z189" s="52" t="str">
        <x:v>multimodal | launch | Sora | 2025 | sora</x:v>
      </x:c>
      <x:c r="AA189" s="52" t="n">
        <x:v>1</x:v>
      </x:c>
      <x:c r="AB189" s="53" t="b">
        <x:v>0</x:v>
      </x:c>
    </x:row>
    <x:row r="190" ht="42" customHeight="1">
      <x:c r="A190" s="57" t="n">
        <x:v>45966</x:v>
      </x:c>
      <x:c r="B190" s="52" t="str">
        <x:v>evt-20251105-interrupt-chatgpt</x:v>
      </x:c>
      <x:c r="C190" s="60" t="n">
        <x:v>2025</x:v>
      </x:c>
      <x:c r="D190" s="52" t="str">
        <x:v>Q4</x:v>
      </x:c>
      <x:c r="E190" s="52" t="str">
        <x:v>Unified Intelligence</x:v>
      </x:c>
      <x:c r="F190" s="52" t="str">
        <x:v>chatgpt_core</x:v>
      </x:c>
      <x:c r="G190" s="52" t="str">
        <x:v>Origin Plaza</x:v>
      </x:c>
      <x:c r="H190" s="52" t="n">
        <x:v>0</x:v>
      </x:c>
      <x:c r="I190" s="52" t="str">
        <x:v>@</x:v>
      </x:c>
      <x:c r="J190" s="52" t="str">
        <x:v>ChatGPT</x:v>
      </x:c>
      <x:c r="K190" s="52" t="str">
        <x:v>feature</x:v>
      </x:c>
      <x:c r="L190" s="52" t="str">
        <x:v>active</x:v>
      </x:c>
      <x:c r="M190" s="63" t="str">
        <x:v>Interrupt ChatGPT</x:v>
      </x:c>
      <x:c r="N190" s="63" t="str">
        <x:v>中斷 ChatGPT</x:v>
      </x:c>
      <x:c r="O190" s="63" t="str">
        <x:v>You can now interrupt long-running queries (such as deep research or GPT-5 Pro) to refine what you’re asking—no restart required or progress lost. For example, if you're researching the perfect bookshelf and suddenly remember that your wall is 72" wide and you can't drill into it, you can simply add that information midstream by clicking “update” in the sidebar and sending the new information as a message. The model will adjust its a…</x:v>
      </x:c>
      <x:c r="P190" s="63" t="str">
        <x:v>OpenAI 於 2025-11-05 為 GPT-5 更新模型或體驗；此節點依官方發布記錄整理，完整能力、適用方案與限制請見來源。</x:v>
      </x:c>
      <x:c r="Q190" s="60" t="n">
        <x:v>4</x:v>
      </x:c>
      <x:c r="R190" s="60" t="str">
        <x:v>major</x:v>
      </x:c>
      <x:c r="S190" s="60" t="n">
        <x:v>2952</x:v>
      </x:c>
      <x:c r="T190" s="60" t="n">
        <x:v>206</x:v>
      </x:c>
      <x:c r="U190" s="52" t="str">
        <x:v>ChatGPT — Release Notes</x:v>
      </x:c>
      <x:c r="V190" s="52" t="str">
        <x:v>https://help.openai.com/en/articles/6825453-chatgpt-release-notes</x:v>
      </x:c>
      <x:c r="W190" s="52" t="str">
        <x:v>help_center_release_notes</x:v>
      </x:c>
      <x:c r="X190" s="52" t="str">
        <x:v>complete</x:v>
      </x:c>
      <x:c r="Y190" s="52" t="str">
        <x:v>high</x:v>
      </x:c>
      <x:c r="Z190" s="52" t="str">
        <x:v>chatgpt_core | feature | ChatGPT | 2025 | chatgpt | chatgpt-core</x:v>
      </x:c>
      <x:c r="AA190" s="52" t="n">
        <x:v>1</x:v>
      </x:c>
      <x:c r="AB190" s="53" t="b">
        <x:v>0</x:v>
      </x:c>
    </x:row>
    <x:row r="191" ht="42" customHeight="1">
      <x:c r="A191" s="57" t="n">
        <x:v>45968</x:v>
      </x:c>
      <x:c r="B191" s="52" t="str">
        <x:v>evt-20251107-introducing-gpt-5-codex-mini</x:v>
      </x:c>
      <x:c r="C191" s="60" t="n">
        <x:v>2025</x:v>
      </x:c>
      <x:c r="D191" s="52" t="str">
        <x:v>Q4</x:v>
      </x:c>
      <x:c r="E191" s="52" t="str">
        <x:v>Unified Intelligence</x:v>
      </x:c>
      <x:c r="F191" s="52" t="str">
        <x:v>agents_research</x:v>
      </x:c>
      <x:c r="G191" s="52" t="str">
        <x:v>Agentic Frontier</x:v>
      </x:c>
      <x:c r="H191" s="52" t="n">
        <x:v>2</x:v>
      </x:c>
      <x:c r="I191" s="52" t="str">
        <x:v>&gt;</x:v>
      </x:c>
      <x:c r="J191" s="52" t="str">
        <x:v>Codex</x:v>
      </x:c>
      <x:c r="K191" s="52" t="str">
        <x:v>launch</x:v>
      </x:c>
      <x:c r="L191" s="52" t="str">
        <x:v>active</x:v>
      </x:c>
      <x:c r="M191" s="63" t="str">
        <x:v>Introducing GPT-5-Codex-Mini</x:v>
      </x:c>
      <x:c r="N191" s="63" t="str">
        <x:v>推出 GPT-5-Codex-Mini</x:v>
      </x:c>
      <x:c r="O191" s="63" t="str">
        <x:v>Today we are introducing a new gpt-5-codex-mini model option to Codex CLI and the IDE Extension. The model is a smaller, more cost-effective, but less capable version of gpt-5-codex that provides approximately 4x more usage as part of your ChatGPT subscription. Starting today, the CLI and IDE Extension will automatically suggest switching to gpt-5-codex-mini when you reach 90% of your 5-hour usage limit, to help you work longer witho…</x:v>
      </x:c>
      <x:c r="P191" s="63" t="str">
        <x:v>Codex Changelog 在 2025-11-07 記錄了Codex 編碼代理、定價與用量相關更新；完整版本與修正內容見官方英文摘要。</x:v>
      </x:c>
      <x:c r="Q191" s="60" t="n">
        <x:v>5</x:v>
      </x:c>
      <x:c r="R191" s="60" t="str">
        <x:v>landmark</x:v>
      </x:c>
      <x:c r="S191" s="60" t="n">
        <x:v>2957</x:v>
      </x:c>
      <x:c r="T191" s="60" t="n">
        <x:v>503</x:v>
      </x:c>
      <x:c r="U191" s="52" t="str">
        <x:v>Codex Changelog</x:v>
      </x:c>
      <x:c r="V191" s="52" t="str">
        <x:v>https://developers.openai.com/codex/changelog/</x:v>
      </x:c>
      <x:c r="W191" s="52" t="str">
        <x:v>developer_changelog</x:v>
      </x:c>
      <x:c r="X191" s="52" t="str">
        <x:v>complete</x:v>
      </x:c>
      <x:c r="Y191" s="52" t="str">
        <x:v>high</x:v>
      </x:c>
      <x:c r="Z191" s="52" t="str">
        <x:v>agents_research | launch | Codex | codex | release-notes</x:v>
      </x:c>
      <x:c r="AA191" s="52" t="n">
        <x:v>1</x:v>
      </x:c>
      <x:c r="AB191" s="53" t="b">
        <x:v>0</x:v>
      </x:c>
    </x:row>
    <x:row r="192" ht="42" customHeight="1">
      <x:c r="A192" s="57" t="n">
        <x:v>45973</x:v>
      </x:c>
      <x:c r="B192" s="52" t="str">
        <x:v>evt-20251112-gpt-5-1-in-chatgpt</x:v>
      </x:c>
      <x:c r="C192" s="60" t="n">
        <x:v>2025</x:v>
      </x:c>
      <x:c r="D192" s="52" t="str">
        <x:v>Q4</x:v>
      </x:c>
      <x:c r="E192" s="52" t="str">
        <x:v>Unified Intelligence</x:v>
      </x:c>
      <x:c r="F192" s="52" t="str">
        <x:v>models_reasoning</x:v>
      </x:c>
      <x:c r="G192" s="52" t="str">
        <x:v>Model Mountains</x:v>
      </x:c>
      <x:c r="H192" s="52" t="n">
        <x:v>1</x:v>
      </x:c>
      <x:c r="I192" s="52" t="str">
        <x:v>^</x:v>
      </x:c>
      <x:c r="J192" s="52" t="str">
        <x:v>GPT-5.1</x:v>
      </x:c>
      <x:c r="K192" s="52" t="str">
        <x:v>model_release</x:v>
      </x:c>
      <x:c r="L192" s="52" t="str">
        <x:v>active</x:v>
      </x:c>
      <x:c r="M192" s="63" t="str">
        <x:v>GPT-5.1 in ChatGPT</x:v>
      </x:c>
      <x:c r="N192" s="63" t="str">
        <x:v>GPT-5.1 在 ChatGPT</x:v>
      </x:c>
      <x:c r="O192" s="63" t="str">
        <x:v>We’re updating GPT-5 to GPT-5.1 Instant and GPT-5.1 Thinking, making answers both smarter and more conversational. GPT-5.1 Instant now uses light adaptive reasoning for tougher questions while staying fast, and GPT-5.1 Thinking adapts its thinking time more precisely for complex tasks with clearer, less jargony responses. GPT-5.1 Auto continues to route each query to the best model, and GPT-5 models remain available for three months…</x:v>
      </x:c>
      <x:c r="P192" s="63" t="str">
        <x:v>我們將 GPT-5 更新為 GPT-5.1 Instant 和 GPT-5.1 Thinking，使回答更聰明且更具對話感。GPT-5.1 Instant 針對較難的問題採用輕量級自適應推理，同時保持快速；GPT-5.1 Thinking 則能更精確地調整思考時間，以處理複雜任務，並提供更清晰、較少技術術語的回答。</x:v>
      </x:c>
      <x:c r="Q192" s="60" t="n">
        <x:v>5</x:v>
      </x:c>
      <x:c r="R192" s="60" t="str">
        <x:v>landmark</x:v>
      </x:c>
      <x:c r="S192" s="60" t="n">
        <x:v>2970</x:v>
      </x:c>
      <x:c r="T192" s="60" t="n">
        <x:v>354</x:v>
      </x:c>
      <x:c r="U192" s="52" t="str">
        <x:v>ChatGPT — Release Notes</x:v>
      </x:c>
      <x:c r="V192" s="52" t="str">
        <x:v>https://help.openai.com/en/articles/6825453-chatgpt-release-notes</x:v>
      </x:c>
      <x:c r="W192" s="52" t="str">
        <x:v>help_center_release_notes</x:v>
      </x:c>
      <x:c r="X192" s="52" t="str">
        <x:v>complete</x:v>
      </x:c>
      <x:c r="Y192" s="52" t="str">
        <x:v>high</x:v>
      </x:c>
      <x:c r="Z192" s="52" t="str">
        <x:v>models_reasoning | model_release | GPT-5.1 | 2025 | gpt-5.1 | models-reasoning</x:v>
      </x:c>
      <x:c r="AA192" s="52" t="n">
        <x:v>1</x:v>
      </x:c>
      <x:c r="AB192" s="53" t="b">
        <x:v>0</x:v>
      </x:c>
    </x:row>
    <x:row r="193" ht="42" customHeight="1">
      <x:c r="A193" s="57" t="n">
        <x:v>45974</x:v>
      </x:c>
      <x:c r="B193" s="52" t="str">
        <x:v>evt-20251113-group-chats-in-chatgpt</x:v>
      </x:c>
      <x:c r="C193" s="60" t="n">
        <x:v>2025</x:v>
      </x:c>
      <x:c r="D193" s="52" t="str">
        <x:v>Q4</x:v>
      </x:c>
      <x:c r="E193" s="52" t="str">
        <x:v>Unified Intelligence</x:v>
      </x:c>
      <x:c r="F193" s="52" t="str">
        <x:v>chatgpt_core</x:v>
      </x:c>
      <x:c r="G193" s="52" t="str">
        <x:v>Origin Plaza</x:v>
      </x:c>
      <x:c r="H193" s="52" t="n">
        <x:v>0</x:v>
      </x:c>
      <x:c r="I193" s="52" t="str">
        <x:v>@</x:v>
      </x:c>
      <x:c r="J193" s="52" t="str">
        <x:v>ChatGPT Search</x:v>
      </x:c>
      <x:c r="K193" s="52" t="str">
        <x:v>launch</x:v>
      </x:c>
      <x:c r="L193" s="52" t="str">
        <x:v>active</x:v>
      </x:c>
      <x:c r="M193" s="63" t="str">
        <x:v>Group chats in ChatGPT</x:v>
      </x:c>
      <x:c r="N193" s="63" t="str">
        <x:v>ChatGPT 中的群組聊天</x:v>
      </x:c>
      <x:c r="O193" s="63" t="str">
        <x:v>We’re piloting group chats so you can bring people - and ChatGPT - into the same conversation. Plan trips, make decisions, and collaborate on projects together while ChatGPT helps search, summarize, generate content, and keep everyone on the same page. Group chats are starting to roll out on ChatGPT Web, iOS, and Android in New Zealand, Japan, South Korea, and Taiwan. We’ll use early feedback from this pilot to improve the experience…</x:v>
      </x:c>
      <x:c r="P193" s="63" t="str">
        <x:v>我們正在試行群組聊天，讓您可以將人員和 ChatGPT 帶入同一個對話中。您可以一起規劃旅行、做出決定並協作專案，同時由 ChatGPT 協助搜尋、總結、生成內容並讓所有人保持同步。</x:v>
      </x:c>
      <x:c r="Q193" s="60" t="n">
        <x:v>5</x:v>
      </x:c>
      <x:c r="R193" s="60" t="str">
        <x:v>landmark</x:v>
      </x:c>
      <x:c r="S193" s="60" t="n">
        <x:v>2973</x:v>
      </x:c>
      <x:c r="T193" s="60" t="n">
        <x:v>131</x:v>
      </x:c>
      <x:c r="U193" s="52" t="str">
        <x:v>ChatGPT — Release Notes</x:v>
      </x:c>
      <x:c r="V193" s="52" t="str">
        <x:v>https://help.openai.com/en/articles/6825453-chatgpt-release-notes</x:v>
      </x:c>
      <x:c r="W193" s="52" t="str">
        <x:v>help_center_release_notes</x:v>
      </x:c>
      <x:c r="X193" s="52" t="str">
        <x:v>complete</x:v>
      </x:c>
      <x:c r="Y193" s="52" t="str">
        <x:v>high</x:v>
      </x:c>
      <x:c r="Z193" s="52" t="str">
        <x:v>chatgpt_core | launch | ChatGPT Search | 2025 | chatgpt | chatgpt-core</x:v>
      </x:c>
      <x:c r="AA193" s="52" t="n">
        <x:v>1</x:v>
      </x:c>
      <x:c r="AB193" s="53" t="b">
        <x:v>0</x:v>
      </x:c>
    </x:row>
    <x:row r="194" ht="42" customHeight="1">
      <x:c r="A194" s="57" t="n">
        <x:v>45974</x:v>
      </x:c>
      <x:c r="B194" s="52" t="str">
        <x:v>evt-20251113-introducing-gpt-5-1-codex-and-gpt-5-1-codex-mini</x:v>
      </x:c>
      <x:c r="C194" s="60" t="n">
        <x:v>2025</x:v>
      </x:c>
      <x:c r="D194" s="52" t="str">
        <x:v>Q4</x:v>
      </x:c>
      <x:c r="E194" s="52" t="str">
        <x:v>Unified Intelligence</x:v>
      </x:c>
      <x:c r="F194" s="52" t="str">
        <x:v>agents_research</x:v>
      </x:c>
      <x:c r="G194" s="52" t="str">
        <x:v>Agentic Frontier</x:v>
      </x:c>
      <x:c r="H194" s="52" t="n">
        <x:v>2</x:v>
      </x:c>
      <x:c r="I194" s="52" t="str">
        <x:v>&gt;</x:v>
      </x:c>
      <x:c r="J194" s="52" t="str">
        <x:v>GPT-5.1</x:v>
      </x:c>
      <x:c r="K194" s="52" t="str">
        <x:v>launch</x:v>
      </x:c>
      <x:c r="L194" s="52" t="str">
        <x:v>active</x:v>
      </x:c>
      <x:c r="M194" s="63" t="str">
        <x:v>Introducing GPT-5.1-Codex and GPT-5.1-Codex-Mini</x:v>
      </x:c>
      <x:c r="N194" s="63" t="str">
        <x:v>推出 GPT-5.1-Codex and GPT-5.1-Codex-Mini</x:v>
      </x:c>
      <x:c r="O194" s="63" t="str">
        <x:v>Along with the GPT-5.1 launch in the API , we are introducing new gpt-5.1-codex-mini and gpt-5.1-codex model options in Codex, a version of GPT-5.1 optimized for long-running, agentic coding tasks and use in coding agent harnesses in Codex or Codex-like harnesses. Starting today, the CLI and IDE Extension will default to gpt-5.1-codex on macOS and Linux and gpt-5.1 on Windows. If you have a model specified in your config.toml configu…</x:v>
      </x:c>
      <x:c r="P194" s="63" t="str">
        <x:v>Codex Changelog 在 2025-11-13 記錄了Codex 編碼代理、代理與工具調用相關更新；完整版本與修正內容見官方英文摘要。</x:v>
      </x:c>
      <x:c r="Q194" s="60" t="n">
        <x:v>5</x:v>
      </x:c>
      <x:c r="R194" s="60" t="str">
        <x:v>landmark</x:v>
      </x:c>
      <x:c r="S194" s="60" t="n">
        <x:v>2973</x:v>
      </x:c>
      <x:c r="T194" s="60" t="n">
        <x:v>474</x:v>
      </x:c>
      <x:c r="U194" s="52" t="str">
        <x:v>Codex Changelog</x:v>
      </x:c>
      <x:c r="V194" s="52" t="str">
        <x:v>https://developers.openai.com/codex/changelog/</x:v>
      </x:c>
      <x:c r="W194" s="52" t="str">
        <x:v>developer_changelog</x:v>
      </x:c>
      <x:c r="X194" s="52" t="str">
        <x:v>corroborated</x:v>
      </x:c>
      <x:c r="Y194" s="52" t="str">
        <x:v>high</x:v>
      </x:c>
      <x:c r="Z194" s="52" t="str">
        <x:v>agents_research | launch | GPT-5.1 | codex | release-notes</x:v>
      </x:c>
      <x:c r="AA194" s="52" t="n">
        <x:v>2</x:v>
      </x:c>
      <x:c r="AB194" s="53" t="b">
        <x:v>1</x:v>
      </x:c>
    </x:row>
    <x:row r="195" ht="42" customHeight="1">
      <x:c r="A195" s="57" t="n">
        <x:v>45974</x:v>
      </x:c>
      <x:c r="B195" s="52" t="str">
        <x:v>evt-20251113-released-gpt-5-1-the-newest-flagship-model-in-the-gpt-5-mo</x:v>
      </x:c>
      <x:c r="C195" s="60" t="n">
        <x:v>2025</x:v>
      </x:c>
      <x:c r="D195" s="52" t="str">
        <x:v>Q4</x:v>
      </x:c>
      <x:c r="E195" s="52" t="str">
        <x:v>Unified Intelligence</x:v>
      </x:c>
      <x:c r="F195" s="52" t="str">
        <x:v>agents_research</x:v>
      </x:c>
      <x:c r="G195" s="52" t="str">
        <x:v>Agentic Frontier</x:v>
      </x:c>
      <x:c r="H195" s="52" t="n">
        <x:v>2</x:v>
      </x:c>
      <x:c r="I195" s="52" t="str">
        <x:v>&gt;</x:v>
      </x:c>
      <x:c r="J195" s="52" t="str">
        <x:v>Codex</x:v>
      </x:c>
      <x:c r="K195" s="52" t="str">
        <x:v>model_release</x:v>
      </x:c>
      <x:c r="L195" s="52" t="str">
        <x:v>active</x:v>
      </x:c>
      <x:c r="M195" s="63" t="str">
        <x:v>Released GPT-5.1, the newest flagship model in the GPT-5 model family.</x:v>
      </x:c>
      <x:c r="N195" s="63" t="str">
        <x:v>API 推出 GPT‑5.1 模型家族</x:v>
      </x:c>
      <x:c r="O195" s="63" t="str">
        <x:v>Released GPT-5.1 , the newest flagship model in the GPT-5 model family. GPT-5.1 is trained to be especially proficient in: Steerability and faster responses when less thinking's required Code generation and coding use cases Agentic workflows Note that GPT-5.1 defaults to a new none reasoning setting for faster responses when less thinking's required—different from the previous medium default setting in GPT-5.</x:v>
      </x:c>
      <x:c r="P195" s="63" t="str">
        <x:v>API 推出 GPT‑5.1 模型家族。OpenAI 將此列為 2025-11-13 的功能；重點涉及代理與工具調用，模型、端點與參數名稱依官方英文保留。</x:v>
      </x:c>
      <x:c r="Q195" s="60" t="n">
        <x:v>4</x:v>
      </x:c>
      <x:c r="R195" s="60" t="str">
        <x:v>major</x:v>
      </x:c>
      <x:c r="S195" s="60" t="n">
        <x:v>2973</x:v>
      </x:c>
      <x:c r="T195" s="60" t="n">
        <x:v>499</x:v>
      </x:c>
      <x:c r="U195" s="52" t="str">
        <x:v>OpenAI API Changelog</x:v>
      </x:c>
      <x:c r="V195" s="52" t="str">
        <x:v>https://developers.openai.com/api/docs/changelog</x:v>
      </x:c>
      <x:c r="W195" s="52" t="str">
        <x:v>official_changelog</x:v>
      </x:c>
      <x:c r="X195" s="52" t="str">
        <x:v>complete</x:v>
      </x:c>
      <x:c r="Y195" s="52" t="str">
        <x:v>high</x:v>
      </x:c>
      <x:c r="Z195" s="52" t="str">
        <x:v>agents_research | model_release | Codex | codex | coding-agent | feature</x:v>
      </x:c>
      <x:c r="AA195" s="52" t="n">
        <x:v>1</x:v>
      </x:c>
      <x:c r="AB195" s="53" t="b">
        <x:v>0</x:v>
      </x:c>
    </x:row>
    <x:row r="196" ht="42" customHeight="1">
      <x:c r="A196" s="57" t="n">
        <x:v>45974</x:v>
      </x:c>
      <x:c r="B196" s="52" t="str">
        <x:v>evt-20251113-released-gpt-5-1-codex-and-gpt-5-1-codex-mini-to-the-respo</x:v>
      </x:c>
      <x:c r="C196" s="60" t="n">
        <x:v>2025</x:v>
      </x:c>
      <x:c r="D196" s="52" t="str">
        <x:v>Q4</x:v>
      </x:c>
      <x:c r="E196" s="52" t="str">
        <x:v>Unified Intelligence</x:v>
      </x:c>
      <x:c r="F196" s="52" t="str">
        <x:v>agents_research</x:v>
      </x:c>
      <x:c r="G196" s="52" t="str">
        <x:v>Agentic Frontier</x:v>
      </x:c>
      <x:c r="H196" s="52" t="n">
        <x:v>2</x:v>
      </x:c>
      <x:c r="I196" s="52" t="str">
        <x:v>&gt;</x:v>
      </x:c>
      <x:c r="J196" s="52" t="str">
        <x:v>Codex</x:v>
      </x:c>
      <x:c r="K196" s="52" t="str">
        <x:v>model_release</x:v>
      </x:c>
      <x:c r="L196" s="52" t="str">
        <x:v>active</x:v>
      </x:c>
      <x:c r="M196" s="63" t="str">
        <x:v>Released gpt-5.1-codex and gpt-5.1-codex-mini to the Responses API.</x:v>
      </x:c>
      <x:c r="N196" s="63" t="str">
        <x:v>API 推出 GPT‑5.1 模型家族</x:v>
      </x:c>
      <x:c r="O196" s="63" t="str">
        <x:v>Released gpt-5.1-codex and gpt-5.1-codex-mini to the Responses API. GPT-5.1-Codex is a version of GPT-5.1 optimized for agentic coding tasks in Codex or similar environments. Read more here .</x:v>
      </x:c>
      <x:c r="P196" s="63" t="str">
        <x:v>API 推出 GPT‑5.1 模型家族。OpenAI 將此列為 2025-11-13 的功能；重點涉及Codex 編碼代理、代理與工具調用，模型、端點與參數名稱依官方英文保留。</x:v>
      </x:c>
      <x:c r="Q196" s="60" t="n">
        <x:v>4</x:v>
      </x:c>
      <x:c r="R196" s="60" t="str">
        <x:v>major</x:v>
      </x:c>
      <x:c r="S196" s="60" t="n">
        <x:v>2973</x:v>
      </x:c>
      <x:c r="T196" s="60" t="n">
        <x:v>452</x:v>
      </x:c>
      <x:c r="U196" s="52" t="str">
        <x:v>OpenAI API Changelog</x:v>
      </x:c>
      <x:c r="V196" s="52" t="str">
        <x:v>https://developers.openai.com/api/docs/changelog</x:v>
      </x:c>
      <x:c r="W196" s="52" t="str">
        <x:v>official_changelog</x:v>
      </x:c>
      <x:c r="X196" s="52" t="str">
        <x:v>complete</x:v>
      </x:c>
      <x:c r="Y196" s="52" t="str">
        <x:v>high</x:v>
      </x:c>
      <x:c r="Z196" s="52" t="str">
        <x:v>agents_research | model_release | Codex | codex | coding-agent | feature</x:v>
      </x:c>
      <x:c r="AA196" s="52" t="n">
        <x:v>1</x:v>
      </x:c>
      <x:c r="AB196" s="53" t="b">
        <x:v>0</x:v>
      </x:c>
    </x:row>
    <x:row r="197" ht="42" customHeight="1">
      <x:c r="A197" s="57" t="n">
        <x:v>45974</x:v>
      </x:c>
      <x:c r="B197" s="52" t="str">
        <x:v>evt-20251113-released-extended-prompt-cache-retention</x:v>
      </x:c>
      <x:c r="C197" s="60" t="n">
        <x:v>2025</x:v>
      </x:c>
      <x:c r="D197" s="52" t="str">
        <x:v>Q4</x:v>
      </x:c>
      <x:c r="E197" s="52" t="str">
        <x:v>Unified Intelligence</x:v>
      </x:c>
      <x:c r="F197" s="52" t="str">
        <x:v>developer_platform</x:v>
      </x:c>
      <x:c r="G197" s="52" t="str">
        <x:v>Toolsmith Harbor</x:v>
      </x:c>
      <x:c r="H197" s="52" t="n">
        <x:v>3</x:v>
      </x:c>
      <x:c r="I197" s="52" t="str">
        <x:v>#</x:v>
      </x:c>
      <x:c r="J197" s="52" t="str">
        <x:v>OpenAI API Platform</x:v>
      </x:c>
      <x:c r="K197" s="52" t="str">
        <x:v>launch</x:v>
      </x:c>
      <x:c r="L197" s="52" t="str">
        <x:v>active</x:v>
      </x:c>
      <x:c r="M197" s="63" t="str">
        <x:v>Released extended prompt cache retention.</x:v>
      </x:c>
      <x:c r="N197" s="63" t="str">
        <x:v>推出：extended prompt cache retention .</x:v>
      </x:c>
      <x:c r="O197" s="63" t="str">
        <x:v>Released extended prompt cache retention . Extended prompt cache retention keeps cached prefixes active for longer, up to a maximum of 24 hours. Extended Prompt Caching works by offloading the key/value tensors to GPU-local storage when memory is full, significantly increasing the storage capacity available for caching.</x:v>
      </x:c>
      <x:c r="P197" s="63" t="str">
        <x:v>推出：extended prompt cache retention。OpenAI 將此列為 2025-11-13 的功能；重點涉及可靠性與效能修正，模型、端點與參數名稱依官方英文保留。</x:v>
      </x:c>
      <x:c r="Q197" s="60" t="n">
        <x:v>4</x:v>
      </x:c>
      <x:c r="R197" s="60" t="str">
        <x:v>major</x:v>
      </x:c>
      <x:c r="S197" s="60" t="n">
        <x:v>2973</x:v>
      </x:c>
      <x:c r="T197" s="60" t="n">
        <x:v>649</x:v>
      </x:c>
      <x:c r="U197" s="52" t="str">
        <x:v>OpenAI API Changelog</x:v>
      </x:c>
      <x:c r="V197" s="52" t="str">
        <x:v>https://developers.openai.com/api/docs/changelog</x:v>
      </x:c>
      <x:c r="W197" s="52" t="str">
        <x:v>official_changelog</x:v>
      </x:c>
      <x:c r="X197" s="52" t="str">
        <x:v>corroborated</x:v>
      </x:c>
      <x:c r="Y197" s="52" t="str">
        <x:v>high</x:v>
      </x:c>
      <x:c r="Z197" s="52" t="str">
        <x:v>developer_platform | launch | OpenAI API Platform | api-platform | feature</x:v>
      </x:c>
      <x:c r="AA197" s="52" t="n">
        <x:v>2</x:v>
      </x:c>
      <x:c r="AB197" s="53" t="b">
        <x:v>1</x:v>
      </x:c>
    </x:row>
    <x:row r="198" ht="42" customHeight="1">
      <x:c r="A198" s="57" t="n">
        <x:v>45974</x:v>
      </x:c>
      <x:c r="B198" s="52" t="str">
        <x:v>evt-20251113-released-enhanced-role-based-access-controls-rbac</x:v>
      </x:c>
      <x:c r="C198" s="60" t="n">
        <x:v>2025</x:v>
      </x:c>
      <x:c r="D198" s="52" t="str">
        <x:v>Q4</x:v>
      </x:c>
      <x:c r="E198" s="52" t="str">
        <x:v>Unified Intelligence</x:v>
      </x:c>
      <x:c r="F198" s="52" t="str">
        <x:v>enterprise_vertical</x:v>
      </x:c>
      <x:c r="G198" s="52" t="str">
        <x:v>Enterprise Citadel</x:v>
      </x:c>
      <x:c r="H198" s="52" t="n">
        <x:v>7</x:v>
      </x:c>
      <x:c r="I198" s="52" t="str">
        <x:v>H</x:v>
      </x:c>
      <x:c r="J198" s="52" t="str">
        <x:v>API Platform Admin</x:v>
      </x:c>
      <x:c r="K198" s="52" t="str">
        <x:v>launch</x:v>
      </x:c>
      <x:c r="L198" s="52" t="str">
        <x:v>active</x:v>
      </x:c>
      <x:c r="M198" s="63" t="str">
        <x:v>Released enhanced role-based access controls (RBAC).</x:v>
      </x:c>
      <x:c r="N198" s="63" t="str">
        <x:v>推出：enhanced role-based access controls (RBAC) .</x:v>
      </x:c>
      <x:c r="O198" s="63" t="str">
        <x:v>Released enhanced role-based access controls (RBAC) . Role-based access control (RBAC) lets you decide who can do what across your organization and projects—both through the API and in the Dashboard.</x:v>
      </x:c>
      <x:c r="P198" s="63" t="str">
        <x:v>推出：enhanced role-based access controls (RBAC)。OpenAI 將此列為 2025-11-13 的功能；重點涉及企業管理控制，模型、端點與參數名稱依官方英文保留。</x:v>
      </x:c>
      <x:c r="Q198" s="60" t="n">
        <x:v>4</x:v>
      </x:c>
      <x:c r="R198" s="60" t="str">
        <x:v>major</x:v>
      </x:c>
      <x:c r="S198" s="60" t="n">
        <x:v>2973</x:v>
      </x:c>
      <x:c r="T198" s="60" t="n">
        <x:v>1239</x:v>
      </x:c>
      <x:c r="U198" s="52" t="str">
        <x:v>OpenAI API Changelog</x:v>
      </x:c>
      <x:c r="V198" s="52" t="str">
        <x:v>https://developers.openai.com/api/docs/changelog</x:v>
      </x:c>
      <x:c r="W198" s="52" t="str">
        <x:v>official_changelog</x:v>
      </x:c>
      <x:c r="X198" s="52" t="str">
        <x:v>complete</x:v>
      </x:c>
      <x:c r="Y198" s="52" t="str">
        <x:v>high</x:v>
      </x:c>
      <x:c r="Z198" s="52" t="str">
        <x:v>enterprise_vertical | launch | API Platform Admin | admin | enterprise | feature</x:v>
      </x:c>
      <x:c r="AA198" s="52" t="n">
        <x:v>1</x:v>
      </x:c>
      <x:c r="AB198" s="53" t="b">
        <x:v>0</x:v>
      </x:c>
    </x:row>
    <x:row r="199" ht="42" customHeight="1">
      <x:c r="A199" s="57" t="n">
        <x:v>45978</x:v>
      </x:c>
      <x:c r="B199" s="52" t="str">
        <x:v>evt-20251117-codex-mini-latest-model-snapshot-deprecation</x:v>
      </x:c>
      <x:c r="C199" s="60" t="n">
        <x:v>2025</x:v>
      </x:c>
      <x:c r="D199" s="52" t="str">
        <x:v>Q4</x:v>
      </x:c>
      <x:c r="E199" s="52" t="str">
        <x:v>Unified Intelligence</x:v>
      </x:c>
      <x:c r="F199" s="52" t="str">
        <x:v>safety_lifecycle</x:v>
      </x:c>
      <x:c r="G199" s="52" t="str">
        <x:v>Safety Wall</x:v>
      </x:c>
      <x:c r="H199" s="52" t="n">
        <x:v>9</x:v>
      </x:c>
      <x:c r="I199" s="52" t="str">
        <x:v>!</x:v>
      </x:c>
      <x:c r="J199" s="52" t="str">
        <x:v>Model Platform</x:v>
      </x:c>
      <x:c r="K199" s="52" t="str">
        <x:v>deprecation</x:v>
      </x:c>
      <x:c r="L199" s="52" t="str">
        <x:v>deprecated</x:v>
      </x:c>
      <x:c r="M199" s="63" t="str">
        <x:v>codex-mini-latest model snapshot deprecation</x:v>
      </x:c>
      <x:c r="N199" s="63" t="str">
        <x:v>codex-mini-latest model snapshot 棄用公告</x:v>
      </x:c>
      <x:c r="O199" s="63" t="str">
        <x:v>On November 17th, 2025, we notified developers using codex-mini-latest model of its deprecation and removal from the API on February 12, 2026. As part of this deprecation, we will no longer support our legacy local shell tool, which is only available for use with codex-mini-latest . For new use cases, please use our latest shell tool. Schedule/replacements: 2026-02-12 codex-mini-latest gpt-5-codex-mini</x:v>
      </x:c>
      <x:c r="P199" s="63" t="str">
        <x:v>OpenAI 於 2025-11-17 公告 codex-mini-latest model snapshot 的棄用或下線時程，並列出替代方案與遷移方向。</x:v>
      </x:c>
      <x:c r="Q199" s="60" t="n">
        <x:v>4</x:v>
      </x:c>
      <x:c r="R199" s="60" t="str">
        <x:v>major</x:v>
      </x:c>
      <x:c r="S199" s="60" t="n">
        <x:v>2983</x:v>
      </x:c>
      <x:c r="T199" s="60" t="n">
        <x:v>1519</x:v>
      </x:c>
      <x:c r="U199" s="52" t="str">
        <x:v>OpenAI API Deprecations</x:v>
      </x:c>
      <x:c r="V199" s="52" t="str">
        <x:v>https://developers.openai.com/api/docs/deprecations#2025-11-17-codex-mini-latest-model-snapshot</x:v>
      </x:c>
      <x:c r="W199" s="52" t="str">
        <x:v>official_deprecation_registry</x:v>
      </x:c>
      <x:c r="X199" s="52" t="str">
        <x:v>corroborated</x:v>
      </x:c>
      <x:c r="Y199" s="52" t="str">
        <x:v>high</x:v>
      </x:c>
      <x:c r="Z199" s="52" t="str">
        <x:v>safety_lifecycle | deprecation | Model Platform | api | model-platform</x:v>
      </x:c>
      <x:c r="AA199" s="52" t="n">
        <x:v>2</x:v>
      </x:c>
      <x:c r="AB199" s="53" t="b">
        <x:v>1</x:v>
      </x:c>
    </x:row>
    <x:row r="200" ht="42" customHeight="1">
      <x:c r="A200" s="57" t="n">
        <x:v>45979</x:v>
      </x:c>
      <x:c r="B200" s="52" t="str">
        <x:v>evt-20251118-introducing-gpt-5-1-codex-max</x:v>
      </x:c>
      <x:c r="C200" s="60" t="n">
        <x:v>2025</x:v>
      </x:c>
      <x:c r="D200" s="52" t="str">
        <x:v>Q4</x:v>
      </x:c>
      <x:c r="E200" s="52" t="str">
        <x:v>Unified Intelligence</x:v>
      </x:c>
      <x:c r="F200" s="52" t="str">
        <x:v>agents_research</x:v>
      </x:c>
      <x:c r="G200" s="52" t="str">
        <x:v>Agentic Frontier</x:v>
      </x:c>
      <x:c r="H200" s="52" t="n">
        <x:v>2</x:v>
      </x:c>
      <x:c r="I200" s="52" t="str">
        <x:v>&gt;</x:v>
      </x:c>
      <x:c r="J200" s="52" t="str">
        <x:v>GPT-5.1</x:v>
      </x:c>
      <x:c r="K200" s="52" t="str">
        <x:v>launch</x:v>
      </x:c>
      <x:c r="L200" s="52" t="str">
        <x:v>active</x:v>
      </x:c>
      <x:c r="M200" s="63" t="str">
        <x:v>Introducing GPT-5.1-Codex-Max</x:v>
      </x:c>
      <x:c r="N200" s="63" t="str">
        <x:v>推出 GPT-5.1-Codex-Max</x:v>
      </x:c>
      <x:c r="O200" s="63" t="str">
        <x:v>Today we are releasing GPT-5.1-Codex-Max , our new frontier agentic coding model. GPT‑5.1-Codex-Max is built on an update to our foundational reasoning model, which is trained on agentic tasks across software engineering, math, research, and more. GPT‑5.1-Codex-Max is faster, more intelligent, and more token-efficient at every stage of the development cycle–and a new step towards becoming a reliable coding partner. Starting today, th…</x:v>
      </x:c>
      <x:c r="P200" s="63" t="str">
        <x:v>Codex Changelog 在 2025-11-18 記錄了Codex 編碼代理、代理與工具調用相關更新；完整版本與修正內容見官方英文摘要。</x:v>
      </x:c>
      <x:c r="Q200" s="60" t="n">
        <x:v>5</x:v>
      </x:c>
      <x:c r="R200" s="60" t="str">
        <x:v>landmark</x:v>
      </x:c>
      <x:c r="S200" s="60" t="n">
        <x:v>2986</x:v>
      </x:c>
      <x:c r="T200" s="60" t="n">
        <x:v>450</x:v>
      </x:c>
      <x:c r="U200" s="52" t="str">
        <x:v>Codex Changelog</x:v>
      </x:c>
      <x:c r="V200" s="52" t="str">
        <x:v>https://developers.openai.com/codex/changelog/</x:v>
      </x:c>
      <x:c r="W200" s="52" t="str">
        <x:v>developer_changelog</x:v>
      </x:c>
      <x:c r="X200" s="52" t="str">
        <x:v>complete</x:v>
      </x:c>
      <x:c r="Y200" s="52" t="str">
        <x:v>high</x:v>
      </x:c>
      <x:c r="Z200" s="52" t="str">
        <x:v>agents_research | launch | GPT-5.1 | codex | release-notes</x:v>
      </x:c>
      <x:c r="AA200" s="52" t="n">
        <x:v>1</x:v>
      </x:c>
      <x:c r="AB200" s="53" t="b">
        <x:v>0</x:v>
      </x:c>
    </x:row>
    <x:row r="201" ht="42" customHeight="1">
      <x:c r="A201" s="57" t="n">
        <x:v>45979</x:v>
      </x:c>
      <x:c r="B201" s="52" t="str">
        <x:v>evt-20251118-chatgpt-4o-latest-snapshot-deprecation</x:v>
      </x:c>
      <x:c r="C201" s="60" t="n">
        <x:v>2025</x:v>
      </x:c>
      <x:c r="D201" s="52" t="str">
        <x:v>Q4</x:v>
      </x:c>
      <x:c r="E201" s="52" t="str">
        <x:v>Unified Intelligence</x:v>
      </x:c>
      <x:c r="F201" s="52" t="str">
        <x:v>safety_lifecycle</x:v>
      </x:c>
      <x:c r="G201" s="52" t="str">
        <x:v>Safety Wall</x:v>
      </x:c>
      <x:c r="H201" s="52" t="n">
        <x:v>9</x:v>
      </x:c>
      <x:c r="I201" s="52" t="str">
        <x:v>!</x:v>
      </x:c>
      <x:c r="J201" s="52" t="str">
        <x:v>Model Platform</x:v>
      </x:c>
      <x:c r="K201" s="52" t="str">
        <x:v>deprecation</x:v>
      </x:c>
      <x:c r="L201" s="52" t="str">
        <x:v>deprecated</x:v>
      </x:c>
      <x:c r="M201" s="63" t="str">
        <x:v>chatgpt-4o-latest snapshot deprecation</x:v>
      </x:c>
      <x:c r="N201" s="63" t="str">
        <x:v>chatgpt-4o-latest snapshot 棄用公告</x:v>
      </x:c>
      <x:c r="O201" s="63" t="str">
        <x:v>On November 18th, 2025, we notified developers using chatgpt-4o-latest model snapshot of its deprecation and removal from the API on February 17, 2026. Schedule/replacements: 2026-02-17 chatgpt-4o-latest gpt-5.1-chat-latest</x:v>
      </x:c>
      <x:c r="P201" s="63" t="str">
        <x:v>OpenAI 於 2025-11-18 公告 chatgpt-4o-latest snapshot 的棄用或下線時程，並列出替代方案與遷移方向。</x:v>
      </x:c>
      <x:c r="Q201" s="60" t="n">
        <x:v>4</x:v>
      </x:c>
      <x:c r="R201" s="60" t="str">
        <x:v>major</x:v>
      </x:c>
      <x:c r="S201" s="60" t="n">
        <x:v>2986</x:v>
      </x:c>
      <x:c r="T201" s="60" t="n">
        <x:v>1540</x:v>
      </x:c>
      <x:c r="U201" s="52" t="str">
        <x:v>OpenAI API Deprecations</x:v>
      </x:c>
      <x:c r="V201" s="52" t="str">
        <x:v>https://developers.openai.com/api/docs/deprecations#2025-11-18-chatgpt-4o-latest-snapshot</x:v>
      </x:c>
      <x:c r="W201" s="52" t="str">
        <x:v>official_deprecation_registry</x:v>
      </x:c>
      <x:c r="X201" s="52" t="str">
        <x:v>corroborated</x:v>
      </x:c>
      <x:c r="Y201" s="52" t="str">
        <x:v>high</x:v>
      </x:c>
      <x:c r="Z201" s="52" t="str">
        <x:v>safety_lifecycle | deprecation | Model Platform | api | model-platform</x:v>
      </x:c>
      <x:c r="AA201" s="52" t="n">
        <x:v>2</x:v>
      </x:c>
      <x:c r="AB201" s="53" t="b">
        <x:v>1</x:v>
      </x:c>
    </x:row>
    <x:row r="202" ht="42" customHeight="1">
      <x:c r="A202" s="57" t="n">
        <x:v>45980</x:v>
      </x:c>
      <x:c r="B202" s="52" t="str">
        <x:v>evt-20251119-gpt-5-1-pro-clearer-more-capable-answers-for-complex-work</x:v>
      </x:c>
      <x:c r="C202" s="60" t="n">
        <x:v>2025</x:v>
      </x:c>
      <x:c r="D202" s="52" t="str">
        <x:v>Q4</x:v>
      </x:c>
      <x:c r="E202" s="52" t="str">
        <x:v>Unified Intelligence</x:v>
      </x:c>
      <x:c r="F202" s="52" t="str">
        <x:v>models_reasoning</x:v>
      </x:c>
      <x:c r="G202" s="52" t="str">
        <x:v>Model Mountains</x:v>
      </x:c>
      <x:c r="H202" s="52" t="n">
        <x:v>1</x:v>
      </x:c>
      <x:c r="I202" s="52" t="str">
        <x:v>^</x:v>
      </x:c>
      <x:c r="J202" s="52" t="str">
        <x:v>GPT-5.1</x:v>
      </x:c>
      <x:c r="K202" s="52" t="str">
        <x:v>model_release</x:v>
      </x:c>
      <x:c r="L202" s="52" t="str">
        <x:v>active</x:v>
      </x:c>
      <x:c r="M202" s="63" t="str">
        <x:v>GPT-5.1 Pro: Clearer, more capable answers for complex work</x:v>
      </x:c>
      <x:c r="N202" s="63" t="str">
        <x:v>GPT-5.1 Pro：針對複雜工作提供更清晰、更有能力的回答</x:v>
      </x:c>
      <x:c r="O202" s="63" t="str">
        <x:v>Today we’re updating GPT-5 Pro to GPT-5.1 Pro. In early testing, users consistently preferred GPT-5.1 Pro over GPT-5 Pro, rating it especially highly for writing help, data science, and business questions. Testers highlighted the model’s improved clarity, relevance, and structure in its responses. GPT-5.1 Pro is rolling out today for all ChatGPT Pro users and is available in the model picker. GPT-5 Pro will remain available as a lega…</x:v>
      </x:c>
      <x:c r="P202" s="63" t="str">
        <x:v>今天我們將 GPT-5 Pro 更新為 GPT-5.1 Pro。在早期測試中，使用者一致偏好 GPT-5.1 Pro 勝過 GPT-5 Pro，並在寫作協助、數據科學和商業問題方面給予極高評價。測試人員強調了該模型在回應時具有更佳的清晰度、相關性和結構。</x:v>
      </x:c>
      <x:c r="Q202" s="60" t="n">
        <x:v>5</x:v>
      </x:c>
      <x:c r="R202" s="60" t="str">
        <x:v>landmark</x:v>
      </x:c>
      <x:c r="S202" s="60" t="n">
        <x:v>2988</x:v>
      </x:c>
      <x:c r="T202" s="60" t="n">
        <x:v>344</x:v>
      </x:c>
      <x:c r="U202" s="52" t="str">
        <x:v>ChatGPT — Release Notes</x:v>
      </x:c>
      <x:c r="V202" s="52" t="str">
        <x:v>https://help.openai.com/en/articles/6825453-chatgpt-release-notes</x:v>
      </x:c>
      <x:c r="W202" s="52" t="str">
        <x:v>help_center_release_notes</x:v>
      </x:c>
      <x:c r="X202" s="52" t="str">
        <x:v>complete</x:v>
      </x:c>
      <x:c r="Y202" s="52" t="str">
        <x:v>high</x:v>
      </x:c>
      <x:c r="Z202" s="52" t="str">
        <x:v>models_reasoning | model_release | GPT-5.1 | 2025 | gpt-5.1 | models-reasoning</x:v>
      </x:c>
      <x:c r="AA202" s="52" t="n">
        <x:v>1</x:v>
      </x:c>
      <x:c r="AB202" s="53" t="b">
        <x:v>0</x:v>
      </x:c>
    </x:row>
    <x:row r="203" ht="42" customHeight="1">
      <x:c r="A203" s="57" t="n">
        <x:v>45980</x:v>
      </x:c>
      <x:c r="B203" s="52" t="str">
        <x:v>evt-20251119-introducing-gpt-5-1-codex-max</x:v>
      </x:c>
      <x:c r="C203" s="60" t="n">
        <x:v>2025</x:v>
      </x:c>
      <x:c r="D203" s="52" t="str">
        <x:v>Q4</x:v>
      </x:c>
      <x:c r="E203" s="52" t="str">
        <x:v>Unified Intelligence</x:v>
      </x:c>
      <x:c r="F203" s="52" t="str">
        <x:v>agents_research</x:v>
      </x:c>
      <x:c r="G203" s="52" t="str">
        <x:v>Agentic Frontier</x:v>
      </x:c>
      <x:c r="H203" s="52" t="n">
        <x:v>2</x:v>
      </x:c>
      <x:c r="I203" s="52" t="str">
        <x:v>&gt;</x:v>
      </x:c>
      <x:c r="J203" s="52" t="str">
        <x:v>GPT-5.1-Codex-Max</x:v>
      </x:c>
      <x:c r="K203" s="52" t="str">
        <x:v>model_release</x:v>
      </x:c>
      <x:c r="L203" s="52" t="str">
        <x:v>active</x:v>
      </x:c>
      <x:c r="M203" s="63" t="str">
        <x:v>Introducing GPT-5.1-Codex-Max</x:v>
      </x:c>
      <x:c r="N203" s="63" t="str">
        <x:v>推出 GPT-5.1-Codex-Max</x:v>
      </x:c>
      <x:c r="O203" s="63" t="str">
        <x:v>OpenAI released GPT-5.1-Codex-Max across Codex surfaces for long-running, project-scale agentic coding with native context compaction across multiple context windows.</x:v>
      </x:c>
      <x:c r="P203" s="63" t="str">
        <x:v>OpenAI 在 Codex 介面中推出了 GPT-5.1-Codex-Max，用於進行長運作、專案規模的代理式程式開發，並支援跨多個上下文視窗的原生上下文壓縮。</x:v>
      </x:c>
      <x:c r="Q203" s="60" t="n">
        <x:v>5</x:v>
      </x:c>
      <x:c r="R203" s="60" t="str">
        <x:v>landmark</x:v>
      </x:c>
      <x:c r="S203" s="60" t="n">
        <x:v>2988</x:v>
      </x:c>
      <x:c r="T203" s="60" t="n">
        <x:v>478</x:v>
      </x:c>
      <x:c r="U203" s="52" t="str">
        <x:v>Building more with GPT-5.1-Codex-Max</x:v>
      </x:c>
      <x:c r="V203" s="52" t="str">
        <x:v>https://openai.com/index/gpt-5-1-codex-max/</x:v>
      </x:c>
      <x:c r="W203" s="52" t="str">
        <x:v>official_launch_post</x:v>
      </x:c>
      <x:c r="X203" s="52" t="str">
        <x:v>complete</x:v>
      </x:c>
      <x:c r="Y203" s="52" t="str">
        <x:v>high</x:v>
      </x:c>
      <x:c r="Z203" s="52" t="str">
        <x:v>agents_research | model_release | GPT-5.1-Codex-Max | 2025 | agents-research | gpt-5.1-codex-max</x:v>
      </x:c>
      <x:c r="AA203" s="52" t="n">
        <x:v>1</x:v>
      </x:c>
      <x:c r="AB203" s="53" t="b">
        <x:v>0</x:v>
      </x:c>
    </x:row>
    <x:row r="204" ht="42" customHeight="1">
      <x:c r="A204" s="57" t="n">
        <x:v>45980</x:v>
      </x:c>
      <x:c r="B204" s="52" t="str">
        <x:v>evt-20251119-introducing-gpt-5-codex-max</x:v>
      </x:c>
      <x:c r="C204" s="60" t="n">
        <x:v>2025</x:v>
      </x:c>
      <x:c r="D204" s="52" t="str">
        <x:v>Q4</x:v>
      </x:c>
      <x:c r="E204" s="52" t="str">
        <x:v>Unified Intelligence</x:v>
      </x:c>
      <x:c r="F204" s="52" t="str">
        <x:v>models_reasoning</x:v>
      </x:c>
      <x:c r="G204" s="52" t="str">
        <x:v>Model Mountains</x:v>
      </x:c>
      <x:c r="H204" s="52" t="n">
        <x:v>1</x:v>
      </x:c>
      <x:c r="I204" s="52" t="str">
        <x:v>^</x:v>
      </x:c>
      <x:c r="J204" s="52" t="str">
        <x:v>GPT-5.1</x:v>
      </x:c>
      <x:c r="K204" s="52" t="str">
        <x:v>model_release</x:v>
      </x:c>
      <x:c r="L204" s="52" t="str">
        <x:v>active</x:v>
      </x:c>
      <x:c r="M204" s="63" t="str">
        <x:v>Introducing GPT-5-Codex-Max</x:v>
      </x:c>
      <x:c r="N204" s="63" t="str">
        <x:v>推出GPT-5-Codex-Max</x:v>
      </x:c>
      <x:c r="O204" s="63" t="str">
        <x:v>GPT-5.1-Codex-Max is our new frontier agentic coding model built for long-running, project-scale work. It’s faster, more capable, and more token‑efficient than GPT‑5.1‑Codex, using compaction to work coherently across multiple context windows. You can use it in Codex surfaces today, including the CLI, IDE extension, cloud, and code review. Rates are the same as for GPT-5.1-Codex.</x:v>
      </x:c>
      <x:c r="P204" s="63" t="str">
        <x:v>OpenAI 於 2025-11-19 為 GPT-5.1 發布模型；此節點依官方發布記錄整理，完整能力、適用方案與限制請見來源。</x:v>
      </x:c>
      <x:c r="Q204" s="60" t="n">
        <x:v>4</x:v>
      </x:c>
      <x:c r="R204" s="60" t="str">
        <x:v>major</x:v>
      </x:c>
      <x:c r="S204" s="60" t="n">
        <x:v>2988</x:v>
      </x:c>
      <x:c r="T204" s="60" t="n">
        <x:v>317</x:v>
      </x:c>
      <x:c r="U204" s="52" t="str">
        <x:v>Model Release Notes</x:v>
      </x:c>
      <x:c r="V204" s="52" t="str">
        <x:v>https://help.openai.com/en/articles/9624314-model-release-notes</x:v>
      </x:c>
      <x:c r="W204" s="52" t="str">
        <x:v>help_center_release_notes</x:v>
      </x:c>
      <x:c r="X204" s="52" t="str">
        <x:v>parsed</x:v>
      </x:c>
      <x:c r="Y204" s="52" t="str">
        <x:v>high</x:v>
      </x:c>
      <x:c r="Z204" s="52" t="str">
        <x:v>models_reasoning | model_release | GPT-5.1</x:v>
      </x:c>
      <x:c r="AA204" s="52" t="n">
        <x:v>1</x:v>
      </x:c>
      <x:c r="AB204" s="53" t="b">
        <x:v>0</x:v>
      </x:c>
    </x:row>
    <x:row r="205" ht="42" customHeight="1">
      <x:c r="A205" s="57" t="n">
        <x:v>45985</x:v>
      </x:c>
      <x:c r="B205" s="52" t="str">
        <x:v>evt-20251124-shopping-research-in-chatgpt</x:v>
      </x:c>
      <x:c r="C205" s="60" t="n">
        <x:v>2025</x:v>
      </x:c>
      <x:c r="D205" s="52" t="str">
        <x:v>Q4</x:v>
      </x:c>
      <x:c r="E205" s="52" t="str">
        <x:v>Unified Intelligence</x:v>
      </x:c>
      <x:c r="F205" s="52" t="str">
        <x:v>search_commerce</x:v>
      </x:c>
      <x:c r="G205" s="52" t="str">
        <x:v>Commerce Bazaar</x:v>
      </x:c>
      <x:c r="H205" s="52" t="n">
        <x:v>6</x:v>
      </x:c>
      <x:c r="I205" s="52" t="str">
        <x:v>$</x:v>
      </x:c>
      <x:c r="J205" s="52" t="str">
        <x:v>Shopping</x:v>
      </x:c>
      <x:c r="K205" s="52" t="str">
        <x:v>launch</x:v>
      </x:c>
      <x:c r="L205" s="52" t="str">
        <x:v>active</x:v>
      </x:c>
      <x:c r="M205" s="63" t="str">
        <x:v>Shopping research in ChatGPT</x:v>
      </x:c>
      <x:c r="N205" s="63" t="str">
        <x:v>ChatGPT 中的購物研究</x:v>
      </x:c>
      <x:c r="O205" s="63" t="str">
        <x:v>Shopping research is a new interactive experience that helps you find the right products without doing all the research yourself. Describe what you need—like a quiet cordless vacuum for a small apartment, a gift for a four‑year‑old who loves art, or a way to choose between three bikes—and ChatGPT will ask clarifying questions, research deeply across the internet, review quality sources, and build on ChatGPT’s understanding of you fro…</x:v>
      </x:c>
      <x:c r="P205" s="63" t="str">
        <x:v>OpenAI 於 2025-11-24 為 ChatGPT 新增功能；此節點依官方發布記錄整理，完整能力、適用方案與限制請見來源。</x:v>
      </x:c>
      <x:c r="Q205" s="60" t="n">
        <x:v>4</x:v>
      </x:c>
      <x:c r="R205" s="60" t="str">
        <x:v>major</x:v>
      </x:c>
      <x:c r="S205" s="60" t="n">
        <x:v>3001</x:v>
      </x:c>
      <x:c r="T205" s="60" t="n">
        <x:v>1049</x:v>
      </x:c>
      <x:c r="U205" s="52" t="str">
        <x:v>ChatGPT — Release Notes</x:v>
      </x:c>
      <x:c r="V205" s="52" t="str">
        <x:v>https://help.openai.com/en/articles/6825453-chatgpt-release-notes</x:v>
      </x:c>
      <x:c r="W205" s="52" t="str">
        <x:v>help_center_release_notes</x:v>
      </x:c>
      <x:c r="X205" s="52" t="str">
        <x:v>complete</x:v>
      </x:c>
      <x:c r="Y205" s="52" t="str">
        <x:v>high</x:v>
      </x:c>
      <x:c r="Z205" s="52" t="str">
        <x:v>search_commerce | launch | Shopping | 2025 | search-commerce | shopping</x:v>
      </x:c>
      <x:c r="AA205" s="52" t="n">
        <x:v>1</x:v>
      </x:c>
      <x:c r="AB205" s="53" t="b">
        <x:v>0</x:v>
      </x:c>
    </x:row>
    <x:row r="206" ht="42" customHeight="1">
      <x:c r="A206" s="57" t="n">
        <x:v>45986</x:v>
      </x:c>
      <x:c r="B206" s="52" t="str">
        <x:v>evt-20251125-an-improved-voice-interface-the-audio-you-know-with-text-a</x:v>
      </x:c>
      <x:c r="C206" s="60" t="n">
        <x:v>2025</x:v>
      </x:c>
      <x:c r="D206" s="52" t="str">
        <x:v>Q4</x:v>
      </x:c>
      <x:c r="E206" s="52" t="str">
        <x:v>Unified Intelligence</x:v>
      </x:c>
      <x:c r="F206" s="52" t="str">
        <x:v>multimodal</x:v>
      </x:c>
      <x:c r="G206" s="52" t="str">
        <x:v>Multimodal Coast</x:v>
      </x:c>
      <x:c r="H206" s="52" t="n">
        <x:v>4</x:v>
      </x:c>
      <x:c r="I206" s="52" t="str">
        <x:v>~</x:v>
      </x:c>
      <x:c r="J206" s="52" t="str">
        <x:v>ChatGPT Voice</x:v>
      </x:c>
      <x:c r="K206" s="52" t="str">
        <x:v>feature</x:v>
      </x:c>
      <x:c r="L206" s="52" t="str">
        <x:v>active</x:v>
      </x:c>
      <x:c r="M206" s="63" t="str">
        <x:v>An improved Voice interface: the audio you know, with text and visuals when you need them.</x:v>
      </x:c>
      <x:c r="N206" s="63" t="str">
        <x:v>改進的語音介面：您熟悉的音訊，並在需要時提供文字與視覺內容</x:v>
      </x:c>
      <x:c r="O206" s="63" t="str">
        <x:v>We’re making ChatGPT Voice a seamless part of the ChatGPT experience, so you can use voice right inside the chat interface you already use every day—no separate mode required. Many of you have asked for a more flexible Voice experience—now, you can speak, listen, and see your conversation at the same time. Answers will be spoken alongside streamed text, image search results, widgets (maps, weather, etc.) and more—right in the same ch…</x:v>
      </x:c>
      <x:c r="P206" s="63" t="str">
        <x:v>我們將 ChatGPT Voice 打造為 ChatGPT 體驗中無縫的一部分，讓您可以在每天使用的聊天介面中直接使用語音，無需切換到單獨的模式。許多使用者要求更靈活的語音體驗——現在，您可以同時說話、聆聽並查看您的對話。</x:v>
      </x:c>
      <x:c r="Q206" s="60" t="n">
        <x:v>4</x:v>
      </x:c>
      <x:c r="R206" s="60" t="str">
        <x:v>major</x:v>
      </x:c>
      <x:c r="S206" s="60" t="n">
        <x:v>3003</x:v>
      </x:c>
      <x:c r="T206" s="60" t="n">
        <x:v>779</x:v>
      </x:c>
      <x:c r="U206" s="52" t="str">
        <x:v>ChatGPT — Release Notes</x:v>
      </x:c>
      <x:c r="V206" s="52" t="str">
        <x:v>https://help.openai.com/en/articles/6825453-chatgpt-release-notes</x:v>
      </x:c>
      <x:c r="W206" s="52" t="str">
        <x:v>help_center_release_notes</x:v>
      </x:c>
      <x:c r="X206" s="52" t="str">
        <x:v>complete</x:v>
      </x:c>
      <x:c r="Y206" s="52" t="str">
        <x:v>high</x:v>
      </x:c>
      <x:c r="Z206" s="52" t="str">
        <x:v>multimodal | feature | ChatGPT Voice | 2025 | chatgpt-voice</x:v>
      </x:c>
      <x:c r="AA206" s="52" t="n">
        <x:v>1</x:v>
      </x:c>
      <x:c r="AB206" s="53" t="b">
        <x:v>0</x:v>
      </x:c>
    </x:row>
    <x:row r="207" ht="42" customHeight="1">
      <x:c r="A207" s="57" t="n">
        <x:v>45995</x:v>
      </x:c>
      <x:c r="B207" s="52" t="str">
        <x:v>evt-20251204-introducing-codex-for-linear</x:v>
      </x:c>
      <x:c r="C207" s="60" t="n">
        <x:v>2025</x:v>
      </x:c>
      <x:c r="D207" s="52" t="str">
        <x:v>Q4</x:v>
      </x:c>
      <x:c r="E207" s="52" t="str">
        <x:v>Unified Intelligence</x:v>
      </x:c>
      <x:c r="F207" s="52" t="str">
        <x:v>agents_research</x:v>
      </x:c>
      <x:c r="G207" s="52" t="str">
        <x:v>Agentic Frontier</x:v>
      </x:c>
      <x:c r="H207" s="52" t="n">
        <x:v>2</x:v>
      </x:c>
      <x:c r="I207" s="52" t="str">
        <x:v>&gt;</x:v>
      </x:c>
      <x:c r="J207" s="52" t="str">
        <x:v>Codex</x:v>
      </x:c>
      <x:c r="K207" s="52" t="str">
        <x:v>launch</x:v>
      </x:c>
      <x:c r="L207" s="52" t="str">
        <x:v>active</x:v>
      </x:c>
      <x:c r="M207" s="63" t="str">
        <x:v>Introducing Codex for Linear</x:v>
      </x:c>
      <x:c r="N207" s="63" t="str">
        <x:v>推出 Codex for Linear</x:v>
      </x:c>
      <x:c r="O207" s="63" t="str">
        <x:v>Assign or mention @Codex in an issue to kick-off a Codex cloud task. As Codex works, it posts updates back to Linear, providing a link to the completed task so you can review, open a PR, or keep working. To learn more about how to connect Codex to Linear both locally through MCP and through the new integration, check out the Codex for Linear documentation .</x:v>
      </x:c>
      <x:c r="P207" s="63" t="str">
        <x:v>OpenAI 於 2025-12-04 為 Codex 推出新產品或能力；此節點依官方發布記錄整理，完整能力、適用方案與限制請見來源。</x:v>
      </x:c>
      <x:c r="Q207" s="60" t="n">
        <x:v>5</x:v>
      </x:c>
      <x:c r="R207" s="60" t="str">
        <x:v>landmark</x:v>
      </x:c>
      <x:c r="S207" s="60" t="n">
        <x:v>3026</x:v>
      </x:c>
      <x:c r="T207" s="60" t="n">
        <x:v>493</x:v>
      </x:c>
      <x:c r="U207" s="52" t="str">
        <x:v>Codex Changelog</x:v>
      </x:c>
      <x:c r="V207" s="52" t="str">
        <x:v>https://developers.openai.com/codex/changelog/</x:v>
      </x:c>
      <x:c r="W207" s="52" t="str">
        <x:v>developer_changelog</x:v>
      </x:c>
      <x:c r="X207" s="52" t="str">
        <x:v>complete</x:v>
      </x:c>
      <x:c r="Y207" s="52" t="str">
        <x:v>high</x:v>
      </x:c>
      <x:c r="Z207" s="52" t="str">
        <x:v>agents_research | launch | Codex | codex | release-notes</x:v>
      </x:c>
      <x:c r="AA207" s="52" t="n">
        <x:v>1</x:v>
      </x:c>
      <x:c r="AB207" s="53" t="b">
        <x:v>0</x:v>
      </x:c>
    </x:row>
    <x:row r="208" ht="42" customHeight="1">
      <x:c r="A208" s="57" t="n">
        <x:v>45995</x:v>
      </x:c>
      <x:c r="B208" s="52" t="str">
        <x:v>evt-20251204-released-gpt-5-1-codex-max-to-the-responses-api</x:v>
      </x:c>
      <x:c r="C208" s="60" t="n">
        <x:v>2025</x:v>
      </x:c>
      <x:c r="D208" s="52" t="str">
        <x:v>Q4</x:v>
      </x:c>
      <x:c r="E208" s="52" t="str">
        <x:v>Unified Intelligence</x:v>
      </x:c>
      <x:c r="F208" s="52" t="str">
        <x:v>agents_research</x:v>
      </x:c>
      <x:c r="G208" s="52" t="str">
        <x:v>Agentic Frontier</x:v>
      </x:c>
      <x:c r="H208" s="52" t="n">
        <x:v>2</x:v>
      </x:c>
      <x:c r="I208" s="52" t="str">
        <x:v>&gt;</x:v>
      </x:c>
      <x:c r="J208" s="52" t="str">
        <x:v>Codex</x:v>
      </x:c>
      <x:c r="K208" s="52" t="str">
        <x:v>model_release</x:v>
      </x:c>
      <x:c r="L208" s="52" t="str">
        <x:v>active</x:v>
      </x:c>
      <x:c r="M208" s="63" t="str">
        <x:v>Released gpt-5.1-codex-max to the Responses API.</x:v>
      </x:c>
      <x:c r="N208" s="63" t="str">
        <x:v>API 推出 GPT‑5.1 模型家族</x:v>
      </x:c>
      <x:c r="O208" s="63" t="str">
        <x:v>Released gpt-5.1-codex-max to the Responses API. GPT-5.1-Codex is our most intelligent coding model optimized for long-horizon, agentic coding tasks. Read more here .</x:v>
      </x:c>
      <x:c r="P208" s="63" t="str">
        <x:v>API 推出 GPT‑5.1 模型家族。OpenAI 將此列為 2025-12-04 的功能；重點涉及Codex 編碼代理、代理與工具調用，模型、端點與參數名稱依官方英文保留。</x:v>
      </x:c>
      <x:c r="Q208" s="60" t="n">
        <x:v>4</x:v>
      </x:c>
      <x:c r="R208" s="60" t="str">
        <x:v>major</x:v>
      </x:c>
      <x:c r="S208" s="60" t="n">
        <x:v>3026</x:v>
      </x:c>
      <x:c r="T208" s="60" t="n">
        <x:v>477</x:v>
      </x:c>
      <x:c r="U208" s="52" t="str">
        <x:v>OpenAI API Changelog</x:v>
      </x:c>
      <x:c r="V208" s="52" t="str">
        <x:v>https://developers.openai.com/api/docs/changelog</x:v>
      </x:c>
      <x:c r="W208" s="52" t="str">
        <x:v>official_changelog</x:v>
      </x:c>
      <x:c r="X208" s="52" t="str">
        <x:v>corroborated</x:v>
      </x:c>
      <x:c r="Y208" s="52" t="str">
        <x:v>high</x:v>
      </x:c>
      <x:c r="Z208" s="52" t="str">
        <x:v>agents_research | model_release | Codex | codex | coding-agent | feature</x:v>
      </x:c>
      <x:c r="AA208" s="52" t="n">
        <x:v>2</x:v>
      </x:c>
      <x:c r="AB208" s="53" t="b">
        <x:v>1</x:v>
      </x:c>
    </x:row>
    <x:row r="209" ht="42" customHeight="1">
      <x:c r="A209" s="57" t="n">
        <x:v>46002</x:v>
      </x:c>
      <x:c r="B209" s="52" t="str">
        <x:v>evt-20251211-introducing-gpt-5-2</x:v>
      </x:c>
      <x:c r="C209" s="60" t="n">
        <x:v>2025</x:v>
      </x:c>
      <x:c r="D209" s="52" t="str">
        <x:v>Q4</x:v>
      </x:c>
      <x:c r="E209" s="52" t="str">
        <x:v>Unified Intelligence</x:v>
      </x:c>
      <x:c r="F209" s="52" t="str">
        <x:v>models_reasoning</x:v>
      </x:c>
      <x:c r="G209" s="52" t="str">
        <x:v>Model Mountains</x:v>
      </x:c>
      <x:c r="H209" s="52" t="n">
        <x:v>1</x:v>
      </x:c>
      <x:c r="I209" s="52" t="str">
        <x:v>^</x:v>
      </x:c>
      <x:c r="J209" s="52" t="str">
        <x:v>GPT-5.2</x:v>
      </x:c>
      <x:c r="K209" s="52" t="str">
        <x:v>model_release</x:v>
      </x:c>
      <x:c r="L209" s="52" t="str">
        <x:v>active</x:v>
      </x:c>
      <x:c r="M209" s="63" t="str">
        <x:v>Introducing GPT-5.2</x:v>
      </x:c>
      <x:c r="N209" s="63" t="str">
        <x:v>推出 GPT-5.2</x:v>
      </x:c>
      <x:c r="O209" s="63" t="str">
        <x:v>OpenAI released GPT-5.2 Instant, Thinking, and Pro in ChatGPT, with improvements for professional knowledge work, long context, agentic tool use, vision, coding, spreadsheets, and presentations.</x:v>
      </x:c>
      <x:c r="P209" s="63" t="str">
        <x:v>OpenAI 在 ChatGPT 中推出了 GPT-5.2 Instant、Thinking 和 Pro，針對專業知識工作、長上下文、代理式工具使用、視覺、程式設計、試算表和簡報功能進行了改進。</x:v>
      </x:c>
      <x:c r="Q209" s="60" t="n">
        <x:v>5</x:v>
      </x:c>
      <x:c r="R209" s="60" t="str">
        <x:v>landmark</x:v>
      </x:c>
      <x:c r="S209" s="60" t="n">
        <x:v>3044</x:v>
      </x:c>
      <x:c r="T209" s="60" t="n">
        <x:v>334</x:v>
      </x:c>
      <x:c r="U209" s="52" t="str">
        <x:v>Introducing GPT-5.2</x:v>
      </x:c>
      <x:c r="V209" s="52" t="str">
        <x:v>https://openai.com/index/introducing-gpt-5-2/</x:v>
      </x:c>
      <x:c r="W209" s="52" t="str">
        <x:v>official_launch_post</x:v>
      </x:c>
      <x:c r="X209" s="52" t="str">
        <x:v>complete</x:v>
      </x:c>
      <x:c r="Y209" s="52" t="str">
        <x:v>high</x:v>
      </x:c>
      <x:c r="Z209" s="52" t="str">
        <x:v>models_reasoning | model_release | GPT-5.2 | 2025 | gpt-5.2 | models-reasoning</x:v>
      </x:c>
      <x:c r="AA209" s="52" t="n">
        <x:v>1</x:v>
      </x:c>
      <x:c r="AB209" s="53" t="b">
        <x:v>0</x:v>
      </x:c>
    </x:row>
    <x:row r="210" ht="42" customHeight="1">
      <x:c r="A210" s="57" t="n">
        <x:v>46002</x:v>
      </x:c>
      <x:c r="B210" s="52" t="str">
        <x:v>evt-20251211-released-gpt-5-2-the-newest-flagship-model-in-the-gpt-5-mo</x:v>
      </x:c>
      <x:c r="C210" s="60" t="n">
        <x:v>2025</x:v>
      </x:c>
      <x:c r="D210" s="52" t="str">
        <x:v>Q4</x:v>
      </x:c>
      <x:c r="E210" s="52" t="str">
        <x:v>Unified Intelligence</x:v>
      </x:c>
      <x:c r="F210" s="52" t="str">
        <x:v>models_reasoning</x:v>
      </x:c>
      <x:c r="G210" s="52" t="str">
        <x:v>Model Mountains</x:v>
      </x:c>
      <x:c r="H210" s="52" t="n">
        <x:v>1</x:v>
      </x:c>
      <x:c r="I210" s="52" t="str">
        <x:v>^</x:v>
      </x:c>
      <x:c r="J210" s="52" t="str">
        <x:v>Model Platform</x:v>
      </x:c>
      <x:c r="K210" s="52" t="str">
        <x:v>model_release</x:v>
      </x:c>
      <x:c r="L210" s="52" t="str">
        <x:v>active</x:v>
      </x:c>
      <x:c r="M210" s="63" t="str">
        <x:v>Released GPT-5.2, the newest flagship model in the GPT-5 model family.</x:v>
      </x:c>
      <x:c r="N210" s="63" t="str">
        <x:v>API 推出 GPT‑5.2</x:v>
      </x:c>
      <x:c r="O210" s="63" t="str">
        <x:v>Released GPT-5.2 , the newest flagship model in the GPT-5 model family. GPT-5.2 shows improvements over the previous GPT-5.1 in: General intelligence Instruction following Accuracy and token efficiency Multimodality—especially vision Code generation—especially front-end UI creation Tool calling and context management in the API Spreadsheet understanding and creation. What's new in 5.2 is a new xhigh reasoning effort level, concise re…</x:v>
      </x:c>
      <x:c r="P210" s="63" t="str">
        <x:v>API 推出 GPT‑5.2。OpenAI 將此列為 2025-12-11 的功能；重點涉及代理與工具調用，模型、端點與參數名稱依官方英文保留。</x:v>
      </x:c>
      <x:c r="Q210" s="60" t="n">
        <x:v>4</x:v>
      </x:c>
      <x:c r="R210" s="60" t="str">
        <x:v>major</x:v>
      </x:c>
      <x:c r="S210" s="60" t="n">
        <x:v>3044</x:v>
      </x:c>
      <x:c r="T210" s="60" t="n">
        <x:v>355</x:v>
      </x:c>
      <x:c r="U210" s="52" t="str">
        <x:v>OpenAI API Changelog</x:v>
      </x:c>
      <x:c r="V210" s="52" t="str">
        <x:v>https://developers.openai.com/api/docs/changelog</x:v>
      </x:c>
      <x:c r="W210" s="52" t="str">
        <x:v>official_changelog</x:v>
      </x:c>
      <x:c r="X210" s="52" t="str">
        <x:v>complete</x:v>
      </x:c>
      <x:c r="Y210" s="52" t="str">
        <x:v>high</x:v>
      </x:c>
      <x:c r="Z210" s="52" t="str">
        <x:v>models_reasoning | model_release | Model Platform | api | feature | models</x:v>
      </x:c>
      <x:c r="AA210" s="52" t="n">
        <x:v>1</x:v>
      </x:c>
      <x:c r="AB210" s="53" t="b">
        <x:v>0</x:v>
      </x:c>
    </x:row>
    <x:row r="211" ht="42" customHeight="1">
      <x:c r="A211" s="57" t="n">
        <x:v>46002</x:v>
      </x:c>
      <x:c r="B211" s="52" t="str">
        <x:v>evt-20251211-voice-on-macos-desktop-app-is-retiring-effective-january-1</x:v>
      </x:c>
      <x:c r="C211" s="60" t="n">
        <x:v>2025</x:v>
      </x:c>
      <x:c r="D211" s="52" t="str">
        <x:v>Q4</x:v>
      </x:c>
      <x:c r="E211" s="52" t="str">
        <x:v>Unified Intelligence</x:v>
      </x:c>
      <x:c r="F211" s="52" t="str">
        <x:v>multimodal</x:v>
      </x:c>
      <x:c r="G211" s="52" t="str">
        <x:v>Multimodal Coast</x:v>
      </x:c>
      <x:c r="H211" s="52" t="n">
        <x:v>4</x:v>
      </x:c>
      <x:c r="I211" s="52" t="str">
        <x:v>~</x:v>
      </x:c>
      <x:c r="J211" s="52" t="str">
        <x:v>ChatGPT Voice</x:v>
      </x:c>
      <x:c r="K211" s="52" t="str">
        <x:v>deprecation</x:v>
      </x:c>
      <x:c r="L211" s="52" t="str">
        <x:v>deprecated</x:v>
      </x:c>
      <x:c r="M211" s="63" t="str">
        <x:v>Voice on macOS desktop app is retiring (effective January 15, 2026)</x:v>
      </x:c>
      <x:c r="N211" s="63" t="str">
        <x:v>macOS 桌面版 ChatGPT 的語音功能即將停用（自 2026 年 1 月 15 日起生效）</x:v>
      </x:c>
      <x:c r="O211" s="63" t="str">
        <x:v>We’re retiring the Voice experience in the ChatGPT macOS app on January 15, 2026. This change allows us to focus on more unified and improved voice experiences across our apps. Voice will continue to be available on chatgpt.com, iOS, Android, and Windows app. No other ChatGPT features on macOS are affected.</x:v>
      </x:c>
      <x:c r="P211" s="63" t="str">
        <x:v>我們將於 2026 年 1 月 15 日停用 ChatGPT macOS 應用程式中的語音體驗。此舉旨在讓我們更專注於提升各應用程式中語音體驗的一致性與品質。語音功能將持續於 chatgpt.com、iOS、Android 和 Windows 應用程式中提供。其他 macOS 版 ChatGPT 功能不受影響。</x:v>
      </x:c>
      <x:c r="Q211" s="60" t="n">
        <x:v>4</x:v>
      </x:c>
      <x:c r="R211" s="60" t="str">
        <x:v>major</x:v>
      </x:c>
      <x:c r="S211" s="60" t="n">
        <x:v>3044</x:v>
      </x:c>
      <x:c r="T211" s="60" t="n">
        <x:v>743</x:v>
      </x:c>
      <x:c r="U211" s="52" t="str">
        <x:v>ChatGPT — Release Notes</x:v>
      </x:c>
      <x:c r="V211" s="52" t="str">
        <x:v>https://help.openai.com/en/articles/6825453-chatgpt-release-notes</x:v>
      </x:c>
      <x:c r="W211" s="52" t="str">
        <x:v>help_center_release_notes</x:v>
      </x:c>
      <x:c r="X211" s="52" t="str">
        <x:v>complete</x:v>
      </x:c>
      <x:c r="Y211" s="52" t="str">
        <x:v>high</x:v>
      </x:c>
      <x:c r="Z211" s="52" t="str">
        <x:v>multimodal | deprecation | ChatGPT Voice | 2025 | chatgpt-voice</x:v>
      </x:c>
      <x:c r="AA211" s="52" t="n">
        <x:v>1</x:v>
      </x:c>
      <x:c r="AB211" s="53" t="b">
        <x:v>0</x:v>
      </x:c>
    </x:row>
    <x:row r="212" ht="42" customHeight="1">
      <x:c r="A212" s="57" t="n">
        <x:v>46002</x:v>
      </x:c>
      <x:c r="B212" s="52" t="str">
        <x:v>evt-20251211-released-client-side-compaction</x:v>
      </x:c>
      <x:c r="C212" s="60" t="n">
        <x:v>2025</x:v>
      </x:c>
      <x:c r="D212" s="52" t="str">
        <x:v>Q4</x:v>
      </x:c>
      <x:c r="E212" s="52" t="str">
        <x:v>Unified Intelligence</x:v>
      </x:c>
      <x:c r="F212" s="52" t="str">
        <x:v>developer_platform</x:v>
      </x:c>
      <x:c r="G212" s="52" t="str">
        <x:v>Toolsmith Harbor</x:v>
      </x:c>
      <x:c r="H212" s="52" t="n">
        <x:v>3</x:v>
      </x:c>
      <x:c r="I212" s="52" t="str">
        <x:v>#</x:v>
      </x:c>
      <x:c r="J212" s="52" t="str">
        <x:v>Responses API</x:v>
      </x:c>
      <x:c r="K212" s="52" t="str">
        <x:v>launch</x:v>
      </x:c>
      <x:c r="L212" s="52" t="str">
        <x:v>active</x:v>
      </x:c>
      <x:c r="M212" s="63" t="str">
        <x:v>Released client-side compaction.</x:v>
      </x:c>
      <x:c r="N212" s="63" t="str">
        <x:v>發布client-side compaction.</x:v>
      </x:c>
      <x:c r="O212" s="63" t="str">
        <x:v>v1/responses/compact Released client-side compaction. For long-running conversations with the Responses API, you can use the /responses/compact endpoint to shrink the context you send with each turn.</x:v>
      </x:c>
      <x:c r="P212" s="63" t="str">
        <x:v>OpenAI 於 2025-12-11 為 Responses API 推出新產品或能力；此節點依官方發布記錄整理，完整能力、適用方案與限制請見來源。</x:v>
      </x:c>
      <x:c r="Q212" s="60" t="n">
        <x:v>4</x:v>
      </x:c>
      <x:c r="R212" s="60" t="str">
        <x:v>major</x:v>
      </x:c>
      <x:c r="S212" s="60" t="n">
        <x:v>3044</x:v>
      </x:c>
      <x:c r="T212" s="60" t="n">
        <x:v>578</x:v>
      </x:c>
      <x:c r="U212" s="52" t="str">
        <x:v>OpenAI API Changelog</x:v>
      </x:c>
      <x:c r="V212" s="52" t="str">
        <x:v>https://platform.openai.com/docs/changelog</x:v>
      </x:c>
      <x:c r="W212" s="52" t="str">
        <x:v>developer_changelog</x:v>
      </x:c>
      <x:c r="X212" s="52" t="str">
        <x:v>parsed</x:v>
      </x:c>
      <x:c r="Y212" s="52" t="str">
        <x:v>high</x:v>
      </x:c>
      <x:c r="Z212" s="52" t="str">
        <x:v>developer_platform | launch | Responses API</x:v>
      </x:c>
      <x:c r="AA212" s="52" t="n">
        <x:v>1</x:v>
      </x:c>
      <x:c r="AB212" s="53" t="b">
        <x:v>0</x:v>
      </x:c>
    </x:row>
    <x:row r="213" ht="42" customHeight="1">
      <x:c r="A213" s="57" t="n">
        <x:v>46006</x:v>
      </x:c>
      <x:c r="B213" s="52" t="str">
        <x:v>evt-20251215-released-four-new-dated-audio-snapshots</x:v>
      </x:c>
      <x:c r="C213" s="60" t="n">
        <x:v>2025</x:v>
      </x:c>
      <x:c r="D213" s="52" t="str">
        <x:v>Q4</x:v>
      </x:c>
      <x:c r="E213" s="52" t="str">
        <x:v>Unified Intelligence</x:v>
      </x:c>
      <x:c r="F213" s="52" t="str">
        <x:v>multimodal</x:v>
      </x:c>
      <x:c r="G213" s="52" t="str">
        <x:v>Multimodal Coast</x:v>
      </x:c>
      <x:c r="H213" s="52" t="n">
        <x:v>4</x:v>
      </x:c>
      <x:c r="I213" s="52" t="str">
        <x:v>~</x:v>
      </x:c>
      <x:c r="J213" s="52" t="str">
        <x:v>Realtime &amp; Audio API</x:v>
      </x:c>
      <x:c r="K213" s="52" t="str">
        <x:v>model_release</x:v>
      </x:c>
      <x:c r="L213" s="52" t="str">
        <x:v>active</x:v>
      </x:c>
      <x:c r="M213" s="63" t="str">
        <x:v>Released four new dated audio snapshots.</x:v>
      </x:c>
      <x:c r="N213" s="63" t="str">
        <x:v>推出：four 全新 dated audio snapshots.</x:v>
      </x:c>
      <x:c r="O213" s="63" t="str">
        <x:v>Released four new dated audio snapshots. These updates deliver reliability, quality, and voice fidelity improvements for real-time, voice-driven applications. Read more here . gpt-realtime-mini-2025-12-15 gpt-audio-mini-2025-12-15 gpt-4o-mini-transcribe-2025-12-15 gpt-4o-mini-tts-2025-12-15 This launch also includes support for Custom voices for eligible customers.</x:v>
      </x:c>
      <x:c r="P213" s="63" t="str">
        <x:v>推出：four 全新 dated audio snapshots。OpenAI 將此列為 2025-12-15 的功能；重點涉及即時語音與音訊、可靠性與效能修正，模型、端點與參數名稱依官方英文保留。</x:v>
      </x:c>
      <x:c r="Q213" s="60" t="n">
        <x:v>4</x:v>
      </x:c>
      <x:c r="R213" s="60" t="str">
        <x:v>major</x:v>
      </x:c>
      <x:c r="S213" s="60" t="n">
        <x:v>3054</x:v>
      </x:c>
      <x:c r="T213" s="60" t="n">
        <x:v>755</x:v>
      </x:c>
      <x:c r="U213" s="52" t="str">
        <x:v>OpenAI API Changelog</x:v>
      </x:c>
      <x:c r="V213" s="52" t="str">
        <x:v>https://developers.openai.com/api/docs/changelog</x:v>
      </x:c>
      <x:c r="W213" s="52" t="str">
        <x:v>official_changelog</x:v>
      </x:c>
      <x:c r="X213" s="52" t="str">
        <x:v>complete</x:v>
      </x:c>
      <x:c r="Y213" s="52" t="str">
        <x:v>high</x:v>
      </x:c>
      <x:c r="Z213" s="52" t="str">
        <x:v>multimodal | model_release | Realtime &amp; Audio API | audio | feature | realtime</x:v>
      </x:c>
      <x:c r="AA213" s="52" t="n">
        <x:v>1</x:v>
      </x:c>
      <x:c r="AB213" s="53" t="b">
        <x:v>0</x:v>
      </x:c>
    </x:row>
    <x:row r="214" ht="42" customHeight="1">
      <x:c r="A214" s="57" t="n">
        <x:v>46006</x:v>
      </x:c>
      <x:c r="B214" s="52" t="str">
        <x:v>evt-20251215-gpt-4o-mini-transcribe</x:v>
      </x:c>
      <x:c r="C214" s="60" t="n">
        <x:v>2025</x:v>
      </x:c>
      <x:c r="D214" s="52" t="str">
        <x:v>Q4</x:v>
      </x:c>
      <x:c r="E214" s="52" t="str">
        <x:v>Unified Intelligence</x:v>
      </x:c>
      <x:c r="F214" s="52" t="str">
        <x:v>multimodal</x:v>
      </x:c>
      <x:c r="G214" s="52" t="str">
        <x:v>Multimodal Coast</x:v>
      </x:c>
      <x:c r="H214" s="52" t="n">
        <x:v>4</x:v>
      </x:c>
      <x:c r="I214" s="52" t="str">
        <x:v>~</x:v>
      </x:c>
      <x:c r="J214" s="52" t="str">
        <x:v>GPT-4o</x:v>
      </x:c>
      <x:c r="K214" s="52" t="str">
        <x:v>model_release</x:v>
      </x:c>
      <x:c r="L214" s="52" t="str">
        <x:v>active</x:v>
      </x:c>
      <x:c r="M214" s="63" t="str">
        <x:v>gpt-4o-mini-transcribe</x:v>
      </x:c>
      <x:c r="N214" s="63" t="str">
        <x:v>模型發布：gpt-4o-mini-transcribe</x:v>
      </x:c>
      <x:c r="O214" s="63" t="str">
        <x:v>gpt-4o-mini-transcribe Released four new dated audio snapshots. These updates deliver reliability, quality, and voice fidelity improvements for real-time, voice-driven applications. Read more here.</x:v>
      </x:c>
      <x:c r="P214" s="63" t="str">
        <x:v>OpenAI 於 2025-12-15 為 GPT-4o 發布模型；此節點依官方發布記錄整理，完整能力、適用方案與限制請見來源。</x:v>
      </x:c>
      <x:c r="Q214" s="60" t="n">
        <x:v>4</x:v>
      </x:c>
      <x:c r="R214" s="60" t="str">
        <x:v>major</x:v>
      </x:c>
      <x:c r="S214" s="60" t="n">
        <x:v>3054</x:v>
      </x:c>
      <x:c r="T214" s="60" t="n">
        <x:v>799</x:v>
      </x:c>
      <x:c r="U214" s="52" t="str">
        <x:v>OpenAI API Changelog</x:v>
      </x:c>
      <x:c r="V214" s="52" t="str">
        <x:v>https://platform.openai.com/docs/changelog</x:v>
      </x:c>
      <x:c r="W214" s="52" t="str">
        <x:v>developer_changelog</x:v>
      </x:c>
      <x:c r="X214" s="52" t="str">
        <x:v>parsed</x:v>
      </x:c>
      <x:c r="Y214" s="52" t="str">
        <x:v>high</x:v>
      </x:c>
      <x:c r="Z214" s="52" t="str">
        <x:v>multimodal | model_release | GPT-4o</x:v>
      </x:c>
      <x:c r="AA214" s="52" t="n">
        <x:v>1</x:v>
      </x:c>
      <x:c r="AB214" s="53" t="b">
        <x:v>0</x:v>
      </x:c>
    </x:row>
    <x:row r="215" ht="42" customHeight="1">
      <x:c r="A215" s="57" t="n">
        <x:v>46007</x:v>
      </x:c>
      <x:c r="B215" s="52" t="str">
        <x:v>evt-20251216-chatgpt-images-on-web-and-mobile-ios-android</x:v>
      </x:c>
      <x:c r="C215" s="60" t="n">
        <x:v>2025</x:v>
      </x:c>
      <x:c r="D215" s="52" t="str">
        <x:v>Q4</x:v>
      </x:c>
      <x:c r="E215" s="52" t="str">
        <x:v>Unified Intelligence</x:v>
      </x:c>
      <x:c r="F215" s="52" t="str">
        <x:v>clients_surfaces</x:v>
      </x:c>
      <x:c r="G215" s="52" t="str">
        <x:v>Client Archipelago</x:v>
      </x:c>
      <x:c r="H215" s="52" t="n">
        <x:v>8</x:v>
      </x:c>
      <x:c r="I215" s="52" t="str">
        <x:v>+</x:v>
      </x:c>
      <x:c r="J215" s="52" t="str">
        <x:v>ChatGPT Images</x:v>
      </x:c>
      <x:c r="K215" s="52" t="str">
        <x:v>launch</x:v>
      </x:c>
      <x:c r="L215" s="52" t="str">
        <x:v>active</x:v>
      </x:c>
      <x:c r="M215" s="63" t="str">
        <x:v>ChatGPT Images on Web and Mobile (iOS &amp; Android)</x:v>
      </x:c>
      <x:c r="N215" s="63" t="str">
        <x:v>推出：ChatGPT Images</x:v>
      </x:c>
      <x:c r="O215" s="63" t="str">
        <x:v>We’ve introduced a new and improved version of ChatGPT Images, powered by our best image generation model yet. With ChatGPT Images, precise instruction following and editing makes AI image creation not just more fun, but meaningfully more useful—from everyday edits to creative transformations. All images you create with ChatGPT are automatically saved under My images at https://chatgpt.com/images, giving you a single place to browse,…</x:v>
      </x:c>
      <x:c r="P215" s="63" t="str">
        <x:v>我們推出新版 ChatGPT 影像功能，由我們目前最強大的影像生成模型驅動。透過 ChatGPT Images，精確的指令遵循與編輯能力使 AI 影像創作不僅更有趣，且實用性顯著提升——從日常編輯到創意轉換皆適用。</x:v>
      </x:c>
      <x:c r="Q215" s="60" t="n">
        <x:v>4</x:v>
      </x:c>
      <x:c r="R215" s="60" t="str">
        <x:v>major</x:v>
      </x:c>
      <x:c r="S215" s="60" t="n">
        <x:v>3057</x:v>
      </x:c>
      <x:c r="T215" s="60" t="n">
        <x:v>1360</x:v>
      </x:c>
      <x:c r="U215" s="52" t="str">
        <x:v>ChatGPT — Release Notes</x:v>
      </x:c>
      <x:c r="V215" s="52" t="str">
        <x:v>https://help.openai.com/en/articles/6825453-chatgpt-release-notes</x:v>
      </x:c>
      <x:c r="W215" s="52" t="str">
        <x:v>help_center_release_notes</x:v>
      </x:c>
      <x:c r="X215" s="52" t="str">
        <x:v>complete</x:v>
      </x:c>
      <x:c r="Y215" s="52" t="str">
        <x:v>high</x:v>
      </x:c>
      <x:c r="Z215" s="52" t="str">
        <x:v>clients_surfaces | launch | ChatGPT Images | 2025 | chatgpt-images | feature | multimodal</x:v>
      </x:c>
      <x:c r="AA215" s="52" t="n">
        <x:v>1</x:v>
      </x:c>
      <x:c r="AB215" s="53" t="b">
        <x:v>0</x:v>
      </x:c>
    </x:row>
    <x:row r="216" ht="42" customHeight="1">
      <x:c r="A216" s="57" t="n">
        <x:v>46009</x:v>
      </x:c>
      <x:c r="B216" s="52" t="str">
        <x:v>evt-20251218-introducing-gpt-5-2-codex</x:v>
      </x:c>
      <x:c r="C216" s="60" t="n">
        <x:v>2025</x:v>
      </x:c>
      <x:c r="D216" s="52" t="str">
        <x:v>Q4</x:v>
      </x:c>
      <x:c r="E216" s="52" t="str">
        <x:v>Unified Intelligence</x:v>
      </x:c>
      <x:c r="F216" s="52" t="str">
        <x:v>agents_research</x:v>
      </x:c>
      <x:c r="G216" s="52" t="str">
        <x:v>Agentic Frontier</x:v>
      </x:c>
      <x:c r="H216" s="52" t="n">
        <x:v>2</x:v>
      </x:c>
      <x:c r="I216" s="52" t="str">
        <x:v>&gt;</x:v>
      </x:c>
      <x:c r="J216" s="52" t="str">
        <x:v>GPT-5.2</x:v>
      </x:c>
      <x:c r="K216" s="52" t="str">
        <x:v>launch</x:v>
      </x:c>
      <x:c r="L216" s="52" t="str">
        <x:v>active</x:v>
      </x:c>
      <x:c r="M216" s="63" t="str">
        <x:v>Introducing GPT-5.2-Codex</x:v>
      </x:c>
      <x:c r="N216" s="63" t="str">
        <x:v>推出 GPT-5.2-Codex</x:v>
      </x:c>
      <x:c r="O216" s="63" t="str">
        <x:v>Today we are releasing GPT-5.2-Codex , the most advanced agentic coding model yet for complex, real-world software engineering. GPT-5.2-Codex is a version of GPT-5.2 further optimized for agentic coding in Codex, including improvements on long-horizon work through context compaction, stronger performance on large code changes like refactors and migrations, improved performance in Windows environments, and significantly stronger cyber…</x:v>
      </x:c>
      <x:c r="P216" s="63" t="str">
        <x:v>OpenAI 已在付費 Codex 介面中推出 GPT-5.2-Codex，具備更強大的長視角軟體工程、上下文壓縮、Windows 效能、視覺及網路安全能力。</x:v>
      </x:c>
      <x:c r="Q216" s="60" t="n">
        <x:v>5</x:v>
      </x:c>
      <x:c r="R216" s="60" t="str">
        <x:v>landmark</x:v>
      </x:c>
      <x:c r="S216" s="60" t="n">
        <x:v>3062</x:v>
      </x:c>
      <x:c r="T216" s="60" t="n">
        <x:v>473</x:v>
      </x:c>
      <x:c r="U216" s="52" t="str">
        <x:v>Codex Changelog</x:v>
      </x:c>
      <x:c r="V216" s="52" t="str">
        <x:v>https://developers.openai.com/codex/changelog/</x:v>
      </x:c>
      <x:c r="W216" s="52" t="str">
        <x:v>developer_changelog</x:v>
      </x:c>
      <x:c r="X216" s="52" t="str">
        <x:v>corroborated</x:v>
      </x:c>
      <x:c r="Y216" s="52" t="str">
        <x:v>high</x:v>
      </x:c>
      <x:c r="Z216" s="52" t="str">
        <x:v>agents_research | launch | GPT-5.2 | codex | release-notes</x:v>
      </x:c>
      <x:c r="AA216" s="52" t="n">
        <x:v>2</x:v>
      </x:c>
      <x:c r="AB216" s="53" t="b">
        <x:v>1</x:v>
      </x:c>
    </x:row>
    <x:row r="217" ht="42" customHeight="1">
      <x:c r="A217" s="57" t="n">
        <x:v>46009</x:v>
      </x:c>
      <x:c r="B217" s="52" t="str">
        <x:v>evt-20251218-app-directory-in-chatgpt-with-enterprise-controls</x:v>
      </x:c>
      <x:c r="C217" s="60" t="n">
        <x:v>2025</x:v>
      </x:c>
      <x:c r="D217" s="52" t="str">
        <x:v>Q4</x:v>
      </x:c>
      <x:c r="E217" s="52" t="str">
        <x:v>Unified Intelligence</x:v>
      </x:c>
      <x:c r="F217" s="52" t="str">
        <x:v>developer_platform</x:v>
      </x:c>
      <x:c r="G217" s="52" t="str">
        <x:v>Toolsmith Harbor</x:v>
      </x:c>
      <x:c r="H217" s="52" t="n">
        <x:v>3</x:v>
      </x:c>
      <x:c r="I217" s="52" t="str">
        <x:v>#</x:v>
      </x:c>
      <x:c r="J217" s="52" t="str">
        <x:v>ChatGPT Apps</x:v>
      </x:c>
      <x:c r="K217" s="52" t="str">
        <x:v>launch</x:v>
      </x:c>
      <x:c r="L217" s="52" t="str">
        <x:v>active</x:v>
      </x:c>
      <x:c r="M217" s="63" t="str">
        <x:v>App directory in ChatGPT with enterprise controls</x:v>
      </x:c>
      <x:c r="N217" s="63" t="str">
        <x:v>ChatGPT App 目錄與企業控制</x:v>
      </x:c>
      <x:c r="O217" s="63" t="str">
        <x:v>ChatGPT added an app directory and renamed connectors as apps; Enterprise and Edu admins received RBAC and action controls, while developers could submit Apps SDK apps for review.</x:v>
      </x:c>
      <x:c r="P217" s="63" t="str">
        <x:v>ChatGPT 新增 App 目錄並將 connectors 統整為 apps；Enterprise/Edu 管理員可用 RBAC 與動作控制，開發者可提交 Apps SDK App 審核。</x:v>
      </x:c>
      <x:c r="Q217" s="60" t="n">
        <x:v>5</x:v>
      </x:c>
      <x:c r="R217" s="60" t="str">
        <x:v>landmark</x:v>
      </x:c>
      <x:c r="S217" s="60" t="n">
        <x:v>3062</x:v>
      </x:c>
      <x:c r="T217" s="60" t="n">
        <x:v>580</x:v>
      </x:c>
      <x:c r="U217" s="52" t="str">
        <x:v>ChatGPT Enterprise &amp; Edu — Release Notes</x:v>
      </x:c>
      <x:c r="V217" s="52" t="str">
        <x:v>https://help.openai.com/en/articles/10128477-chatgpt-enterprise-edu-release-notes</x:v>
      </x:c>
      <x:c r="W217" s="52" t="str">
        <x:v>help_center_release_notes</x:v>
      </x:c>
      <x:c r="X217" s="52" t="str">
        <x:v>parsed</x:v>
      </x:c>
      <x:c r="Y217" s="52" t="str">
        <x:v>high</x:v>
      </x:c>
      <x:c r="Z217" s="52" t="str">
        <x:v>developer_platform | launch | ChatGPT Apps | apps | apps-sdk | enterprise</x:v>
      </x:c>
      <x:c r="AA217" s="52" t="n">
        <x:v>1</x:v>
      </x:c>
      <x:c r="AB217" s="53" t="b">
        <x:v>0</x:v>
      </x:c>
    </x:row>
    <x:row r="218" ht="42" customHeight="1">
      <x:c r="A218" s="57" t="n">
        <x:v>46009</x:v>
      </x:c>
      <x:c r="B218" s="52" t="str">
        <x:v>evt-20251218-introducing-the-app-directory-in-chatgpt</x:v>
      </x:c>
      <x:c r="C218" s="60" t="n">
        <x:v>2025</x:v>
      </x:c>
      <x:c r="D218" s="52" t="str">
        <x:v>Q4</x:v>
      </x:c>
      <x:c r="E218" s="52" t="str">
        <x:v>Unified Intelligence</x:v>
      </x:c>
      <x:c r="F218" s="52" t="str">
        <x:v>developer_platform</x:v>
      </x:c>
      <x:c r="G218" s="52" t="str">
        <x:v>Toolsmith Harbor</x:v>
      </x:c>
      <x:c r="H218" s="52" t="n">
        <x:v>3</x:v>
      </x:c>
      <x:c r="I218" s="52" t="str">
        <x:v>#</x:v>
      </x:c>
      <x:c r="J218" s="52" t="str">
        <x:v>Apps &amp; Connectors</x:v>
      </x:c>
      <x:c r="K218" s="52" t="str">
        <x:v>launch</x:v>
      </x:c>
      <x:c r="L218" s="52" t="str">
        <x:v>active</x:v>
      </x:c>
      <x:c r="M218" s="63" t="str">
        <x:v>Introducing the app directory in ChatGPT</x:v>
      </x:c>
      <x:c r="N218" s="63" t="str">
        <x:v>推出 ChatGPT 應用程式目錄</x:v>
      </x:c>
      <x:c r="O218" s="63" t="str">
        <x:v>You can now browse and add approved apps in the new app directory. Apps let you work with your tools and data directly inside a conversation—from interactive in-chat experiences to secure connections that allow ChatGPT to search and reference information from third-party services. As part of this update, connectors now appear in the directory as apps, making it easier to manage all your tools in one place. References across the Help…</x:v>
      </x:c>
      <x:c r="P218" s="63" t="str">
        <x:v>您現在可在全新的應用程式目錄中瀏覽並新增經核准的應用程式。這些應用程式讓您能直接在對話中使用工具與資料——從互動式對話體驗，到允許 ChatGPT 搜尋並參照第三方服務資訊的安全連線皆包含在內。</x:v>
      </x:c>
      <x:c r="Q218" s="60" t="n">
        <x:v>4</x:v>
      </x:c>
      <x:c r="R218" s="60" t="str">
        <x:v>major</x:v>
      </x:c>
      <x:c r="S218" s="60" t="n">
        <x:v>3062</x:v>
      </x:c>
      <x:c r="T218" s="60" t="n">
        <x:v>598</x:v>
      </x:c>
      <x:c r="U218" s="52" t="str">
        <x:v>ChatGPT — Release Notes</x:v>
      </x:c>
      <x:c r="V218" s="52" t="str">
        <x:v>https://help.openai.com/en/articles/6825453-chatgpt-release-notes</x:v>
      </x:c>
      <x:c r="W218" s="52" t="str">
        <x:v>help_center_release_notes</x:v>
      </x:c>
      <x:c r="X218" s="52" t="str">
        <x:v>complete</x:v>
      </x:c>
      <x:c r="Y218" s="52" t="str">
        <x:v>high</x:v>
      </x:c>
      <x:c r="Z218" s="52" t="str">
        <x:v>developer_platform | launch | Apps &amp; Connectors | 2025 | apps-connectors | developer-platform</x:v>
      </x:c>
      <x:c r="AA218" s="52" t="n">
        <x:v>1</x:v>
      </x:c>
      <x:c r="AB218" s="53" t="b">
        <x:v>0</x:v>
      </x:c>
    </x:row>
    <x:row r="219" ht="42" customHeight="1">
      <x:c r="A219" s="57" t="n">
        <x:v>46009</x:v>
      </x:c>
      <x:c r="B219" s="52" t="str">
        <x:v>evt-20251218-pinned-chats-in-chatgpt</x:v>
      </x:c>
      <x:c r="C219" s="60" t="n">
        <x:v>2025</x:v>
      </x:c>
      <x:c r="D219" s="52" t="str">
        <x:v>Q4</x:v>
      </x:c>
      <x:c r="E219" s="52" t="str">
        <x:v>Unified Intelligence</x:v>
      </x:c>
      <x:c r="F219" s="52" t="str">
        <x:v>chatgpt_core</x:v>
      </x:c>
      <x:c r="G219" s="52" t="str">
        <x:v>Origin Plaza</x:v>
      </x:c>
      <x:c r="H219" s="52" t="n">
        <x:v>0</x:v>
      </x:c>
      <x:c r="I219" s="52" t="str">
        <x:v>@</x:v>
      </x:c>
      <x:c r="J219" s="52" t="str">
        <x:v>ChatGPT Atlas</x:v>
      </x:c>
      <x:c r="K219" s="52" t="str">
        <x:v>feature</x:v>
      </x:c>
      <x:c r="L219" s="52" t="str">
        <x:v>active</x:v>
      </x:c>
      <x:c r="M219" s="63" t="str">
        <x:v>Pinned chats in ChatGPT</x:v>
      </x:c>
      <x:c r="N219" s="63" t="str">
        <x:v>ChatGPT 聊天釘選功能</x:v>
      </x:c>
      <x:c r="O219" s="63" t="str">
        <x:v>You can now pin chats to the top of your list for quick access to important conversations. Pinned chats are available on iOS, Android, Web, and Atlas. On web, hover over a chat in the left-hand sidebar, click ⋯, and select Pin chat. On mobile, long-press a chat and select Pin chat.</x:v>
      </x:c>
      <x:c r="P219" s="63" t="str">
        <x:v>您現在可將對話釘選至清單頂端，以便快速存取重要對話。聊天釘選功能適用於 iOS、Android、網頁版及 Atlas。在網頁版上，將滑鼠懸停於左側邊欄的對話，點擊 ⋯，然後選擇「釘選聊天」。在行動裝置上，長按對話並選擇「釘選聊天」。</x:v>
      </x:c>
      <x:c r="Q219" s="60" t="n">
        <x:v>4</x:v>
      </x:c>
      <x:c r="R219" s="60" t="str">
        <x:v>major</x:v>
      </x:c>
      <x:c r="S219" s="60" t="n">
        <x:v>3062</x:v>
      </x:c>
      <x:c r="T219" s="60" t="n">
        <x:v>208</x:v>
      </x:c>
      <x:c r="U219" s="52" t="str">
        <x:v>ChatGPT — Release Notes</x:v>
      </x:c>
      <x:c r="V219" s="52" t="str">
        <x:v>https://help.openai.com/en/articles/6825453-chatgpt-release-notes</x:v>
      </x:c>
      <x:c r="W219" s="52" t="str">
        <x:v>help_center_release_notes</x:v>
      </x:c>
      <x:c r="X219" s="52" t="str">
        <x:v>complete</x:v>
      </x:c>
      <x:c r="Y219" s="52" t="str">
        <x:v>high</x:v>
      </x:c>
      <x:c r="Z219" s="52" t="str">
        <x:v>chatgpt_core | feature | ChatGPT Atlas | 2025 | chatgpt | chatgpt-core</x:v>
      </x:c>
      <x:c r="AA219" s="52" t="n">
        <x:v>1</x:v>
      </x:c>
      <x:c r="AB219" s="53" t="b">
        <x:v>0</x:v>
      </x:c>
    </x:row>
    <x:row r="220" ht="42" customHeight="1">
      <x:c r="A220" s="57" t="n">
        <x:v>46029</x:v>
      </x:c>
      <x:c r="B220" s="52" t="str">
        <x:v>evt-20260107-health-in-chatgpt</x:v>
      </x:c>
      <x:c r="C220" s="60" t="n">
        <x:v>2026</x:v>
      </x:c>
      <x:c r="D220" s="52" t="str">
        <x:v>Q1</x:v>
      </x:c>
      <x:c r="E220" s="52" t="str">
        <x:v>Unified Intelligence</x:v>
      </x:c>
      <x:c r="F220" s="52" t="str">
        <x:v>enterprise_vertical</x:v>
      </x:c>
      <x:c r="G220" s="52" t="str">
        <x:v>Enterprise Citadel</x:v>
      </x:c>
      <x:c r="H220" s="52" t="n">
        <x:v>7</x:v>
      </x:c>
      <x:c r="I220" s="52" t="str">
        <x:v>H</x:v>
      </x:c>
      <x:c r="J220" s="52" t="str">
        <x:v>ChatGPT Health</x:v>
      </x:c>
      <x:c r="K220" s="52" t="str">
        <x:v>launch</x:v>
      </x:c>
      <x:c r="L220" s="52" t="str">
        <x:v>active</x:v>
      </x:c>
      <x:c r="M220" s="63" t="str">
        <x:v>Health in ChatGPT</x:v>
      </x:c>
      <x:c r="N220" s="63" t="str">
        <x:v>ChatGPT 健康功能</x:v>
      </x:c>
      <x:c r="O220" s="63" t="str">
        <x:v>We’re starting to roll out Health, a dedicated space in ChatGPT for health and wellness conversations. You can securely connect medical records, Apple Health and supported wellness apps so answers can be grounded in your own data. Health is designed to help you navigate medical care, not replace it. Health conversations, memory, and files are kept separate from the rest of ChatGPT and are not used to train our foundation models. Heal…</x:v>
      </x:c>
      <x:c r="P220" s="63" t="str">
        <x:v>我們開始推出「健康」功能，這是 ChatGPT 中專為健康與保健對話設計的空間。您可以安全地連結醫療記錄、Apple Health 及受支援的保健應用程式，讓 AI 回覆能基於您的個人資料。此功能旨在協助您了解醫療護理，而非取代醫療服務。</x:v>
      </x:c>
      <x:c r="Q220" s="60" t="n">
        <x:v>5</x:v>
      </x:c>
      <x:c r="R220" s="60" t="str">
        <x:v>landmark</x:v>
      </x:c>
      <x:c r="S220" s="60" t="n">
        <x:v>3113</x:v>
      </x:c>
      <x:c r="T220" s="60" t="n">
        <x:v>1218</x:v>
      </x:c>
      <x:c r="U220" s="52" t="str">
        <x:v>ChatGPT — Release Notes</x:v>
      </x:c>
      <x:c r="V220" s="52" t="str">
        <x:v>https://help.openai.com/en/articles/6825453-chatgpt-release-notes</x:v>
      </x:c>
      <x:c r="W220" s="52" t="str">
        <x:v>help_center_release_notes</x:v>
      </x:c>
      <x:c r="X220" s="52" t="str">
        <x:v>complete</x:v>
      </x:c>
      <x:c r="Y220" s="52" t="str">
        <x:v>high</x:v>
      </x:c>
      <x:c r="Z220" s="52" t="str">
        <x:v>enterprise_vertical | launch | ChatGPT Health | 2026 | chatgpt-health | enterprise-vertical</x:v>
      </x:c>
      <x:c r="AA220" s="52" t="n">
        <x:v>1</x:v>
      </x:c>
      <x:c r="AB220" s="53" t="b">
        <x:v>0</x:v>
      </x:c>
    </x:row>
    <x:row r="221" ht="42" customHeight="1">
      <x:c r="A221" s="57" t="n">
        <x:v>46036</x:v>
      </x:c>
      <x:c r="B221" s="52" t="str">
        <x:v>evt-20260114-released-gpt-5-2-codex-to-the-responses-api</x:v>
      </x:c>
      <x:c r="C221" s="60" t="n">
        <x:v>2026</x:v>
      </x:c>
      <x:c r="D221" s="52" t="str">
        <x:v>Q1</x:v>
      </x:c>
      <x:c r="E221" s="52" t="str">
        <x:v>Unified Intelligence</x:v>
      </x:c>
      <x:c r="F221" s="52" t="str">
        <x:v>agents_research</x:v>
      </x:c>
      <x:c r="G221" s="52" t="str">
        <x:v>Agentic Frontier</x:v>
      </x:c>
      <x:c r="H221" s="52" t="n">
        <x:v>2</x:v>
      </x:c>
      <x:c r="I221" s="52" t="str">
        <x:v>&gt;</x:v>
      </x:c>
      <x:c r="J221" s="52" t="str">
        <x:v>Codex</x:v>
      </x:c>
      <x:c r="K221" s="52" t="str">
        <x:v>model_release</x:v>
      </x:c>
      <x:c r="L221" s="52" t="str">
        <x:v>active</x:v>
      </x:c>
      <x:c r="M221" s="63" t="str">
        <x:v>Released gpt-5.2-codex to the Responses API.</x:v>
      </x:c>
      <x:c r="N221" s="63" t="str">
        <x:v>API 推出 GPT‑5.2</x:v>
      </x:c>
      <x:c r="O221" s="63" t="str">
        <x:v>Released gpt-5.2-codex to the Responses API. GPT-5.2-Codex is a version of GPT-5.2 optimized for agentic coding tasks in Codex or similar environments. Read more here .</x:v>
      </x:c>
      <x:c r="P221" s="63" t="str">
        <x:v>API 推出 GPT‑5.2。OpenAI 將此列為 2026-01-14 的功能；重點涉及Codex 編碼代理、代理與工具調用，模型、端點與參數名稱依官方英文保留。</x:v>
      </x:c>
      <x:c r="Q221" s="60" t="n">
        <x:v>4</x:v>
      </x:c>
      <x:c r="R221" s="60" t="str">
        <x:v>major</x:v>
      </x:c>
      <x:c r="S221" s="60" t="n">
        <x:v>3131</x:v>
      </x:c>
      <x:c r="T221" s="60" t="n">
        <x:v>456</x:v>
      </x:c>
      <x:c r="U221" s="52" t="str">
        <x:v>OpenAI API Changelog</x:v>
      </x:c>
      <x:c r="V221" s="52" t="str">
        <x:v>https://developers.openai.com/api/docs/changelog</x:v>
      </x:c>
      <x:c r="W221" s="52" t="str">
        <x:v>official_changelog</x:v>
      </x:c>
      <x:c r="X221" s="52" t="str">
        <x:v>corroborated</x:v>
      </x:c>
      <x:c r="Y221" s="52" t="str">
        <x:v>high</x:v>
      </x:c>
      <x:c r="Z221" s="52" t="str">
        <x:v>agents_research | model_release | Codex | codex | coding-agent | feature</x:v>
      </x:c>
      <x:c r="AA221" s="52" t="n">
        <x:v>3</x:v>
      </x:c>
      <x:c r="AB221" s="53" t="b">
        <x:v>1</x:v>
      </x:c>
    </x:row>
    <x:row r="222" ht="42" customHeight="1">
      <x:c r="A222" s="57" t="n">
        <x:v>46037</x:v>
      </x:c>
      <x:c r="B222" s="52" t="str">
        <x:v>evt-20260115-improved-memory-for-finding-details-from-past-chats-plus-p</x:v>
      </x:c>
      <x:c r="C222" s="60" t="n">
        <x:v>2026</x:v>
      </x:c>
      <x:c r="D222" s="52" t="str">
        <x:v>Q1</x:v>
      </x:c>
      <x:c r="E222" s="52" t="str">
        <x:v>Unified Intelligence</x:v>
      </x:c>
      <x:c r="F222" s="52" t="str">
        <x:v>memory_knowledge</x:v>
      </x:c>
      <x:c r="G222" s="52" t="str">
        <x:v>Memory Forest</x:v>
      </x:c>
      <x:c r="H222" s="52" t="n">
        <x:v>5</x:v>
      </x:c>
      <x:c r="I222" s="52" t="str">
        <x:v>&amp;</x:v>
      </x:c>
      <x:c r="J222" s="52" t="str">
        <x:v>ChatGPT Memory</x:v>
      </x:c>
      <x:c r="K222" s="52" t="str">
        <x:v>feature</x:v>
      </x:c>
      <x:c r="L222" s="52" t="str">
        <x:v>active</x:v>
      </x:c>
      <x:c r="M222" s="63" t="str">
        <x:v>Improved memory for finding details from past chats (Plus &amp; Pro)</x:v>
      </x:c>
      <x:c r="N222" s="63" t="str">
        <x:v>改進對過去對話細節的查找記憶功能 (Plus 與 Pro)</x:v>
      </x:c>
      <x:c r="O222" s="63" t="str">
        <x:v>When reference chat history is enabled, ChatGPT can now more reliably find specific details from your past chats when you ask. Any past chat used to answer your question now appears as a source so you can open and review the original context. This memory improvement is now available for Plus and Pro users globally.</x:v>
      </x:c>
      <x:c r="P222" s="63" t="str">
        <x:v>當啟用參考對話記錄時，ChatGPT 現在能更可靠地在您詢問時找到過去對話中的具體細節。任何用於回答您問題的過去對話現在都會作為來源顯示，以便您開啟並查看原始上下文。這項記憶改進功能現已向全球 Plus 和 Pro 用戶開放。</x:v>
      </x:c>
      <x:c r="Q222" s="60" t="n">
        <x:v>4</x:v>
      </x:c>
      <x:c r="R222" s="60" t="str">
        <x:v>major</x:v>
      </x:c>
      <x:c r="S222" s="60" t="n">
        <x:v>3134</x:v>
      </x:c>
      <x:c r="T222" s="60" t="n">
        <x:v>882</x:v>
      </x:c>
      <x:c r="U222" s="52" t="str">
        <x:v>ChatGPT — Release Notes</x:v>
      </x:c>
      <x:c r="V222" s="52" t="str">
        <x:v>https://help.openai.com/en/articles/6825453-chatgpt-release-notes</x:v>
      </x:c>
      <x:c r="W222" s="52" t="str">
        <x:v>help_center_release_notes</x:v>
      </x:c>
      <x:c r="X222" s="52" t="str">
        <x:v>complete</x:v>
      </x:c>
      <x:c r="Y222" s="52" t="str">
        <x:v>high</x:v>
      </x:c>
      <x:c r="Z222" s="52" t="str">
        <x:v>memory_knowledge | feature | ChatGPT Memory | 2026 | memory | memory-knowledge</x:v>
      </x:c>
      <x:c r="AA222" s="52" t="n">
        <x:v>1</x:v>
      </x:c>
      <x:c r="AB222" s="53" t="b">
        <x:v>0</x:v>
      </x:c>
    </x:row>
    <x:row r="223" ht="42" customHeight="1">
      <x:c r="A223" s="57" t="n">
        <x:v>46042</x:v>
      </x:c>
      <x:c r="B223" s="52" t="str">
        <x:v>evt-20260120-voice-updates</x:v>
      </x:c>
      <x:c r="C223" s="60" t="n">
        <x:v>2026</x:v>
      </x:c>
      <x:c r="D223" s="52" t="str">
        <x:v>Q1</x:v>
      </x:c>
      <x:c r="E223" s="52" t="str">
        <x:v>Unified Intelligence</x:v>
      </x:c>
      <x:c r="F223" s="52" t="str">
        <x:v>multimodal</x:v>
      </x:c>
      <x:c r="G223" s="52" t="str">
        <x:v>Multimodal Coast</x:v>
      </x:c>
      <x:c r="H223" s="52" t="n">
        <x:v>4</x:v>
      </x:c>
      <x:c r="I223" s="52" t="str">
        <x:v>~</x:v>
      </x:c>
      <x:c r="J223" s="52" t="str">
        <x:v>ChatGPT Voice</x:v>
      </x:c>
      <x:c r="K223" s="52" t="str">
        <x:v>feature</x:v>
      </x:c>
      <x:c r="L223" s="52" t="str">
        <x:v>active</x:v>
      </x:c>
      <x:c r="M223" s="63" t="str">
        <x:v>Voice Updates</x:v>
      </x:c>
      <x:c r="N223" s="63" t="str">
        <x:v>語音功能更新</x:v>
      </x:c>
      <x:c r="O223" s="63" t="str">
        <x:v>We’re making an update to ChatGPT Voice for paid users that improves its ability to follow user instructions, as well as fixes a bug where Voice can sometimes repeat back custom instructions.</x:v>
      </x:c>
      <x:c r="P223" s="63" t="str">
        <x:v>OpenAI 於 2026-01-20 為 ChatGPT Voice 更新模型或體驗；此節點依官方發布記錄整理，完整能力、適用方案與限制請見來源。</x:v>
      </x:c>
      <x:c r="Q223" s="60" t="n">
        <x:v>4</x:v>
      </x:c>
      <x:c r="R223" s="60" t="str">
        <x:v>major</x:v>
      </x:c>
      <x:c r="S223" s="60" t="n">
        <x:v>3146</x:v>
      </x:c>
      <x:c r="T223" s="60" t="n">
        <x:v>798</x:v>
      </x:c>
      <x:c r="U223" s="52" t="str">
        <x:v>ChatGPT — Release Notes</x:v>
      </x:c>
      <x:c r="V223" s="52" t="str">
        <x:v>https://help.openai.com/en/articles/6825453-chatgpt-release-notes</x:v>
      </x:c>
      <x:c r="W223" s="52" t="str">
        <x:v>help_center_release_notes</x:v>
      </x:c>
      <x:c r="X223" s="52" t="str">
        <x:v>complete</x:v>
      </x:c>
      <x:c r="Y223" s="52" t="str">
        <x:v>high</x:v>
      </x:c>
      <x:c r="Z223" s="52" t="str">
        <x:v>multimodal | feature | ChatGPT Voice | 2026 | chatgpt-voice</x:v>
      </x:c>
      <x:c r="AA223" s="52" t="n">
        <x:v>1</x:v>
      </x:c>
      <x:c r="AB223" s="53" t="b">
        <x:v>0</x:v>
      </x:c>
    </x:row>
    <x:row r="224" ht="42" customHeight="1">
      <x:c r="A224" s="57" t="n">
        <x:v>46048</x:v>
      </x:c>
      <x:c r="B224" s="52" t="str">
        <x:v>evt-20260126-improvements-to-search-response-quality-in-voice</x:v>
      </x:c>
      <x:c r="C224" s="60" t="n">
        <x:v>2026</x:v>
      </x:c>
      <x:c r="D224" s="52" t="str">
        <x:v>Q1</x:v>
      </x:c>
      <x:c r="E224" s="52" t="str">
        <x:v>Unified Intelligence</x:v>
      </x:c>
      <x:c r="F224" s="52" t="str">
        <x:v>multimodal</x:v>
      </x:c>
      <x:c r="G224" s="52" t="str">
        <x:v>Multimodal Coast</x:v>
      </x:c>
      <x:c r="H224" s="52" t="n">
        <x:v>4</x:v>
      </x:c>
      <x:c r="I224" s="52" t="str">
        <x:v>~</x:v>
      </x:c>
      <x:c r="J224" s="52" t="str">
        <x:v>ChatGPT Voice</x:v>
      </x:c>
      <x:c r="K224" s="52" t="str">
        <x:v>feature</x:v>
      </x:c>
      <x:c r="L224" s="52" t="str">
        <x:v>active</x:v>
      </x:c>
      <x:c r="M224" s="63" t="str">
        <x:v>Improvements to search response quality in Voice</x:v>
      </x:c>
      <x:c r="N224" s="63" t="str">
        <x:v>改進語音功能的搜尋回應品質</x:v>
      </x:c>
      <x:c r="O224" s="63" t="str">
        <x:v>We’ve improved search responses in ChatGPT Voice to deliver more complete, up-to-date answers, including better access to shopping results.</x:v>
      </x:c>
      <x:c r="P224" s="63" t="str">
        <x:v>OpenAI 於 2026-01-26 為 ChatGPT Voice 更新模型或體驗；此節點依官方發布記錄整理，完整能力、適用方案與限制請見來源。</x:v>
      </x:c>
      <x:c r="Q224" s="60" t="n">
        <x:v>4</x:v>
      </x:c>
      <x:c r="R224" s="60" t="str">
        <x:v>major</x:v>
      </x:c>
      <x:c r="S224" s="60" t="n">
        <x:v>3162</x:v>
      </x:c>
      <x:c r="T224" s="60" t="n">
        <x:v>725</x:v>
      </x:c>
      <x:c r="U224" s="52" t="str">
        <x:v>ChatGPT — Release Notes</x:v>
      </x:c>
      <x:c r="V224" s="52" t="str">
        <x:v>https://help.openai.com/en/articles/6825453-chatgpt-release-notes</x:v>
      </x:c>
      <x:c r="W224" s="52" t="str">
        <x:v>help_center_release_notes</x:v>
      </x:c>
      <x:c r="X224" s="52" t="str">
        <x:v>complete</x:v>
      </x:c>
      <x:c r="Y224" s="52" t="str">
        <x:v>high</x:v>
      </x:c>
      <x:c r="Z224" s="52" t="str">
        <x:v>multimodal | feature | ChatGPT Voice | 2026 | chatgpt-voice</x:v>
      </x:c>
      <x:c r="AA224" s="52" t="n">
        <x:v>1</x:v>
      </x:c>
      <x:c r="AB224" s="53" t="b">
        <x:v>0</x:v>
      </x:c>
    </x:row>
    <x:row r="225" ht="42" customHeight="1">
      <x:c r="A225" s="57" t="n">
        <x:v>46051</x:v>
      </x:c>
      <x:c r="B225" s="52" t="str">
        <x:v>evt-20260129-retiring-gpt-4o-and-other-legacy-models</x:v>
      </x:c>
      <x:c r="C225" s="60" t="n">
        <x:v>2026</x:v>
      </x:c>
      <x:c r="D225" s="52" t="str">
        <x:v>Q1</x:v>
      </x:c>
      <x:c r="E225" s="52" t="str">
        <x:v>Unified Intelligence</x:v>
      </x:c>
      <x:c r="F225" s="52" t="str">
        <x:v>models_reasoning</x:v>
      </x:c>
      <x:c r="G225" s="52" t="str">
        <x:v>Model Mountains</x:v>
      </x:c>
      <x:c r="H225" s="52" t="n">
        <x:v>1</x:v>
      </x:c>
      <x:c r="I225" s="52" t="str">
        <x:v>^</x:v>
      </x:c>
      <x:c r="J225" s="52" t="str">
        <x:v>GPT-4o</x:v>
      </x:c>
      <x:c r="K225" s="52" t="str">
        <x:v>deprecation</x:v>
      </x:c>
      <x:c r="L225" s="52" t="str">
        <x:v>deprecated</x:v>
      </x:c>
      <x:c r="M225" s="63" t="str">
        <x:v>Retiring GPT-4o and other legacy models</x:v>
      </x:c>
      <x:c r="N225" s="63" t="str">
        <x:v>停用 GPT-4o 及其他舊版模型</x:v>
      </x:c>
      <x:c r="O225" s="63" t="str">
        <x:v>On February 13, 2026, alongside the previously announced retirement⁠ of GPT‑5 (Instant and Thinking), we will retire GPT‑4o, GPT‑4.1, GPT‑4.1 mini, and OpenAI o4-mini from ChatGPT. In the API, there are no changes at this time. For more, see our blog post or help center.</x:v>
      </x:c>
      <x:c r="P225" s="63" t="str">
        <x:v>於 2026 年 2 月 13 日，除了先前宣佈停用的 GPT‑5 (Instant 與 Thinking) 外，我們將從 ChatGPT 中停用 GPT‑4o、GPT‑4.1、GPT‑4.1 mini 以及 OpenAI o4-mini。API 目前沒有變動。欲了解更多資訊，請參閱我們的部落格文章或說明中心。</x:v>
      </x:c>
      <x:c r="Q225" s="60" t="n">
        <x:v>4</x:v>
      </x:c>
      <x:c r="R225" s="60" t="str">
        <x:v>major</x:v>
      </x:c>
      <x:c r="S225" s="60" t="n">
        <x:v>3169</x:v>
      </x:c>
      <x:c r="T225" s="60" t="n">
        <x:v>327</x:v>
      </x:c>
      <x:c r="U225" s="52" t="str">
        <x:v>ChatGPT — Release Notes</x:v>
      </x:c>
      <x:c r="V225" s="52" t="str">
        <x:v>https://help.openai.com/en/articles/6825453-chatgpt-release-notes</x:v>
      </x:c>
      <x:c r="W225" s="52" t="str">
        <x:v>help_center_release_notes</x:v>
      </x:c>
      <x:c r="X225" s="52" t="str">
        <x:v>corroborated</x:v>
      </x:c>
      <x:c r="Y225" s="52" t="str">
        <x:v>high</x:v>
      </x:c>
      <x:c r="Z225" s="52" t="str">
        <x:v>models_reasoning | deprecation | GPT-4o | 2026 | gpt-4o | models-reasoning</x:v>
      </x:c>
      <x:c r="AA225" s="52" t="n">
        <x:v>2</x:v>
      </x:c>
      <x:c r="AB225" s="53" t="b">
        <x:v>1</x:v>
      </x:c>
    </x:row>
    <x:row r="226" ht="42" customHeight="1">
      <x:c r="A226" s="57" t="n">
        <x:v>46052</x:v>
      </x:c>
      <x:c r="B226" s="52" t="str">
        <x:v>evt-20260130-more-visual-responses</x:v>
      </x:c>
      <x:c r="C226" s="60" t="n">
        <x:v>2026</x:v>
      </x:c>
      <x:c r="D226" s="52" t="str">
        <x:v>Q1</x:v>
      </x:c>
      <x:c r="E226" s="52" t="str">
        <x:v>Unified Intelligence</x:v>
      </x:c>
      <x:c r="F226" s="52" t="str">
        <x:v>multimodal</x:v>
      </x:c>
      <x:c r="G226" s="52" t="str">
        <x:v>Multimodal Coast</x:v>
      </x:c>
      <x:c r="H226" s="52" t="n">
        <x:v>4</x:v>
      </x:c>
      <x:c r="I226" s="52" t="str">
        <x:v>~</x:v>
      </x:c>
      <x:c r="J226" s="52" t="str">
        <x:v>ChatGPT Business</x:v>
      </x:c>
      <x:c r="K226" s="52" t="str">
        <x:v>feature</x:v>
      </x:c>
      <x:c r="L226" s="52" t="str">
        <x:v>active</x:v>
      </x:c>
      <x:c r="M226" s="63" t="str">
        <x:v>More visual responses</x:v>
      </x:c>
      <x:c r="N226" s="63" t="str">
        <x:v>更直觀的視覺化回應</x:v>
      </x:c>
      <x:c r="O226" s="63" t="str">
        <x:v>Responses in ChatGPT are now more visual and easier to scan. For everyday questions, responses may include at-a-glance visuals—like checking your team’s latest stats, converting units, or doing a quick calculation. Answers now also highlight important people, places, products, and ideas. You can tap any highlight to open a side panel with key facts and trusted sources, making it easy to understand the context without asking follow-up…</x:v>
      </x:c>
      <x:c r="P226" s="63" t="str">
        <x:v>ChatGPT 的回應現在更具視覺效果且更易於快速瀏覽。針對日常問題，回應可能包含一目了然的視覺內容，例如查看您團隊的最新數據、單位換算或進行快速計算。回答內容現在也會突顯重要的人事物、地點、產品與概念。</x:v>
      </x:c>
      <x:c r="Q226" s="60" t="n">
        <x:v>4</x:v>
      </x:c>
      <x:c r="R226" s="60" t="str">
        <x:v>major</x:v>
      </x:c>
      <x:c r="S226" s="60" t="n">
        <x:v>3172</x:v>
      </x:c>
      <x:c r="T226" s="60" t="n">
        <x:v>780</x:v>
      </x:c>
      <x:c r="U226" s="52" t="str">
        <x:v>ChatGPT — Release Notes</x:v>
      </x:c>
      <x:c r="V226" s="52" t="str">
        <x:v>https://help.openai.com/en/articles/6825453-chatgpt-release-notes</x:v>
      </x:c>
      <x:c r="W226" s="52" t="str">
        <x:v>help_center_release_notes</x:v>
      </x:c>
      <x:c r="X226" s="52" t="str">
        <x:v>complete</x:v>
      </x:c>
      <x:c r="Y226" s="52" t="str">
        <x:v>high</x:v>
      </x:c>
      <x:c r="Z226" s="52" t="str">
        <x:v>multimodal | feature | ChatGPT Business | 2026 | chatgpt-images</x:v>
      </x:c>
      <x:c r="AA226" s="52" t="n">
        <x:v>1</x:v>
      </x:c>
      <x:c r="AB226" s="53" t="b">
        <x:v>0</x:v>
      </x:c>
    </x:row>
    <x:row r="227" ht="42" customHeight="1">
      <x:c r="A227" s="57" t="n">
        <x:v>46055</x:v>
      </x:c>
      <x:c r="B227" s="52" t="str">
        <x:v>evt-20260202-introducing-the-codex-app</x:v>
      </x:c>
      <x:c r="C227" s="60" t="n">
        <x:v>2026</x:v>
      </x:c>
      <x:c r="D227" s="52" t="str">
        <x:v>Q1</x:v>
      </x:c>
      <x:c r="E227" s="52" t="str">
        <x:v>Unified Intelligence</x:v>
      </x:c>
      <x:c r="F227" s="52" t="str">
        <x:v>agents_research</x:v>
      </x:c>
      <x:c r="G227" s="52" t="str">
        <x:v>Agentic Frontier</x:v>
      </x:c>
      <x:c r="H227" s="52" t="n">
        <x:v>2</x:v>
      </x:c>
      <x:c r="I227" s="52" t="str">
        <x:v>&gt;</x:v>
      </x:c>
      <x:c r="J227" s="52" t="str">
        <x:v>Codex</x:v>
      </x:c>
      <x:c r="K227" s="52" t="str">
        <x:v>launch</x:v>
      </x:c>
      <x:c r="L227" s="52" t="str">
        <x:v>active</x:v>
      </x:c>
      <x:c r="M227" s="63" t="str">
        <x:v>Introducing the Codex app</x:v>
      </x:c>
      <x:c r="N227" s="63" t="str">
        <x:v>推出 Codex 應用程式</x:v>
      </x:c>
      <x:c r="O227" s="63" t="str">
        <x:v>Today we’re releasing the Codex app for MacOS, a command center for managing multiple coding agents in parallel. The app lets you run long‑horizon and background tasks, review clean diffs from isolated worktrees, see agent progress and decisions, and execute reusable skills and automations. Available with ChatGPT plans that include Codex, with a limited‑time promo: Free and Go can try Codex with included limits, while Plus, and Pro u…</x:v>
      </x:c>
      <x:c r="P227" s="63" t="str">
        <x:v>今天我們推出適用於 MacOS 的 Codex 應用程式，這是一個用於並行管理多個程式開發代理的指揮中心。該應用程式讓您能夠執行長週期與後台任務、檢視隔離工作樹中清晰的差異、查看代理的進度與決策，並執行可重複使用的技能與自動化流程。</x:v>
      </x:c>
      <x:c r="Q227" s="60" t="n">
        <x:v>5</x:v>
      </x:c>
      <x:c r="R227" s="60" t="str">
        <x:v>landmark</x:v>
      </x:c>
      <x:c r="S227" s="60" t="n">
        <x:v>3179</x:v>
      </x:c>
      <x:c r="T227" s="60" t="n">
        <x:v>437</x:v>
      </x:c>
      <x:c r="U227" s="52" t="str">
        <x:v>ChatGPT — Release Notes</x:v>
      </x:c>
      <x:c r="V227" s="52" t="str">
        <x:v>https://help.openai.com/en/articles/6825453-chatgpt-release-notes</x:v>
      </x:c>
      <x:c r="W227" s="52" t="str">
        <x:v>help_center_release_notes</x:v>
      </x:c>
      <x:c r="X227" s="52" t="str">
        <x:v>corroborated</x:v>
      </x:c>
      <x:c r="Y227" s="52" t="str">
        <x:v>high</x:v>
      </x:c>
      <x:c r="Z227" s="52" t="str">
        <x:v>agents_research | launch | Codex | 2026 | agents-research | codex</x:v>
      </x:c>
      <x:c r="AA227" s="52" t="n">
        <x:v>2</x:v>
      </x:c>
      <x:c r="AB227" s="53" t="b">
        <x:v>1</x:v>
      </x:c>
    </x:row>
    <x:row r="228" ht="42" customHeight="1">
      <x:c r="A228" s="57" t="n">
        <x:v>46057</x:v>
      </x:c>
      <x:c r="B228" s="52" t="str">
        <x:v>evt-20260204-update-on-thinking-time-settings-for-gpt-5-2-thinking-in-c</x:v>
      </x:c>
      <x:c r="C228" s="60" t="n">
        <x:v>2026</x:v>
      </x:c>
      <x:c r="D228" s="52" t="str">
        <x:v>Q1</x:v>
      </x:c>
      <x:c r="E228" s="52" t="str">
        <x:v>Unified Intelligence</x:v>
      </x:c>
      <x:c r="F228" s="52" t="str">
        <x:v>models_reasoning</x:v>
      </x:c>
      <x:c r="G228" s="52" t="str">
        <x:v>Model Mountains</x:v>
      </x:c>
      <x:c r="H228" s="52" t="n">
        <x:v>1</x:v>
      </x:c>
      <x:c r="I228" s="52" t="str">
        <x:v>^</x:v>
      </x:c>
      <x:c r="J228" s="52" t="str">
        <x:v>GPT-5.2</x:v>
      </x:c>
      <x:c r="K228" s="52" t="str">
        <x:v>model_release</x:v>
      </x:c>
      <x:c r="L228" s="52" t="str">
        <x:v>active</x:v>
      </x:c>
      <x:c r="M228" s="63" t="str">
        <x:v>Update on thinking time settings for GPT-5.2 Thinking in ChatGPT</x:v>
      </x:c>
      <x:c r="N228" s="63" t="str">
        <x:v>更新 ChatGPT 中 GPT-5.2 Thinking 的思考時間設定</x:v>
      </x:c>
      <x:c r="O228" s="63" t="str">
        <x:v>Jan 10, 2026: We lowered the Standard and Light thinking time as we observed users prefer faster responses. As part of this update, the Extended thinking setting for GPT-5.2 was unintentionally changed to be lower which we have now fixed. February 3, 2026: We made another small reduction to Standard thinking time based on testing. February 4, 2026: We’re restoring the Extended thinking level for GPT-5.2 Thinking to its prior setting,…</x:v>
      </x:c>
      <x:c r="P228" s="63" t="str">
        <x:v>2026 年 1 月 10 日：我們降低了「標準」與「輕量」思考時間，因為我們觀察到用戶偏好更快速的回應。作為此更新的一部分，GPT-5.2 的「延長」思考設定被無意間調低，我們現已修正。2026 年 2 月 3 日：根據測試，我們再次小幅縮減了「標準」思考時間。</x:v>
      </x:c>
      <x:c r="Q228" s="60" t="n">
        <x:v>5</x:v>
      </x:c>
      <x:c r="R228" s="60" t="str">
        <x:v>landmark</x:v>
      </x:c>
      <x:c r="S228" s="60" t="n">
        <x:v>3185</x:v>
      </x:c>
      <x:c r="T228" s="60" t="n">
        <x:v>313</x:v>
      </x:c>
      <x:c r="U228" s="52" t="str">
        <x:v>ChatGPT — Release Notes</x:v>
      </x:c>
      <x:c r="V228" s="52" t="str">
        <x:v>https://help.openai.com/en/articles/6825453-chatgpt-release-notes</x:v>
      </x:c>
      <x:c r="W228" s="52" t="str">
        <x:v>help_center_release_notes</x:v>
      </x:c>
      <x:c r="X228" s="52" t="str">
        <x:v>corroborated</x:v>
      </x:c>
      <x:c r="Y228" s="52" t="str">
        <x:v>high</x:v>
      </x:c>
      <x:c r="Z228" s="52" t="str">
        <x:v>models_reasoning | model_release | GPT-5.2 | 2026 | gpt-5.2 | models-reasoning</x:v>
      </x:c>
      <x:c r="AA228" s="52" t="n">
        <x:v>2</x:v>
      </x:c>
      <x:c r="AB228" s="53" t="b">
        <x:v>1</x:v>
      </x:c>
    </x:row>
    <x:row r="229" ht="42" customHeight="1">
      <x:c r="A229" s="57" t="n">
        <x:v>46058</x:v>
      </x:c>
      <x:c r="B229" s="52" t="str">
        <x:v>evt-20260205-introducing-gpt-5-3-codex</x:v>
      </x:c>
      <x:c r="C229" s="60" t="n">
        <x:v>2026</x:v>
      </x:c>
      <x:c r="D229" s="52" t="str">
        <x:v>Q1</x:v>
      </x:c>
      <x:c r="E229" s="52" t="str">
        <x:v>Unified Intelligence</x:v>
      </x:c>
      <x:c r="F229" s="52" t="str">
        <x:v>models_reasoning</x:v>
      </x:c>
      <x:c r="G229" s="52" t="str">
        <x:v>Model Mountains</x:v>
      </x:c>
      <x:c r="H229" s="52" t="n">
        <x:v>1</x:v>
      </x:c>
      <x:c r="I229" s="52" t="str">
        <x:v>^</x:v>
      </x:c>
      <x:c r="J229" s="52" t="str">
        <x:v>GPT-5.3-Codex</x:v>
      </x:c>
      <x:c r="K229" s="52" t="str">
        <x:v>model_release</x:v>
      </x:c>
      <x:c r="L229" s="52" t="str">
        <x:v>active</x:v>
      </x:c>
      <x:c r="M229" s="63" t="str">
        <x:v>Introducing GPT-5.3-Codex</x:v>
      </x:c>
      <x:c r="N229" s="63" t="str">
        <x:v>推出GPT-5.3-Codex</x:v>
      </x:c>
      <x:c r="O229" s="63" t="str">
        <x:v>Today, we launched GPT-5.3-Codex, our most capable agentic coding model yet. This model is the first that combines Codex + GPT-5 training stacks -- bringing together best-in-class code generation, reasoning, and general-purpose intelligence in one unified model. It’s ~25% faster,sets new highs on key benchmarks, and marks a step-change from code generation to a general-purpose coding agent you can actively steer while it works. Read…</x:v>
      </x:c>
      <x:c r="P229" s="63" t="str">
        <x:v>OpenAI 於 2026-02-05 為 GPT-5.3-Codex 發布模型；此節點依官方發布記錄整理，完整能力、適用方案與限制請見來源。</x:v>
      </x:c>
      <x:c r="Q229" s="60" t="n">
        <x:v>4</x:v>
      </x:c>
      <x:c r="R229" s="60" t="str">
        <x:v>major</x:v>
      </x:c>
      <x:c r="S229" s="60" t="n">
        <x:v>3187</x:v>
      </x:c>
      <x:c r="T229" s="60" t="n">
        <x:v>290</x:v>
      </x:c>
      <x:c r="U229" s="52" t="str">
        <x:v>Model Release Notes</x:v>
      </x:c>
      <x:c r="V229" s="52" t="str">
        <x:v>https://help.openai.com/en/articles/9624314-model-release-notes</x:v>
      </x:c>
      <x:c r="W229" s="52" t="str">
        <x:v>help_center_release_notes</x:v>
      </x:c>
      <x:c r="X229" s="52" t="str">
        <x:v>parsed</x:v>
      </x:c>
      <x:c r="Y229" s="52" t="str">
        <x:v>high</x:v>
      </x:c>
      <x:c r="Z229" s="52" t="str">
        <x:v>models_reasoning | model_release | GPT-5.3-Codex</x:v>
      </x:c>
      <x:c r="AA229" s="52" t="n">
        <x:v>1</x:v>
      </x:c>
      <x:c r="AB229" s="53" t="b">
        <x:v>0</x:v>
      </x:c>
    </x:row>
    <x:row r="230" ht="42" customHeight="1">
      <x:c r="A230" s="57" t="n">
        <x:v>46062</x:v>
      </x:c>
      <x:c r="B230" s="52" t="str">
        <x:v>evt-20260209-gpt-5-3-codex-in-cursor-and-vs-code</x:v>
      </x:c>
      <x:c r="C230" s="60" t="n">
        <x:v>2026</x:v>
      </x:c>
      <x:c r="D230" s="52" t="str">
        <x:v>Q1</x:v>
      </x:c>
      <x:c r="E230" s="52" t="str">
        <x:v>Unified Intelligence</x:v>
      </x:c>
      <x:c r="F230" s="52" t="str">
        <x:v>agents_research</x:v>
      </x:c>
      <x:c r="G230" s="52" t="str">
        <x:v>Agentic Frontier</x:v>
      </x:c>
      <x:c r="H230" s="52" t="n">
        <x:v>2</x:v>
      </x:c>
      <x:c r="I230" s="52" t="str">
        <x:v>&gt;</x:v>
      </x:c>
      <x:c r="J230" s="52" t="str">
        <x:v>GPT-5.3-Codex</x:v>
      </x:c>
      <x:c r="K230" s="52" t="str">
        <x:v>model_release</x:v>
      </x:c>
      <x:c r="L230" s="52" t="str">
        <x:v>active</x:v>
      </x:c>
      <x:c r="M230" s="63" t="str">
        <x:v>GPT-5.3-Codex in Cursor and VS Code</x:v>
      </x:c>
      <x:c r="N230" s="63" t="str">
        <x:v>模型發布：Codex</x:v>
      </x:c>
      <x:c r="O230" s="63" t="str">
        <x:v>Starting today, GPT-5.3-Codex is available natively in Cursor and VS Code. API access is starting with a small set of customers as part of a phased release. This is the first model treated as a high security capability under the Preparedness Framework. Safety controls will continue to scale, and API access will expand over the next few weeks.</x:v>
      </x:c>
      <x:c r="P230" s="63" t="str">
        <x:v>OpenAI 於 2026-02-09 為 GPT-5.3-Codex 發布模型；此節點依官方發布記錄整理，完整能力、適用方案與限制請見來源。</x:v>
      </x:c>
      <x:c r="Q230" s="60" t="n">
        <x:v>4</x:v>
      </x:c>
      <x:c r="R230" s="60" t="str">
        <x:v>major</x:v>
      </x:c>
      <x:c r="S230" s="60" t="n">
        <x:v>3197</x:v>
      </x:c>
      <x:c r="T230" s="60" t="n">
        <x:v>442</x:v>
      </x:c>
      <x:c r="U230" s="52" t="str">
        <x:v>Codex Changelog</x:v>
      </x:c>
      <x:c r="V230" s="52" t="str">
        <x:v>https://developers.openai.com/codex/changelog/</x:v>
      </x:c>
      <x:c r="W230" s="52" t="str">
        <x:v>developer_changelog</x:v>
      </x:c>
      <x:c r="X230" s="52" t="str">
        <x:v>complete</x:v>
      </x:c>
      <x:c r="Y230" s="52" t="str">
        <x:v>high</x:v>
      </x:c>
      <x:c r="Z230" s="52" t="str">
        <x:v>agents_research | model_release | GPT-5.3-Codex | codex | release-notes</x:v>
      </x:c>
      <x:c r="AA230" s="52" t="n">
        <x:v>1</x:v>
      </x:c>
      <x:c r="AB230" s="53" t="b">
        <x:v>0</x:v>
      </x:c>
    </x:row>
    <x:row r="231" ht="42" customHeight="1">
      <x:c r="A231" s="57" t="n">
        <x:v>46062</x:v>
      </x:c>
      <x:c r="B231" s="52" t="str">
        <x:v>evt-20260209-testing-ads-in-chatgpt-free-go</x:v>
      </x:c>
      <x:c r="C231" s="60" t="n">
        <x:v>2026</x:v>
      </x:c>
      <x:c r="D231" s="52" t="str">
        <x:v>Q1</x:v>
      </x:c>
      <x:c r="E231" s="52" t="str">
        <x:v>Unified Intelligence</x:v>
      </x:c>
      <x:c r="F231" s="52" t="str">
        <x:v>search_commerce</x:v>
      </x:c>
      <x:c r="G231" s="52" t="str">
        <x:v>Commerce Bazaar</x:v>
      </x:c>
      <x:c r="H231" s="52" t="n">
        <x:v>6</x:v>
      </x:c>
      <x:c r="I231" s="52" t="str">
        <x:v>$</x:v>
      </x:c>
      <x:c r="J231" s="52" t="str">
        <x:v>ChatGPT Enterprise &amp; Edu</x:v>
      </x:c>
      <x:c r="K231" s="52" t="str">
        <x:v>feature</x:v>
      </x:c>
      <x:c r="L231" s="52" t="str">
        <x:v>active</x:v>
      </x:c>
      <x:c r="M231" s="63" t="str">
        <x:v>Testing ads in ChatGPT (Free, Go)</x:v>
      </x:c>
      <x:c r="N231" s="63" t="str">
        <x:v>在 ChatGPT (Free, Go) 測試廣告</x:v>
      </x:c>
      <x:c r="O231" s="63" t="str">
        <x:v>We’re beginning to roll out a test for ads in ChatGPT in the U.S. for logged-in adults on the Free and Go tiers. Plus, Pro, Business, Enterprise, and Education plans do not have ads. The test will be a subset of users to start. We will expand over the coming weeks as we learn from this test. ChatGPT’s answers are generated independently from advertising. Answers are optimized based on what’s most helpful to you. When you see an ad, t…</x:v>
      </x:c>
      <x:c r="P231" s="63" t="str">
        <x:v>我們開始針對美國地區使用 Free 和 Go 層級且已登入的成年使用者，對 ChatGPT 廣告進行測試。Plus、Business、Enterprise 和 Education 方案則不含廣告。測試初期將針對部分使用者開放。隨著測試進展，我們將在未來幾週內擴大測試範圍。ChatGPT 的答案生成與廣告內容無關。…</x:v>
      </x:c>
      <x:c r="Q231" s="60" t="n">
        <x:v>4</x:v>
      </x:c>
      <x:c r="R231" s="60" t="str">
        <x:v>major</x:v>
      </x:c>
      <x:c r="S231" s="60" t="n">
        <x:v>3197</x:v>
      </x:c>
      <x:c r="T231" s="60" t="n">
        <x:v>1060</x:v>
      </x:c>
      <x:c r="U231" s="52" t="str">
        <x:v>ChatGPT — Release Notes</x:v>
      </x:c>
      <x:c r="V231" s="52" t="str">
        <x:v>https://help.openai.com/en/articles/6825453-chatgpt-release-notes</x:v>
      </x:c>
      <x:c r="W231" s="52" t="str">
        <x:v>help_center_release_notes</x:v>
      </x:c>
      <x:c r="X231" s="52" t="str">
        <x:v>complete</x:v>
      </x:c>
      <x:c r="Y231" s="52" t="str">
        <x:v>high</x:v>
      </x:c>
      <x:c r="Z231" s="52" t="str">
        <x:v>search_commerce | feature | ChatGPT Enterprise &amp; Edu | 2026 | chatgpt | search-commerce</x:v>
      </x:c>
      <x:c r="AA231" s="52" t="n">
        <x:v>1</x:v>
      </x:c>
      <x:c r="AB231" s="53" t="b">
        <x:v>0</x:v>
      </x:c>
    </x:row>
    <x:row r="232" ht="42" customHeight="1">
      <x:c r="A232" s="57" t="n">
        <x:v>46063</x:v>
      </x:c>
      <x:c r="B232" s="52" t="str">
        <x:v>evt-20260210-launched-server-side-compaction-in-the-responses-api</x:v>
      </x:c>
      <x:c r="C232" s="60" t="n">
        <x:v>2026</x:v>
      </x:c>
      <x:c r="D232" s="52" t="str">
        <x:v>Q1</x:v>
      </x:c>
      <x:c r="E232" s="52" t="str">
        <x:v>Unified Intelligence</x:v>
      </x:c>
      <x:c r="F232" s="52" t="str">
        <x:v>agents_research</x:v>
      </x:c>
      <x:c r="G232" s="52" t="str">
        <x:v>Agentic Frontier</x:v>
      </x:c>
      <x:c r="H232" s="52" t="n">
        <x:v>2</x:v>
      </x:c>
      <x:c r="I232" s="52" t="str">
        <x:v>&gt;</x:v>
      </x:c>
      <x:c r="J232" s="52" t="str">
        <x:v>Responses API</x:v>
      </x:c>
      <x:c r="K232" s="52" t="str">
        <x:v>launch</x:v>
      </x:c>
      <x:c r="L232" s="52" t="str">
        <x:v>active</x:v>
      </x:c>
      <x:c r="M232" s="63" t="str">
        <x:v>Launched server-side compaction in the Responses API.</x:v>
      </x:c>
      <x:c r="N232" s="63" t="str">
        <x:v>Responses API 推出伺服器端上下文壓縮</x:v>
      </x:c>
      <x:c r="O232" s="63" t="str">
        <x:v>Launched server-side compaction in the Responses API.</x:v>
      </x:c>
      <x:c r="P232" s="63" t="str">
        <x:v>Responses API 推出伺服器端上下文壓縮。OpenAI 將此列為 2026-02-10 的功能；重點涉及代理與工具調用，模型、端點與參數名稱依官方英文保留。</x:v>
      </x:c>
      <x:c r="Q232" s="60" t="n">
        <x:v>4</x:v>
      </x:c>
      <x:c r="R232" s="60" t="str">
        <x:v>major</x:v>
      </x:c>
      <x:c r="S232" s="60" t="n">
        <x:v>3200</x:v>
      </x:c>
      <x:c r="T232" s="60" t="n">
        <x:v>440</x:v>
      </x:c>
      <x:c r="U232" s="52" t="str">
        <x:v>OpenAI API Changelog</x:v>
      </x:c>
      <x:c r="V232" s="52" t="str">
        <x:v>https://developers.openai.com/api/docs/changelog</x:v>
      </x:c>
      <x:c r="W232" s="52" t="str">
        <x:v>official_changelog</x:v>
      </x:c>
      <x:c r="X232" s="52" t="str">
        <x:v>complete</x:v>
      </x:c>
      <x:c r="Y232" s="52" t="str">
        <x:v>high</x:v>
      </x:c>
      <x:c r="Z232" s="52" t="str">
        <x:v>agents_research | launch | Responses API | agents | feature | responses-api</x:v>
      </x:c>
      <x:c r="AA232" s="52" t="n">
        <x:v>1</x:v>
      </x:c>
      <x:c r="AB232" s="53" t="b">
        <x:v>0</x:v>
      </x:c>
    </x:row>
    <x:row r="233" ht="42" customHeight="1">
      <x:c r="A233" s="57" t="n">
        <x:v>46063</x:v>
      </x:c>
      <x:c r="B233" s="52" t="str">
        <x:v>evt-20260210-launched-support-for-skills-in-the-responses-api</x:v>
      </x:c>
      <x:c r="C233" s="60" t="n">
        <x:v>2026</x:v>
      </x:c>
      <x:c r="D233" s="52" t="str">
        <x:v>Q1</x:v>
      </x:c>
      <x:c r="E233" s="52" t="str">
        <x:v>Unified Intelligence</x:v>
      </x:c>
      <x:c r="F233" s="52" t="str">
        <x:v>developer_platform</x:v>
      </x:c>
      <x:c r="G233" s="52" t="str">
        <x:v>Toolsmith Harbor</x:v>
      </x:c>
      <x:c r="H233" s="52" t="n">
        <x:v>3</x:v>
      </x:c>
      <x:c r="I233" s="52" t="str">
        <x:v>#</x:v>
      </x:c>
      <x:c r="J233" s="52" t="str">
        <x:v>Responses API</x:v>
      </x:c>
      <x:c r="K233" s="52" t="str">
        <x:v>launch</x:v>
      </x:c>
      <x:c r="L233" s="52" t="str">
        <x:v>active</x:v>
      </x:c>
      <x:c r="M233" s="63" t="str">
        <x:v>Launched support for Skills in the Responses API.</x:v>
      </x:c>
      <x:c r="N233" s="63" t="str">
        <x:v>推出：Responses API</x:v>
      </x:c>
      <x:c r="O233" s="63" t="str">
        <x:v>Launched support for Skills in the Responses API. We support Skills across both local execution and hosted container-based execution.</x:v>
      </x:c>
      <x:c r="P233" s="63" t="str">
        <x:v>OpenAI 於 2026-02-10 為 Responses API 推出新產品或能力；此節點依官方發布記錄整理，完整能力、適用方案與限制請見來源。</x:v>
      </x:c>
      <x:c r="Q233" s="60" t="n">
        <x:v>4</x:v>
      </x:c>
      <x:c r="R233" s="60" t="str">
        <x:v>major</x:v>
      </x:c>
      <x:c r="S233" s="60" t="n">
        <x:v>3200</x:v>
      </x:c>
      <x:c r="T233" s="60" t="n">
        <x:v>594</x:v>
      </x:c>
      <x:c r="U233" s="52" t="str">
        <x:v>OpenAI API Changelog</x:v>
      </x:c>
      <x:c r="V233" s="52" t="str">
        <x:v>https://platform.openai.com/docs/changelog</x:v>
      </x:c>
      <x:c r="W233" s="52" t="str">
        <x:v>developer_changelog</x:v>
      </x:c>
      <x:c r="X233" s="52" t="str">
        <x:v>parsed</x:v>
      </x:c>
      <x:c r="Y233" s="52" t="str">
        <x:v>high</x:v>
      </x:c>
      <x:c r="Z233" s="52" t="str">
        <x:v>developer_platform | launch | Responses API</x:v>
      </x:c>
      <x:c r="AA233" s="52" t="n">
        <x:v>1</x:v>
      </x:c>
      <x:c r="AB233" s="53" t="b">
        <x:v>0</x:v>
      </x:c>
    </x:row>
    <x:row r="234" ht="42" customHeight="1">
      <x:c r="A234" s="57" t="n">
        <x:v>46063</x:v>
      </x:c>
      <x:c r="B234" s="52" t="str">
        <x:v>evt-20260210-updates-to-deep-research</x:v>
      </x:c>
      <x:c r="C234" s="60" t="n">
        <x:v>2026</x:v>
      </x:c>
      <x:c r="D234" s="52" t="str">
        <x:v>Q1</x:v>
      </x:c>
      <x:c r="E234" s="52" t="str">
        <x:v>Unified Intelligence</x:v>
      </x:c>
      <x:c r="F234" s="52" t="str">
        <x:v>agents_research</x:v>
      </x:c>
      <x:c r="G234" s="52" t="str">
        <x:v>Agentic Frontier</x:v>
      </x:c>
      <x:c r="H234" s="52" t="n">
        <x:v>2</x:v>
      </x:c>
      <x:c r="I234" s="52" t="str">
        <x:v>&gt;</x:v>
      </x:c>
      <x:c r="J234" s="52" t="str">
        <x:v>deep research</x:v>
      </x:c>
      <x:c r="K234" s="52" t="str">
        <x:v>feature</x:v>
      </x:c>
      <x:c r="L234" s="52" t="str">
        <x:v>active</x:v>
      </x:c>
      <x:c r="M234" s="63" t="str">
        <x:v>Updates to deep research</x:v>
      </x:c>
      <x:c r="N234" s="63" t="str">
        <x:v>深度研究功能更新</x:v>
      </x:c>
      <x:c r="O234" s="63" t="str">
        <x:v>We’re introducing improvements to deep research in ChatGPT to help produce more accurate, credible reports with greater control. You can now focus research on specific websites and a larger collection of connected apps as trusted sources. A redesigned sidebar entry point and fullscreen report view make it easier to start, review, and manage research in one place. Create and edit a research plan before it begins, and track progress wi…</x:v>
      </x:c>
      <x:c r="P234" s="63" t="str">
        <x:v>我們為 ChatGPT 中的深度研究功能推出各項改進，旨在協助產出更準確、可信且具備更高控制度的報告。您現在可以將研究聚焦於特定網站，並將更多已連結的應用程式作為受信任的資訊來源。…</x:v>
      </x:c>
      <x:c r="Q234" s="60" t="n">
        <x:v>4</x:v>
      </x:c>
      <x:c r="R234" s="60" t="str">
        <x:v>major</x:v>
      </x:c>
      <x:c r="S234" s="60" t="n">
        <x:v>3200</x:v>
      </x:c>
      <x:c r="T234" s="60" t="n">
        <x:v>474</x:v>
      </x:c>
      <x:c r="U234" s="52" t="str">
        <x:v>ChatGPT — Release Notes</x:v>
      </x:c>
      <x:c r="V234" s="52" t="str">
        <x:v>https://help.openai.com/en/articles/6825453-chatgpt-release-notes</x:v>
      </x:c>
      <x:c r="W234" s="52" t="str">
        <x:v>help_center_release_notes</x:v>
      </x:c>
      <x:c r="X234" s="52" t="str">
        <x:v>complete</x:v>
      </x:c>
      <x:c r="Y234" s="52" t="str">
        <x:v>high</x:v>
      </x:c>
      <x:c r="Z234" s="52" t="str">
        <x:v>agents_research | feature | deep research | 2026 | agents-research | deep-research</x:v>
      </x:c>
      <x:c r="AA234" s="52" t="n">
        <x:v>1</x:v>
      </x:c>
      <x:c r="AB234" s="53" t="b">
        <x:v>0</x:v>
      </x:c>
    </x:row>
    <x:row r="235" ht="42" customHeight="1">
      <x:c r="A235" s="57" t="n">
        <x:v>46065</x:v>
      </x:c>
      <x:c r="B235" s="52" t="str">
        <x:v>evt-20260212-introducing-gpt-5-3-codex-spark</x:v>
      </x:c>
      <x:c r="C235" s="60" t="n">
        <x:v>2026</x:v>
      </x:c>
      <x:c r="D235" s="52" t="str">
        <x:v>Q1</x:v>
      </x:c>
      <x:c r="E235" s="52" t="str">
        <x:v>Unified Intelligence</x:v>
      </x:c>
      <x:c r="F235" s="52" t="str">
        <x:v>agents_research</x:v>
      </x:c>
      <x:c r="G235" s="52" t="str">
        <x:v>Agentic Frontier</x:v>
      </x:c>
      <x:c r="H235" s="52" t="n">
        <x:v>2</x:v>
      </x:c>
      <x:c r="I235" s="52" t="str">
        <x:v>&gt;</x:v>
      </x:c>
      <x:c r="J235" s="52" t="str">
        <x:v>GPT-5.3-Codex-Spark</x:v>
      </x:c>
      <x:c r="K235" s="52" t="str">
        <x:v>launch</x:v>
      </x:c>
      <x:c r="L235" s="52" t="str">
        <x:v>active</x:v>
      </x:c>
      <x:c r="M235" s="63" t="str">
        <x:v>Introducing GPT-5.3-Codex-Spark</x:v>
      </x:c>
      <x:c r="N235" s="63" t="str">
        <x:v>推出 GPT-5.3-Codex-Spark</x:v>
      </x:c>
      <x:c r="O235" s="63" t="str">
        <x:v>Today, we’re releasing a research preview of GPT-5.3-Codex-Spark , a smaller version of GPT-5.3-Codex and our first model designed for real-time coding. Codex-Spark is optimized to feel near-instant, delivering more than 1000 tokens per second while remaining highly capable for real-world coding tasks. Codex-Spark is available in research preview for ChatGPT Pro users in the latest Codex app, CLI, and IDE extension. This release also…</x:v>
      </x:c>
      <x:c r="P235" s="63" t="str">
        <x:v>OpenAI 推出 GPT-5.3-Codex-Spark 作為 Pro 研究預覽版：這是一個較小型的即時程式碼模型，於 Cerebras 硬體上執行，速度超過每秒 1,000 個 token。</x:v>
      </x:c>
      <x:c r="Q235" s="60" t="n">
        <x:v>5</x:v>
      </x:c>
      <x:c r="R235" s="60" t="str">
        <x:v>landmark</x:v>
      </x:c>
      <x:c r="S235" s="60" t="n">
        <x:v>3205</x:v>
      </x:c>
      <x:c r="T235" s="60" t="n">
        <x:v>501</x:v>
      </x:c>
      <x:c r="U235" s="52" t="str">
        <x:v>Codex Changelog</x:v>
      </x:c>
      <x:c r="V235" s="52" t="str">
        <x:v>https://developers.openai.com/codex/changelog/</x:v>
      </x:c>
      <x:c r="W235" s="52" t="str">
        <x:v>developer_changelog</x:v>
      </x:c>
      <x:c r="X235" s="52" t="str">
        <x:v>corroborated</x:v>
      </x:c>
      <x:c r="Y235" s="52" t="str">
        <x:v>high</x:v>
      </x:c>
      <x:c r="Z235" s="52" t="str">
        <x:v>agents_research | launch | GPT-5.3-Codex-Spark | codex | release-notes</x:v>
      </x:c>
      <x:c r="AA235" s="52" t="n">
        <x:v>2</x:v>
      </x:c>
      <x:c r="AB235" s="53" t="b">
        <x:v>1</x:v>
      </x:c>
    </x:row>
    <x:row r="236" ht="42" customHeight="1">
      <x:c r="A236" s="57" t="n">
        <x:v>46065</x:v>
      </x:c>
      <x:c r="B236" s="52" t="str">
        <x:v>evt-20260212-chatgpt-voice-update</x:v>
      </x:c>
      <x:c r="C236" s="60" t="n">
        <x:v>2026</x:v>
      </x:c>
      <x:c r="D236" s="52" t="str">
        <x:v>Q1</x:v>
      </x:c>
      <x:c r="E236" s="52" t="str">
        <x:v>Unified Intelligence</x:v>
      </x:c>
      <x:c r="F236" s="52" t="str">
        <x:v>multimodal</x:v>
      </x:c>
      <x:c r="G236" s="52" t="str">
        <x:v>Multimodal Coast</x:v>
      </x:c>
      <x:c r="H236" s="52" t="n">
        <x:v>4</x:v>
      </x:c>
      <x:c r="I236" s="52" t="str">
        <x:v>~</x:v>
      </x:c>
      <x:c r="J236" s="52" t="str">
        <x:v>ChatGPT Voice</x:v>
      </x:c>
      <x:c r="K236" s="52" t="str">
        <x:v>feature</x:v>
      </x:c>
      <x:c r="L236" s="52" t="str">
        <x:v>active</x:v>
      </x:c>
      <x:c r="M236" s="63" t="str">
        <x:v>ChatGPT Voice Update</x:v>
      </x:c>
      <x:c r="N236" s="63" t="str">
        <x:v>ChatGPT Voice 更新</x:v>
      </x:c>
      <x:c r="O236" s="63" t="str">
        <x:v>We’re making an update to ChatGPT Voice that improves its ability to follow user instructions, and usage of tools like web search to provide better responses. This update applies to the version of Voice primarily used by those on the free ChatGPT plan, and by Plus users when limits are reached for the main model.</x:v>
      </x:c>
      <x:c r="P236" s="63" t="str">
        <x:v>我們對 ChatGPT Voice 進行了更新，提升其遵循使用者指令的能力，並改進對網頁搜尋等工具的使用，從而提供更優質的回應。此更新適用於主要供免費版 ChatGPT 使用者，以及在主要模型達到用量限制時供 Plus 使用者使用的 Voice 版本。</x:v>
      </x:c>
      <x:c r="Q236" s="60" t="n">
        <x:v>4</x:v>
      </x:c>
      <x:c r="R236" s="60" t="str">
        <x:v>major</x:v>
      </x:c>
      <x:c r="S236" s="60" t="n">
        <x:v>3205</x:v>
      </x:c>
      <x:c r="T236" s="60" t="n">
        <x:v>733</x:v>
      </x:c>
      <x:c r="U236" s="52" t="str">
        <x:v>ChatGPT — Release Notes</x:v>
      </x:c>
      <x:c r="V236" s="52" t="str">
        <x:v>https://help.openai.com/en/articles/6825453-chatgpt-release-notes</x:v>
      </x:c>
      <x:c r="W236" s="52" t="str">
        <x:v>help_center_release_notes</x:v>
      </x:c>
      <x:c r="X236" s="52" t="str">
        <x:v>complete</x:v>
      </x:c>
      <x:c r="Y236" s="52" t="str">
        <x:v>high</x:v>
      </x:c>
      <x:c r="Z236" s="52" t="str">
        <x:v>multimodal | feature | ChatGPT Voice | 2026 | chatgpt-voice</x:v>
      </x:c>
      <x:c r="AA236" s="52" t="n">
        <x:v>1</x:v>
      </x:c>
      <x:c r="AB236" s="53" t="b">
        <x:v>0</x:v>
      </x:c>
    </x:row>
    <x:row r="237" ht="42" customHeight="1">
      <x:c r="A237" s="57" t="n">
        <x:v>46066</x:v>
      </x:c>
      <x:c r="B237" s="52" t="str">
        <x:v>evt-20260213-retiring-gpt-4o-and-other-legacy-models</x:v>
      </x:c>
      <x:c r="C237" s="60" t="n">
        <x:v>2026</x:v>
      </x:c>
      <x:c r="D237" s="52" t="str">
        <x:v>Q1</x:v>
      </x:c>
      <x:c r="E237" s="52" t="str">
        <x:v>Unified Intelligence</x:v>
      </x:c>
      <x:c r="F237" s="52" t="str">
        <x:v>models_reasoning</x:v>
      </x:c>
      <x:c r="G237" s="52" t="str">
        <x:v>Model Mountains</x:v>
      </x:c>
      <x:c r="H237" s="52" t="n">
        <x:v>1</x:v>
      </x:c>
      <x:c r="I237" s="52" t="str">
        <x:v>^</x:v>
      </x:c>
      <x:c r="J237" s="52" t="str">
        <x:v>GPT-4o</x:v>
      </x:c>
      <x:c r="K237" s="52" t="str">
        <x:v>retirement</x:v>
      </x:c>
      <x:c r="L237" s="52" t="str">
        <x:v>retired</x:v>
      </x:c>
      <x:c r="M237" s="63" t="str">
        <x:v>Retiring GPT-4o and other legacy models</x:v>
      </x:c>
      <x:c r="N237" s="63" t="str">
        <x:v>停用 GPT-4o 與其他舊型模型</x:v>
      </x:c>
      <x:c r="O237" s="63" t="str">
        <x:v>As previously announced, we have retired GPT-4o, GPT-4.1, GPT-4.1 mini, and OpenAI o4-mini from ChatGPT. We are also retiring GPT-5 (Instant and Thinking), as previously announced. There are no API changes at this time. For details, see our blog post and Help Center.</x:v>
      </x:c>
      <x:c r="P237" s="63" t="str">
        <x:v>正如先前宣布，我們已從 ChatGPT 中停用 GPT-4o、GPT-4.1、GPT-4.1 mini 和 OpenAI o4-mini。我們也如先前宣布，停用 GPT-5 (Instant 和 Thinking)。目前 API 沒有變更。詳細資訊請參閱我們的部落格文章與說明中心。</x:v>
      </x:c>
      <x:c r="Q237" s="60" t="n">
        <x:v>4</x:v>
      </x:c>
      <x:c r="R237" s="60" t="str">
        <x:v>major</x:v>
      </x:c>
      <x:c r="S237" s="60" t="n">
        <x:v>3208</x:v>
      </x:c>
      <x:c r="T237" s="60" t="n">
        <x:v>311</x:v>
      </x:c>
      <x:c r="U237" s="52" t="str">
        <x:v>ChatGPT — Release Notes</x:v>
      </x:c>
      <x:c r="V237" s="52" t="str">
        <x:v>https://help.openai.com/en/articles/6825453-chatgpt-release-notes</x:v>
      </x:c>
      <x:c r="W237" s="52" t="str">
        <x:v>help_center_release_notes</x:v>
      </x:c>
      <x:c r="X237" s="52" t="str">
        <x:v>corroborated</x:v>
      </x:c>
      <x:c r="Y237" s="52" t="str">
        <x:v>high</x:v>
      </x:c>
      <x:c r="Z237" s="52" t="str">
        <x:v>models_reasoning | retirement | GPT-4o | 2026 | gpt-4o | models-reasoning</x:v>
      </x:c>
      <x:c r="AA237" s="52" t="n">
        <x:v>2</x:v>
      </x:c>
      <x:c r="AB237" s="53" t="b">
        <x:v>1</x:v>
      </x:c>
    </x:row>
    <x:row r="238" ht="42" customHeight="1">
      <x:c r="A238" s="57" t="n">
        <x:v>46066</x:v>
      </x:c>
      <x:c r="B238" s="52" t="str">
        <x:v>evt-20260213-lockdown-mode-and-elevated-risk-labels</x:v>
      </x:c>
      <x:c r="C238" s="60" t="n">
        <x:v>2026</x:v>
      </x:c>
      <x:c r="D238" s="52" t="str">
        <x:v>Q1</x:v>
      </x:c>
      <x:c r="E238" s="52" t="str">
        <x:v>Unified Intelligence</x:v>
      </x:c>
      <x:c r="F238" s="52" t="str">
        <x:v>safety_lifecycle</x:v>
      </x:c>
      <x:c r="G238" s="52" t="str">
        <x:v>Safety Wall</x:v>
      </x:c>
      <x:c r="H238" s="52" t="n">
        <x:v>9</x:v>
      </x:c>
      <x:c r="I238" s="52" t="str">
        <x:v>!</x:v>
      </x:c>
      <x:c r="J238" s="52" t="str">
        <x:v>ChatGPT Security</x:v>
      </x:c>
      <x:c r="K238" s="52" t="str">
        <x:v>safety</x:v>
      </x:c>
      <x:c r="L238" s="52" t="str">
        <x:v>active</x:v>
      </x:c>
      <x:c r="M238" s="63" t="str">
        <x:v>Lockdown Mode and Elevated Risk labels</x:v>
      </x:c>
      <x:c r="N238" s="63" t="str">
        <x:v>Lockdown Mode 與 Elevated Risk 標籤</x:v>
      </x:c>
      <x:c r="O238" s="63" t="str">
        <x:v>OpenAI introduced optional Lockdown Mode for higher-risk users and Elevated Risk labels for capabilities in ChatGPT, Atlas and Codex that may increase prompt-injection exposure.</x:v>
      </x:c>
      <x:c r="P238" s="63" t="str">
        <x:v>OpenAI 推出供高風險用戶選用的 Lockdown Mode，並為 ChatGPT、Atlas 與 Codex 中可能增加 prompt injection 風險的能力加上 Elevated Risk 標籤。</x:v>
      </x:c>
      <x:c r="Q238" s="60" t="n">
        <x:v>4</x:v>
      </x:c>
      <x:c r="R238" s="60" t="str">
        <x:v>major</x:v>
      </x:c>
      <x:c r="S238" s="60" t="n">
        <x:v>3208</x:v>
      </x:c>
      <x:c r="T238" s="60" t="n">
        <x:v>1528</x:v>
      </x:c>
      <x:c r="U238" s="52" t="str">
        <x:v>Introducing Lockdown Mode and Elevated Risk labels in ChatGPT</x:v>
      </x:c>
      <x:c r="V238" s="52" t="str">
        <x:v>https://openai.com/index/introducing-lockdown-mode-and-elevated-risk-labels-in-chatgpt/</x:v>
      </x:c>
      <x:c r="W238" s="52" t="str">
        <x:v>official_security_post</x:v>
      </x:c>
      <x:c r="X238" s="52" t="str">
        <x:v>parsed</x:v>
      </x:c>
      <x:c r="Y238" s="52" t="str">
        <x:v>high</x:v>
      </x:c>
      <x:c r="Z238" s="52" t="str">
        <x:v>safety_lifecycle | safety | ChatGPT Security | lockdown | prompt-injection | security</x:v>
      </x:c>
      <x:c r="AA238" s="52" t="n">
        <x:v>1</x:v>
      </x:c>
      <x:c r="AB238" s="53" t="b">
        <x:v>0</x:v>
      </x:c>
    </x:row>
    <x:row r="239" ht="42" customHeight="1">
      <x:c r="A239" s="57" t="n">
        <x:v>46076</x:v>
      </x:c>
      <x:c r="B239" s="52" t="str">
        <x:v>evt-20260223-launched-websocket-mode-for-the-responses-api</x:v>
      </x:c>
      <x:c r="C239" s="60" t="n">
        <x:v>2026</x:v>
      </x:c>
      <x:c r="D239" s="52" t="str">
        <x:v>Q1</x:v>
      </x:c>
      <x:c r="E239" s="52" t="str">
        <x:v>Unified Intelligence</x:v>
      </x:c>
      <x:c r="F239" s="52" t="str">
        <x:v>developer_platform</x:v>
      </x:c>
      <x:c r="G239" s="52" t="str">
        <x:v>Toolsmith Harbor</x:v>
      </x:c>
      <x:c r="H239" s="52" t="n">
        <x:v>3</x:v>
      </x:c>
      <x:c r="I239" s="52" t="str">
        <x:v>#</x:v>
      </x:c>
      <x:c r="J239" s="52" t="str">
        <x:v>Responses API</x:v>
      </x:c>
      <x:c r="K239" s="52" t="str">
        <x:v>launch</x:v>
      </x:c>
      <x:c r="L239" s="52" t="str">
        <x:v>active</x:v>
      </x:c>
      <x:c r="M239" s="63" t="str">
        <x:v>Launched WebSocket mode for the Responses API.</x:v>
      </x:c>
      <x:c r="N239" s="63" t="str">
        <x:v>推出：Responses API</x:v>
      </x:c>
      <x:c r="O239" s="63" t="str">
        <x:v>Launched WebSocket mode for the Responses API. Learn more here.</x:v>
      </x:c>
      <x:c r="P239" s="63" t="str">
        <x:v>OpenAI 於 2026-02-23 為 Responses API 推出新產品或能力；此節點依官方發布記錄整理，完整能力、適用方案與限制請見來源。</x:v>
      </x:c>
      <x:c r="Q239" s="60" t="n">
        <x:v>4</x:v>
      </x:c>
      <x:c r="R239" s="60" t="str">
        <x:v>major</x:v>
      </x:c>
      <x:c r="S239" s="60" t="n">
        <x:v>3233</x:v>
      </x:c>
      <x:c r="T239" s="60" t="n">
        <x:v>616</x:v>
      </x:c>
      <x:c r="U239" s="52" t="str">
        <x:v>OpenAI API Changelog</x:v>
      </x:c>
      <x:c r="V239" s="52" t="str">
        <x:v>https://platform.openai.com/docs/changelog</x:v>
      </x:c>
      <x:c r="W239" s="52" t="str">
        <x:v>developer_changelog</x:v>
      </x:c>
      <x:c r="X239" s="52" t="str">
        <x:v>parsed</x:v>
      </x:c>
      <x:c r="Y239" s="52" t="str">
        <x:v>high</x:v>
      </x:c>
      <x:c r="Z239" s="52" t="str">
        <x:v>developer_platform | launch | Responses API</x:v>
      </x:c>
      <x:c r="AA239" s="52" t="n">
        <x:v>1</x:v>
      </x:c>
      <x:c r="AB239" s="53" t="b">
        <x:v>0</x:v>
      </x:c>
    </x:row>
    <x:row r="240" ht="42" customHeight="1">
      <x:c r="A240" s="57" t="n">
        <x:v>46076</x:v>
      </x:c>
      <x:c r="B240" s="52" t="str">
        <x:v>evt-20260223-released-gpt-realtime-1-5-to-the-realtime-api</x:v>
      </x:c>
      <x:c r="C240" s="60" t="n">
        <x:v>2026</x:v>
      </x:c>
      <x:c r="D240" s="52" t="str">
        <x:v>Q1</x:v>
      </x:c>
      <x:c r="E240" s="52" t="str">
        <x:v>Unified Intelligence</x:v>
      </x:c>
      <x:c r="F240" s="52" t="str">
        <x:v>developer_platform</x:v>
      </x:c>
      <x:c r="G240" s="52" t="str">
        <x:v>Toolsmith Harbor</x:v>
      </x:c>
      <x:c r="H240" s="52" t="n">
        <x:v>3</x:v>
      </x:c>
      <x:c r="I240" s="52" t="str">
        <x:v>#</x:v>
      </x:c>
      <x:c r="J240" s="52" t="str">
        <x:v>Realtime API</x:v>
      </x:c>
      <x:c r="K240" s="52" t="str">
        <x:v>launch</x:v>
      </x:c>
      <x:c r="L240" s="52" t="str">
        <x:v>active</x:v>
      </x:c>
      <x:c r="M240" s="63" t="str">
        <x:v>Released GPT-Realtime-1.5 to the Realtime API.</x:v>
      </x:c>
      <x:c r="N240" s="63" t="str">
        <x:v>推出：Realtime API</x:v>
      </x:c>
      <x:c r="O240" s="63" t="str">
        <x:v>v1/chat/completions Released GPT-Realtime-1.5 to the Realtime API.</x:v>
      </x:c>
      <x:c r="P240" s="63" t="str">
        <x:v>OpenAI 於 2026-02-23 為 Realtime API 推出新產品或能力；此節點依官方發布記錄整理，完整能力、適用方案與限制請見來源。</x:v>
      </x:c>
      <x:c r="Q240" s="60" t="n">
        <x:v>4</x:v>
      </x:c>
      <x:c r="R240" s="60" t="str">
        <x:v>major</x:v>
      </x:c>
      <x:c r="S240" s="60" t="n">
        <x:v>3233</x:v>
      </x:c>
      <x:c r="T240" s="60" t="n">
        <x:v>575</x:v>
      </x:c>
      <x:c r="U240" s="52" t="str">
        <x:v>OpenAI API Changelog</x:v>
      </x:c>
      <x:c r="V240" s="52" t="str">
        <x:v>https://platform.openai.com/docs/changelog</x:v>
      </x:c>
      <x:c r="W240" s="52" t="str">
        <x:v>developer_changelog</x:v>
      </x:c>
      <x:c r="X240" s="52" t="str">
        <x:v>parsed</x:v>
      </x:c>
      <x:c r="Y240" s="52" t="str">
        <x:v>high</x:v>
      </x:c>
      <x:c r="Z240" s="52" t="str">
        <x:v>developer_platform | launch | Realtime API</x:v>
      </x:c>
      <x:c r="AA240" s="52" t="n">
        <x:v>1</x:v>
      </x:c>
      <x:c r="AB240" s="53" t="b">
        <x:v>0</x:v>
      </x:c>
    </x:row>
    <x:row r="241" ht="42" customHeight="1">
      <x:c r="A241" s="57" t="n">
        <x:v>46077</x:v>
      </x:c>
      <x:c r="B241" s="52" t="str">
        <x:v>evt-20260224-released-gpt-5-3-codex-to-the-responses-api</x:v>
      </x:c>
      <x:c r="C241" s="60" t="n">
        <x:v>2026</x:v>
      </x:c>
      <x:c r="D241" s="52" t="str">
        <x:v>Q1</x:v>
      </x:c>
      <x:c r="E241" s="52" t="str">
        <x:v>Unified Intelligence</x:v>
      </x:c>
      <x:c r="F241" s="52" t="str">
        <x:v>agents_research</x:v>
      </x:c>
      <x:c r="G241" s="52" t="str">
        <x:v>Agentic Frontier</x:v>
      </x:c>
      <x:c r="H241" s="52" t="n">
        <x:v>2</x:v>
      </x:c>
      <x:c r="I241" s="52" t="str">
        <x:v>&gt;</x:v>
      </x:c>
      <x:c r="J241" s="52" t="str">
        <x:v>Codex</x:v>
      </x:c>
      <x:c r="K241" s="52" t="str">
        <x:v>model_release</x:v>
      </x:c>
      <x:c r="L241" s="52" t="str">
        <x:v>active</x:v>
      </x:c>
      <x:c r="M241" s="63" t="str">
        <x:v>Released gpt-5.3-codex to the Responses API.</x:v>
      </x:c>
      <x:c r="N241" s="63" t="str">
        <x:v>推出：gpt-5.3-codex to Responses API.</x:v>
      </x:c>
      <x:c r="O241" s="63" t="str">
        <x:v>Released gpt-5.3-codex to the Responses API. Read more here .</x:v>
      </x:c>
      <x:c r="P241" s="63" t="str">
        <x:v>推出：gpt-5.3-codex to Responses API。OpenAI 將此列為 2026-02-24 的功能；重點涉及Codex 編碼代理、代理與工具調用，模型、端點與參數名稱依官方英文保留。</x:v>
      </x:c>
      <x:c r="Q241" s="60" t="n">
        <x:v>4</x:v>
      </x:c>
      <x:c r="R241" s="60" t="str">
        <x:v>major</x:v>
      </x:c>
      <x:c r="S241" s="60" t="n">
        <x:v>3236</x:v>
      </x:c>
      <x:c r="T241" s="60" t="n">
        <x:v>480</x:v>
      </x:c>
      <x:c r="U241" s="52" t="str">
        <x:v>OpenAI API Changelog</x:v>
      </x:c>
      <x:c r="V241" s="52" t="str">
        <x:v>https://developers.openai.com/api/docs/changelog</x:v>
      </x:c>
      <x:c r="W241" s="52" t="str">
        <x:v>official_changelog</x:v>
      </x:c>
      <x:c r="X241" s="52" t="str">
        <x:v>corroborated</x:v>
      </x:c>
      <x:c r="Y241" s="52" t="str">
        <x:v>high</x:v>
      </x:c>
      <x:c r="Z241" s="52" t="str">
        <x:v>agents_research | model_release | Codex | codex | coding-agent | feature</x:v>
      </x:c>
      <x:c r="AA241" s="52" t="n">
        <x:v>2</x:v>
      </x:c>
      <x:c r="AB241" s="53" t="b">
        <x:v>1</x:v>
      </x:c>
    </x:row>
    <x:row r="242" ht="42" customHeight="1">
      <x:c r="A242" s="57" t="n">
        <x:v>46077</x:v>
      </x:c>
      <x:c r="B242" s="52" t="str">
        <x:v>evt-20260224-released-phase-to-the-responses-api</x:v>
      </x:c>
      <x:c r="C242" s="60" t="n">
        <x:v>2026</x:v>
      </x:c>
      <x:c r="D242" s="52" t="str">
        <x:v>Q1</x:v>
      </x:c>
      <x:c r="E242" s="52" t="str">
        <x:v>Unified Intelligence</x:v>
      </x:c>
      <x:c r="F242" s="52" t="str">
        <x:v>models_reasoning</x:v>
      </x:c>
      <x:c r="G242" s="52" t="str">
        <x:v>Model Mountains</x:v>
      </x:c>
      <x:c r="H242" s="52" t="n">
        <x:v>1</x:v>
      </x:c>
      <x:c r="I242" s="52" t="str">
        <x:v>^</x:v>
      </x:c>
      <x:c r="J242" s="52" t="str">
        <x:v>Responses API</x:v>
      </x:c>
      <x:c r="K242" s="52" t="str">
        <x:v>launch</x:v>
      </x:c>
      <x:c r="L242" s="52" t="str">
        <x:v>active</x:v>
      </x:c>
      <x:c r="M242" s="63" t="str">
        <x:v>Released phase to the Responses API.</x:v>
      </x:c>
      <x:c r="N242" s="63" t="str">
        <x:v>推出：Responses API</x:v>
      </x:c>
      <x:c r="O242" s="63" t="str">
        <x:v>Released phase to the Responses API. It labels an assistant message as intermediate commentary (commentary) or the final answer (finalanswer). Read more here%20responses%20%3E%20(model)%20easyinputmessage%20%3E%20(schema)%20%3E%20(property)%20phase).</x:v>
      </x:c>
      <x:c r="P242" s="63" t="str">
        <x:v>OpenAI 於 2026-02-24 為 Responses API 推出新產品或能力；此節點依官方發布記錄整理，完整能力、適用方案與限制請見來源。</x:v>
      </x:c>
      <x:c r="Q242" s="60" t="n">
        <x:v>4</x:v>
      </x:c>
      <x:c r="R242" s="60" t="str">
        <x:v>major</x:v>
      </x:c>
      <x:c r="S242" s="60" t="n">
        <x:v>3236</x:v>
      </x:c>
      <x:c r="T242" s="60" t="n">
        <x:v>281</x:v>
      </x:c>
      <x:c r="U242" s="52" t="str">
        <x:v>OpenAI API Changelog</x:v>
      </x:c>
      <x:c r="V242" s="52" t="str">
        <x:v>https://platform.openai.com/docs/changelog</x:v>
      </x:c>
      <x:c r="W242" s="52" t="str">
        <x:v>developer_changelog</x:v>
      </x:c>
      <x:c r="X242" s="52" t="str">
        <x:v>parsed</x:v>
      </x:c>
      <x:c r="Y242" s="52" t="str">
        <x:v>high</x:v>
      </x:c>
      <x:c r="Z242" s="52" t="str">
        <x:v>models_reasoning | launch | Responses API</x:v>
      </x:c>
      <x:c r="AA242" s="52" t="n">
        <x:v>1</x:v>
      </x:c>
      <x:c r="AB242" s="53" t="b">
        <x:v>0</x:v>
      </x:c>
    </x:row>
    <x:row r="243" ht="42" customHeight="1">
      <x:c r="A243" s="57" t="n">
        <x:v>46078</x:v>
      </x:c>
      <x:c r="B243" s="52" t="str">
        <x:v>evt-20260225-add-sources-to-your-projects-from-anywhere</x:v>
      </x:c>
      <x:c r="C243" s="60" t="n">
        <x:v>2026</x:v>
      </x:c>
      <x:c r="D243" s="52" t="str">
        <x:v>Q1</x:v>
      </x:c>
      <x:c r="E243" s="52" t="str">
        <x:v>Unified Intelligence</x:v>
      </x:c>
      <x:c r="F243" s="52" t="str">
        <x:v>memory_knowledge</x:v>
      </x:c>
      <x:c r="G243" s="52" t="str">
        <x:v>Memory Forest</x:v>
      </x:c>
      <x:c r="H243" s="52" t="n">
        <x:v>5</x:v>
      </x:c>
      <x:c r="I243" s="52" t="str">
        <x:v>&amp;</x:v>
      </x:c>
      <x:c r="J243" s="52" t="str">
        <x:v>ChatGPT Projects</x:v>
      </x:c>
      <x:c r="K243" s="52" t="str">
        <x:v>feature</x:v>
      </x:c>
      <x:c r="L243" s="52" t="str">
        <x:v>active</x:v>
      </x:c>
      <x:c r="M243" s="63" t="str">
        <x:v>Add sources to your projects from anywhere</x:v>
      </x:c>
      <x:c r="N243" s="63" t="str">
        <x:v>從任何地方將來源新增至您的專案</x:v>
      </x:c>
      <x:c r="O243" s="63" t="str">
        <x:v>Projects now make it easy to build a living knowledge base by adding sources wherever your context already lives; from apps, conversations, or quick text inputs. Sources from apps: Paste a link to a Slack channel or Google Drive file or folder to add it directly as a project source. Additionally, use connected apps directly in chats. Sources from chats: Save useful ChatGPT responses into your project so great outputs become reusable…</x:v>
      </x:c>
      <x:c r="P243" s="63" t="str">
        <x:v>現在，透過在您現有的上下文環境中新增來源，專案能更輕鬆地建立動態知識庫；這些來源可來自應用程式、對話或快速文字輸入。來自應用程式的來源：貼上 Slack 頻道或 Google Drive 檔案或資料夾的連結，即可直接將其新增為專案來源。此外，還能直接在聊天中使用已連結的應用程式……</x:v>
      </x:c>
      <x:c r="Q243" s="60" t="n">
        <x:v>4</x:v>
      </x:c>
      <x:c r="R243" s="60" t="str">
        <x:v>major</x:v>
      </x:c>
      <x:c r="S243" s="60" t="n">
        <x:v>3238</x:v>
      </x:c>
      <x:c r="T243" s="60" t="n">
        <x:v>907</x:v>
      </x:c>
      <x:c r="U243" s="52" t="str">
        <x:v>ChatGPT — Release Notes</x:v>
      </x:c>
      <x:c r="V243" s="52" t="str">
        <x:v>https://help.openai.com/en/articles/6825453-chatgpt-release-notes</x:v>
      </x:c>
      <x:c r="W243" s="52" t="str">
        <x:v>help_center_release_notes</x:v>
      </x:c>
      <x:c r="X243" s="52" t="str">
        <x:v>complete</x:v>
      </x:c>
      <x:c r="Y243" s="52" t="str">
        <x:v>high</x:v>
      </x:c>
      <x:c r="Z243" s="52" t="str">
        <x:v>memory_knowledge | feature | ChatGPT Projects | 2026 | memory-knowledge | projects</x:v>
      </x:c>
      <x:c r="AA243" s="52" t="n">
        <x:v>1</x:v>
      </x:c>
      <x:c r="AB243" s="53" t="b">
        <x:v>0</x:v>
      </x:c>
    </x:row>
    <x:row r="244" ht="42" customHeight="1">
      <x:c r="A244" s="57" t="n">
        <x:v>46084</x:v>
      </x:c>
      <x:c r="B244" s="52" t="str">
        <x:v>evt-20260303-released-gpt-5-3-chat-latest-to-the-chat-completions-and-r</x:v>
      </x:c>
      <x:c r="C244" s="60" t="n">
        <x:v>2026</x:v>
      </x:c>
      <x:c r="D244" s="52" t="str">
        <x:v>Q1</x:v>
      </x:c>
      <x:c r="E244" s="52" t="str">
        <x:v>Unified Intelligence</x:v>
      </x:c>
      <x:c r="F244" s="52" t="str">
        <x:v>models_reasoning</x:v>
      </x:c>
      <x:c r="G244" s="52" t="str">
        <x:v>Model Mountains</x:v>
      </x:c>
      <x:c r="H244" s="52" t="n">
        <x:v>1</x:v>
      </x:c>
      <x:c r="I244" s="52" t="str">
        <x:v>^</x:v>
      </x:c>
      <x:c r="J244" s="52" t="str">
        <x:v>Model Platform</x:v>
      </x:c>
      <x:c r="K244" s="52" t="str">
        <x:v>model_release</x:v>
      </x:c>
      <x:c r="L244" s="52" t="str">
        <x:v>active</x:v>
      </x:c>
      <x:c r="M244" s="63" t="str">
        <x:v>Released gpt-5.3-chat-latest to the Chat Completions and Responses API.</x:v>
      </x:c>
      <x:c r="N244" s="63" t="str">
        <x:v>模型發布：Model Platform</x:v>
      </x:c>
      <x:c r="O244" s="63" t="str">
        <x:v>Released gpt-5.3-chat-latest to the Chat Completions and Responses API. This model points to the GPT-5.3 Instant snapshot currently used in ChatGPT. Read more here .</x:v>
      </x:c>
      <x:c r="P244" s="63" t="str">
        <x:v>推出：gpt-5.3-chat-latest to Chat Completions and Responses API。OpenAI 將此列為 2026-03-03 的功能；重點涉及代理與工具調用，模型、端點與參數名稱依官方英文保留。</x:v>
      </x:c>
      <x:c r="Q244" s="60" t="n">
        <x:v>4</x:v>
      </x:c>
      <x:c r="R244" s="60" t="str">
        <x:v>major</x:v>
      </x:c>
      <x:c r="S244" s="60" t="n">
        <x:v>3253</x:v>
      </x:c>
      <x:c r="T244" s="60" t="n">
        <x:v>283</x:v>
      </x:c>
      <x:c r="U244" s="52" t="str">
        <x:v>OpenAI API Changelog</x:v>
      </x:c>
      <x:c r="V244" s="52" t="str">
        <x:v>https://developers.openai.com/api/docs/changelog</x:v>
      </x:c>
      <x:c r="W244" s="52" t="str">
        <x:v>official_changelog</x:v>
      </x:c>
      <x:c r="X244" s="52" t="str">
        <x:v>corroborated</x:v>
      </x:c>
      <x:c r="Y244" s="52" t="str">
        <x:v>high</x:v>
      </x:c>
      <x:c r="Z244" s="52" t="str">
        <x:v>models_reasoning | model_release | Model Platform | api | feature | models</x:v>
      </x:c>
      <x:c r="AA244" s="52" t="n">
        <x:v>2</x:v>
      </x:c>
      <x:c r="AB244" s="53" t="b">
        <x:v>1</x:v>
      </x:c>
    </x:row>
    <x:row r="245" ht="42" customHeight="1">
      <x:c r="A245" s="57" t="n">
        <x:v>46085</x:v>
      </x:c>
      <x:c r="B245" s="52" t="str">
        <x:v>evt-20260304-codex-app-on-windows</x:v>
      </x:c>
      <x:c r="C245" s="60" t="n">
        <x:v>2026</x:v>
      </x:c>
      <x:c r="D245" s="52" t="str">
        <x:v>Q1</x:v>
      </x:c>
      <x:c r="E245" s="52" t="str">
        <x:v>Unified Intelligence</x:v>
      </x:c>
      <x:c r="F245" s="52" t="str">
        <x:v>agents_research</x:v>
      </x:c>
      <x:c r="G245" s="52" t="str">
        <x:v>Agentic Frontier</x:v>
      </x:c>
      <x:c r="H245" s="52" t="n">
        <x:v>2</x:v>
      </x:c>
      <x:c r="I245" s="52" t="str">
        <x:v>&gt;</x:v>
      </x:c>
      <x:c r="J245" s="52" t="str">
        <x:v>Codex</x:v>
      </x:c>
      <x:c r="K245" s="52" t="str">
        <x:v>feature</x:v>
      </x:c>
      <x:c r="L245" s="52" t="str">
        <x:v>active</x:v>
      </x:c>
      <x:c r="M245" s="63" t="str">
        <x:v>Codex app on Windows</x:v>
      </x:c>
      <x:c r="N245" s="63" t="str">
        <x:v>Windows 版 Codex 應用程式</x:v>
      </x:c>
      <x:c r="O245" s="63" t="str">
        <x:v>The Codex app is now available on Windows for ChatGPT plans that include Codex. The app gives users a Windows desktop surface for running multiple Codex agents in parallel, with isolated worktrees and reviewable diffs that can be edited, discarded, or turned into a pull request. Users can sign in with ChatGPT from the app and keep work moving across the app, CLI, and IDE without switching between tools for every task. Learn more: Usi…</x:v>
      </x:c>
      <x:c r="P245" s="63" t="str">
        <x:v>Codex 應用程式現已在 Windows 上推出，適用於包含 Codex 的 ChatGPT 方案。該應用程式為使用者提供了一個 Windows 桌面介面，用於平行執行多個 Codex 代理，並具備可編輯、捨棄或轉為 Pull Request 的隔離工作區與可檢視的差異檔 (diffs)……</x:v>
      </x:c>
      <x:c r="Q245" s="60" t="n">
        <x:v>4</x:v>
      </x:c>
      <x:c r="R245" s="60" t="str">
        <x:v>major</x:v>
      </x:c>
      <x:c r="S245" s="60" t="n">
        <x:v>3256</x:v>
      </x:c>
      <x:c r="T245" s="60" t="n">
        <x:v>497</x:v>
      </x:c>
      <x:c r="U245" s="52" t="str">
        <x:v>ChatGPT — Release Notes</x:v>
      </x:c>
      <x:c r="V245" s="52" t="str">
        <x:v>https://help.openai.com/en/articles/6825453-chatgpt-release-notes</x:v>
      </x:c>
      <x:c r="W245" s="52" t="str">
        <x:v>help_center_release_notes</x:v>
      </x:c>
      <x:c r="X245" s="52" t="str">
        <x:v>complete</x:v>
      </x:c>
      <x:c r="Y245" s="52" t="str">
        <x:v>high</x:v>
      </x:c>
      <x:c r="Z245" s="52" t="str">
        <x:v>agents_research | feature | Codex | 2026 | agents-research | codex</x:v>
      </x:c>
      <x:c r="AA245" s="52" t="n">
        <x:v>1</x:v>
      </x:c>
      <x:c r="AB245" s="53" t="b">
        <x:v>0</x:v>
      </x:c>
    </x:row>
    <x:row r="246" ht="42" customHeight="1">
      <x:c r="A246" s="57" t="n">
        <x:v>46086</x:v>
      </x:c>
      <x:c r="B246" s="52" t="str">
        <x:v>evt-20260305-gpt-5-4-thinking-in-chatgpt</x:v>
      </x:c>
      <x:c r="C246" s="60" t="n">
        <x:v>2026</x:v>
      </x:c>
      <x:c r="D246" s="52" t="str">
        <x:v>Q1</x:v>
      </x:c>
      <x:c r="E246" s="52" t="str">
        <x:v>Unified Intelligence</x:v>
      </x:c>
      <x:c r="F246" s="52" t="str">
        <x:v>models_reasoning</x:v>
      </x:c>
      <x:c r="G246" s="52" t="str">
        <x:v>Model Mountains</x:v>
      </x:c>
      <x:c r="H246" s="52" t="n">
        <x:v>1</x:v>
      </x:c>
      <x:c r="I246" s="52" t="str">
        <x:v>^</x:v>
      </x:c>
      <x:c r="J246" s="52" t="str">
        <x:v>GPT-5.4</x:v>
      </x:c>
      <x:c r="K246" s="52" t="str">
        <x:v>model_release</x:v>
      </x:c>
      <x:c r="L246" s="52" t="str">
        <x:v>active</x:v>
      </x:c>
      <x:c r="M246" s="63" t="str">
        <x:v>GPT-5.4 Thinking in ChatGPT</x:v>
      </x:c>
      <x:c r="N246" s="63" t="str">
        <x:v>ChatGPT 中的 GPT-5.4 Thinking</x:v>
      </x:c>
      <x:c r="O246" s="63" t="str">
        <x:v>GPT‑5.4 brings together the best of our recent advances in reasoning, coding, and agentic workflows into a single frontier model. It incorporates the industry-leading coding capabilities of GPT‑5.3‑Codex⁠ while improving how the model works across tools, software environments, and professional tasks involving spreadsheets, presentations, and documents. The result is a model that gets complex real work done accurately, effectively, an…</x:v>
      </x:c>
      <x:c r="P246" s="63" t="str">
        <x:v>GPT-5.4 將我們在推理、程式設計和代理式程式開發工作流程方面的最新進展集結至單一前沿模型中。它整合了 GPT-5.3-Codex 業界領先的程式設計能力，同時改善了模型在工具、軟體環境以及涉及試算表、簡報和文件的專業任務中的運作方式……</x:v>
      </x:c>
      <x:c r="Q246" s="60" t="n">
        <x:v>5</x:v>
      </x:c>
      <x:c r="R246" s="60" t="str">
        <x:v>landmark</x:v>
      </x:c>
      <x:c r="S246" s="60" t="n">
        <x:v>3259</x:v>
      </x:c>
      <x:c r="T246" s="60" t="n">
        <x:v>304</x:v>
      </x:c>
      <x:c r="U246" s="52" t="str">
        <x:v>ChatGPT — Release Notes</x:v>
      </x:c>
      <x:c r="V246" s="52" t="str">
        <x:v>https://help.openai.com/en/articles/6825453-chatgpt-release-notes</x:v>
      </x:c>
      <x:c r="W246" s="52" t="str">
        <x:v>help_center_release_notes</x:v>
      </x:c>
      <x:c r="X246" s="52" t="str">
        <x:v>corroborated</x:v>
      </x:c>
      <x:c r="Y246" s="52" t="str">
        <x:v>high</x:v>
      </x:c>
      <x:c r="Z246" s="52" t="str">
        <x:v>models_reasoning | model_release | GPT-5.4 | 2026 | gpt-5.4 | models-reasoning</x:v>
      </x:c>
      <x:c r="AA246" s="52" t="n">
        <x:v>4</x:v>
      </x:c>
      <x:c r="AB246" s="53" t="b">
        <x:v>1</x:v>
      </x:c>
    </x:row>
    <x:row r="247" ht="42" customHeight="1">
      <x:c r="A247" s="57" t="n">
        <x:v>46086</x:v>
      </x:c>
      <x:c r="B247" s="52" t="str">
        <x:v>evt-20260305-introducing-gpt-5-4-in-codex</x:v>
      </x:c>
      <x:c r="C247" s="60" t="n">
        <x:v>2026</x:v>
      </x:c>
      <x:c r="D247" s="52" t="str">
        <x:v>Q1</x:v>
      </x:c>
      <x:c r="E247" s="52" t="str">
        <x:v>Unified Intelligence</x:v>
      </x:c>
      <x:c r="F247" s="52" t="str">
        <x:v>agents_research</x:v>
      </x:c>
      <x:c r="G247" s="52" t="str">
        <x:v>Agentic Frontier</x:v>
      </x:c>
      <x:c r="H247" s="52" t="n">
        <x:v>2</x:v>
      </x:c>
      <x:c r="I247" s="52" t="str">
        <x:v>&gt;</x:v>
      </x:c>
      <x:c r="J247" s="52" t="str">
        <x:v>GPT-5.4</x:v>
      </x:c>
      <x:c r="K247" s="52" t="str">
        <x:v>launch</x:v>
      </x:c>
      <x:c r="L247" s="52" t="str">
        <x:v>active</x:v>
      </x:c>
      <x:c r="M247" s="63" t="str">
        <x:v>Introducing GPT-5.4 in Codex</x:v>
      </x:c>
      <x:c r="N247" s="63" t="str">
        <x:v>推出 GPT-5.4 in Codex</x:v>
      </x:c>
      <x:c r="O247" s="63" t="str">
        <x:v>GPT-5.4 is now available in Codex as OpenAI’s most capable and efficient frontier model for professional work. It combines recent advances in reasoning, coding, and agentic workflows in one model, and it’s the recommended choice for most Codex tasks. In Codex, GPT-5.4 is the first general-purpose model with native computer-use capabilities. GPT-5.4 in Codex includes experimental support for the 1M context window. It supports complex…</x:v>
      </x:c>
      <x:c r="P247" s="63" t="str">
        <x:v>Codex Changelog 在 2026-03-05 記錄了Codex 編碼代理、代理與工具調用相關更新；完整版本與修正內容見官方英文摘要。</x:v>
      </x:c>
      <x:c r="Q247" s="60" t="n">
        <x:v>5</x:v>
      </x:c>
      <x:c r="R247" s="60" t="str">
        <x:v>landmark</x:v>
      </x:c>
      <x:c r="S247" s="60" t="n">
        <x:v>3259</x:v>
      </x:c>
      <x:c r="T247" s="60" t="n">
        <x:v>496</x:v>
      </x:c>
      <x:c r="U247" s="52" t="str">
        <x:v>Codex Changelog</x:v>
      </x:c>
      <x:c r="V247" s="52" t="str">
        <x:v>https://developers.openai.com/codex/changelog/</x:v>
      </x:c>
      <x:c r="W247" s="52" t="str">
        <x:v>developer_changelog</x:v>
      </x:c>
      <x:c r="X247" s="52" t="str">
        <x:v>complete</x:v>
      </x:c>
      <x:c r="Y247" s="52" t="str">
        <x:v>high</x:v>
      </x:c>
      <x:c r="Z247" s="52" t="str">
        <x:v>agents_research | launch | GPT-5.4 | codex | release-notes</x:v>
      </x:c>
      <x:c r="AA247" s="52" t="n">
        <x:v>1</x:v>
      </x:c>
      <x:c r="AB247" s="53" t="b">
        <x:v>0</x:v>
      </x:c>
    </x:row>
    <x:row r="248" ht="42" customHeight="1">
      <x:c r="A248" s="57" t="n">
        <x:v>46092</x:v>
      </x:c>
      <x:c r="B248" s="52" t="str">
        <x:v>evt-20260311-retiring-gpt-5-1-models</x:v>
      </x:c>
      <x:c r="C248" s="60" t="n">
        <x:v>2026</x:v>
      </x:c>
      <x:c r="D248" s="52" t="str">
        <x:v>Q1</x:v>
      </x:c>
      <x:c r="E248" s="52" t="str">
        <x:v>Unified Intelligence</x:v>
      </x:c>
      <x:c r="F248" s="52" t="str">
        <x:v>models_reasoning</x:v>
      </x:c>
      <x:c r="G248" s="52" t="str">
        <x:v>Model Mountains</x:v>
      </x:c>
      <x:c r="H248" s="52" t="n">
        <x:v>1</x:v>
      </x:c>
      <x:c r="I248" s="52" t="str">
        <x:v>^</x:v>
      </x:c>
      <x:c r="J248" s="52" t="str">
        <x:v>GPT-5.1</x:v>
      </x:c>
      <x:c r="K248" s="52" t="str">
        <x:v>retirement</x:v>
      </x:c>
      <x:c r="L248" s="52" t="str">
        <x:v>retired</x:v>
      </x:c>
      <x:c r="M248" s="63" t="str">
        <x:v>Retiring GPT-5.1 models</x:v>
      </x:c>
      <x:c r="N248" s="63" t="str">
        <x:v>淘汰 GPT-5.1 模型</x:v>
      </x:c>
      <x:c r="O248" s="63" t="str">
        <x:v>As of March 11, 2026, GPT-5.1 models are no longer available in ChatGPT. This applies to GPT-5.1 Instant, GPT-5.1 Thinking, and GPT-5.1 Pro. Existing conversations that used GPT-5.1 will automatically continue on the corresponding current model: GPT-5.3 Instant, GPT-5.4 Thinking, or GPT-5.4 Pro.</x:v>
      </x:c>
      <x:c r="P248" s="63" t="str">
        <x:v>自 2026 年 3 月 11 日起，GPT-5.1 模型不再於 ChatGPT 中提供。這適用於 GPT-5.1 Instant、GPT-5.1 Thinking 和 GPT-5.1 Pro。先前使用 GPT-5.1 的對話將自動在對應的現行模型上繼續：GPT-5.3 Instant、GPT-5.4 Thinking 或 GPT-5.4 Pro。</x:v>
      </x:c>
      <x:c r="Q248" s="60" t="n">
        <x:v>4</x:v>
      </x:c>
      <x:c r="R248" s="60" t="str">
        <x:v>major</x:v>
      </x:c>
      <x:c r="S248" s="60" t="n">
        <x:v>3274</x:v>
      </x:c>
      <x:c r="T248" s="60" t="n">
        <x:v>342</x:v>
      </x:c>
      <x:c r="U248" s="52" t="str">
        <x:v>ChatGPT — Release Notes</x:v>
      </x:c>
      <x:c r="V248" s="52" t="str">
        <x:v>https://help.openai.com/en/articles/6825453-chatgpt-release-notes</x:v>
      </x:c>
      <x:c r="W248" s="52" t="str">
        <x:v>help_center_release_notes</x:v>
      </x:c>
      <x:c r="X248" s="52" t="str">
        <x:v>corroborated</x:v>
      </x:c>
      <x:c r="Y248" s="52" t="str">
        <x:v>high</x:v>
      </x:c>
      <x:c r="Z248" s="52" t="str">
        <x:v>models_reasoning | retirement | GPT-5.1 | 2026 | gpt-5.1 | models-reasoning</x:v>
      </x:c>
      <x:c r="AA248" s="52" t="n">
        <x:v>2</x:v>
      </x:c>
      <x:c r="AB248" s="53" t="b">
        <x:v>1</x:v>
      </x:c>
    </x:row>
    <x:row r="249" ht="42" customHeight="1">
      <x:c r="A249" s="57" t="n">
        <x:v>46098</x:v>
      </x:c>
      <x:c r="B249" s="52" t="str">
        <x:v>evt-20260317-introducing-gpt-5-4-mini-in-codex</x:v>
      </x:c>
      <x:c r="C249" s="60" t="n">
        <x:v>2026</x:v>
      </x:c>
      <x:c r="D249" s="52" t="str">
        <x:v>Q1</x:v>
      </x:c>
      <x:c r="E249" s="52" t="str">
        <x:v>Unified Intelligence</x:v>
      </x:c>
      <x:c r="F249" s="52" t="str">
        <x:v>agents_research</x:v>
      </x:c>
      <x:c r="G249" s="52" t="str">
        <x:v>Agentic Frontier</x:v>
      </x:c>
      <x:c r="H249" s="52" t="n">
        <x:v>2</x:v>
      </x:c>
      <x:c r="I249" s="52" t="str">
        <x:v>&gt;</x:v>
      </x:c>
      <x:c r="J249" s="52" t="str">
        <x:v>GPT-5.4</x:v>
      </x:c>
      <x:c r="K249" s="52" t="str">
        <x:v>launch</x:v>
      </x:c>
      <x:c r="L249" s="52" t="str">
        <x:v>active</x:v>
      </x:c>
      <x:c r="M249" s="63" t="str">
        <x:v>Introducing GPT-5.4 mini in Codex</x:v>
      </x:c>
      <x:c r="N249" s="63" t="str">
        <x:v>推出 GPT-5.4 mini in Codex</x:v>
      </x:c>
      <x:c r="O249" s="63" t="str">
        <x:v>GPT-5.4 mini is now available in Codex as a fast, efficient model for lighter coding tasks and subagents. It improves over GPT-5 mini across coding, reasoning, image understanding, and tool use while running more than 2x faster. In Codex, GPT-5.4 mini uses 30% as much of your included limits as GPT-5.4, so comparable tasks can last about 3.3x longer before you hit those limits. GPT-5.4 mini is available in the Codex app, the CLI, the…</x:v>
      </x:c>
      <x:c r="P249" s="63" t="str">
        <x:v>Codex Changelog 在 2026-03-17 記錄了Codex 編碼代理、代理與工具調用、圖像與影片相關更新；完整版本與修正內容見官方英文摘要。</x:v>
      </x:c>
      <x:c r="Q249" s="60" t="n">
        <x:v>5</x:v>
      </x:c>
      <x:c r="R249" s="60" t="str">
        <x:v>landmark</x:v>
      </x:c>
      <x:c r="S249" s="60" t="n">
        <x:v>3289</x:v>
      </x:c>
      <x:c r="T249" s="60" t="n">
        <x:v>498</x:v>
      </x:c>
      <x:c r="U249" s="52" t="str">
        <x:v>Codex Changelog</x:v>
      </x:c>
      <x:c r="V249" s="52" t="str">
        <x:v>https://developers.openai.com/codex/changelog/</x:v>
      </x:c>
      <x:c r="W249" s="52" t="str">
        <x:v>developer_changelog</x:v>
      </x:c>
      <x:c r="X249" s="52" t="str">
        <x:v>complete</x:v>
      </x:c>
      <x:c r="Y249" s="52" t="str">
        <x:v>high</x:v>
      </x:c>
      <x:c r="Z249" s="52" t="str">
        <x:v>agents_research | launch | GPT-5.4 | codex | release-notes</x:v>
      </x:c>
      <x:c r="AA249" s="52" t="n">
        <x:v>1</x:v>
      </x:c>
      <x:c r="AB249" s="53" t="b">
        <x:v>0</x:v>
      </x:c>
    </x:row>
    <x:row r="250" ht="42" customHeight="1">
      <x:c r="A250" s="57" t="n">
        <x:v>46098</x:v>
      </x:c>
      <x:c r="B250" s="52" t="str">
        <x:v>evt-20260317-introducing-gpt-5-4-mini-and-nano</x:v>
      </x:c>
      <x:c r="C250" s="60" t="n">
        <x:v>2026</x:v>
      </x:c>
      <x:c r="D250" s="52" t="str">
        <x:v>Q1</x:v>
      </x:c>
      <x:c r="E250" s="52" t="str">
        <x:v>Unified Intelligence</x:v>
      </x:c>
      <x:c r="F250" s="52" t="str">
        <x:v>models_reasoning</x:v>
      </x:c>
      <x:c r="G250" s="52" t="str">
        <x:v>Model Mountains</x:v>
      </x:c>
      <x:c r="H250" s="52" t="n">
        <x:v>1</x:v>
      </x:c>
      <x:c r="I250" s="52" t="str">
        <x:v>^</x:v>
      </x:c>
      <x:c r="J250" s="52" t="str">
        <x:v>GPT-5.4</x:v>
      </x:c>
      <x:c r="K250" s="52" t="str">
        <x:v>model_release</x:v>
      </x:c>
      <x:c r="L250" s="52" t="str">
        <x:v>active</x:v>
      </x:c>
      <x:c r="M250" s="63" t="str">
        <x:v>Introducing GPT-5.4 mini and nano</x:v>
      </x:c>
      <x:c r="N250" s="63" t="str">
        <x:v>推出 GPT-5.4 mini 和 nano</x:v>
      </x:c>
      <x:c r="O250" s="63" t="str">
        <x:v>OpenAI released GPT-5.4 mini and nano as faster, efficient models for high-volume coding, computer-use, tool-use, and subagent workloads; mini also became available in ChatGPT.</x:v>
      </x:c>
      <x:c r="P250" s="63" t="str">
        <x:v>OpenAI 推出 GPT-5.4 mini 和 nano，作為針對大量程式開發、電腦使用、工具使用和子代理工作負載更快速、高效的模型；mini 也已在 ChatGPT 中提供。</x:v>
      </x:c>
      <x:c r="Q250" s="60" t="n">
        <x:v>5</x:v>
      </x:c>
      <x:c r="R250" s="60" t="str">
        <x:v>landmark</x:v>
      </x:c>
      <x:c r="S250" s="60" t="n">
        <x:v>3289</x:v>
      </x:c>
      <x:c r="T250" s="60" t="n">
        <x:v>298</x:v>
      </x:c>
      <x:c r="U250" s="52" t="str">
        <x:v>Introducing GPT-5.4 mini and nano</x:v>
      </x:c>
      <x:c r="V250" s="52" t="str">
        <x:v>https://openai.com/index/introducing-gpt-5-4-mini-and-nano/</x:v>
      </x:c>
      <x:c r="W250" s="52" t="str">
        <x:v>official_launch_post</x:v>
      </x:c>
      <x:c r="X250" s="52" t="str">
        <x:v>complete</x:v>
      </x:c>
      <x:c r="Y250" s="52" t="str">
        <x:v>high</x:v>
      </x:c>
      <x:c r="Z250" s="52" t="str">
        <x:v>models_reasoning | model_release | GPT-5.4 | 2026 | gpt-5.4 | models-reasoning</x:v>
      </x:c>
      <x:c r="AA250" s="52" t="n">
        <x:v>1</x:v>
      </x:c>
      <x:c r="AB250" s="53" t="b">
        <x:v>0</x:v>
      </x:c>
    </x:row>
    <x:row r="251" ht="42" customHeight="1">
      <x:c r="A251" s="57" t="n">
        <x:v>46098</x:v>
      </x:c>
      <x:c r="B251" s="52" t="str">
        <x:v>evt-20260317-released-gpt-5-4-mini-and-gpt-5-4-nano-to-the-chat-complet</x:v>
      </x:c>
      <x:c r="C251" s="60" t="n">
        <x:v>2026</x:v>
      </x:c>
      <x:c r="D251" s="52" t="str">
        <x:v>Q1</x:v>
      </x:c>
      <x:c r="E251" s="52" t="str">
        <x:v>Unified Intelligence</x:v>
      </x:c>
      <x:c r="F251" s="52" t="str">
        <x:v>models_reasoning</x:v>
      </x:c>
      <x:c r="G251" s="52" t="str">
        <x:v>Model Mountains</x:v>
      </x:c>
      <x:c r="H251" s="52" t="n">
        <x:v>1</x:v>
      </x:c>
      <x:c r="I251" s="52" t="str">
        <x:v>^</x:v>
      </x:c>
      <x:c r="J251" s="52" t="str">
        <x:v>Model Platform</x:v>
      </x:c>
      <x:c r="K251" s="52" t="str">
        <x:v>model_release</x:v>
      </x:c>
      <x:c r="L251" s="52" t="str">
        <x:v>active</x:v>
      </x:c>
      <x:c r="M251" s="63" t="str">
        <x:v>Released GPT-5.4 mini and GPT-5.4 nano to the Chat Completions and Responses API.</x:v>
      </x:c>
      <x:c r="N251" s="63" t="str">
        <x:v>API 推出 GPT‑5.4 mini 與 GPT‑5.4 nano</x:v>
      </x:c>
      <x:c r="O251" s="63" t="str">
        <x:v>Released GPT-5.4 mini and GPT-5.4 nano to the Chat Completions and Responses API. GPT-5.4 mini brings GPT-5.4-class capabilities to a faster, more efficient model for high-volume workloads, while GPT-5.4 nano is optimized for simple high-volume tasks where speed and cost matter most. GPT-5.4 mini supports tool search , built-in computer use , and compaction . GPT-5.4 nano supports compaction, but does not support tool search or compu…</x:v>
      </x:c>
      <x:c r="P251" s="63" t="str">
        <x:v>API 推出 GPT‑5.4 mini 與 GPT‑5.4 nano。OpenAI 將此列為 2026-03-17 的功能；重點涉及代理與工具調用、定價與用量，模型、端點與參數名稱依官方英文保留。</x:v>
      </x:c>
      <x:c r="Q251" s="60" t="n">
        <x:v>4</x:v>
      </x:c>
      <x:c r="R251" s="60" t="str">
        <x:v>major</x:v>
      </x:c>
      <x:c r="S251" s="60" t="n">
        <x:v>3289</x:v>
      </x:c>
      <x:c r="T251" s="60" t="n">
        <x:v>280</x:v>
      </x:c>
      <x:c r="U251" s="52" t="str">
        <x:v>OpenAI API Changelog</x:v>
      </x:c>
      <x:c r="V251" s="52" t="str">
        <x:v>https://developers.openai.com/api/docs/changelog</x:v>
      </x:c>
      <x:c r="W251" s="52" t="str">
        <x:v>official_changelog</x:v>
      </x:c>
      <x:c r="X251" s="52" t="str">
        <x:v>corroborated</x:v>
      </x:c>
      <x:c r="Y251" s="52" t="str">
        <x:v>high</x:v>
      </x:c>
      <x:c r="Z251" s="52" t="str">
        <x:v>models_reasoning | model_release | Model Platform | api | feature | models</x:v>
      </x:c>
      <x:c r="AA251" s="52" t="n">
        <x:v>2</x:v>
      </x:c>
      <x:c r="AB251" s="53" t="b">
        <x:v>1</x:v>
      </x:c>
    </x:row>
    <x:row r="252" ht="42" customHeight="1">
      <x:c r="A252" s="57" t="n">
        <x:v>46098</x:v>
      </x:c>
      <x:c r="B252" s="52" t="str">
        <x:v>evt-20260317-updates-to-the-model-picker-in-chatgpt</x:v>
      </x:c>
      <x:c r="C252" s="60" t="n">
        <x:v>2026</x:v>
      </x:c>
      <x:c r="D252" s="52" t="str">
        <x:v>Q1</x:v>
      </x:c>
      <x:c r="E252" s="52" t="str">
        <x:v>Unified Intelligence</x:v>
      </x:c>
      <x:c r="F252" s="52" t="str">
        <x:v>models_reasoning</x:v>
      </x:c>
      <x:c r="G252" s="52" t="str">
        <x:v>Model Mountains</x:v>
      </x:c>
      <x:c r="H252" s="52" t="n">
        <x:v>1</x:v>
      </x:c>
      <x:c r="I252" s="52" t="str">
        <x:v>^</x:v>
      </x:c>
      <x:c r="J252" s="52" t="str">
        <x:v>ChatGPT Enterprise &amp; Edu</x:v>
      </x:c>
      <x:c r="K252" s="52" t="str">
        <x:v>feature</x:v>
      </x:c>
      <x:c r="L252" s="52" t="str">
        <x:v>active</x:v>
      </x:c>
      <x:c r="M252" s="63" t="str">
        <x:v>Updates to the model picker in ChatGPT</x:v>
      </x:c>
      <x:c r="N252" s="63" t="str">
        <x:v>ChatGPT 模型選擇器更新</x:v>
      </x:c>
      <x:c r="O252" s="63" t="str">
        <x:v>We’ve simplified the model picker to make it easier to choose the right level of reasoning. Users on Plus, Pro, Business, Enterprise, and Edu accounts will see a set of model options depending on their plan, including: Instant – fast responses for everyday questions Thinking – deeper reasoning for more complex tasks Pro – the most advanced reasoning models The Auto functionality can be accessed by clicking Configure in the model pick…</x:v>
      </x:c>
      <x:c r="P252" s="63" t="str">
        <x:v>我們簡化了模型選擇器，讓選擇合適的推理層級變得更容易。Plus、Pro、Business、Enterprise 和 Edu 帳戶的使用者將根據其方案看到一系列模型選項，包括：Instant – 針對日常問題的快速回應；Thinking – 針對更複雜任務的深度推理；Pro – 最先進的推理模型……</x:v>
      </x:c>
      <x:c r="Q252" s="60" t="n">
        <x:v>4</x:v>
      </x:c>
      <x:c r="R252" s="60" t="str">
        <x:v>major</x:v>
      </x:c>
      <x:c r="S252" s="60" t="n">
        <x:v>3289</x:v>
      </x:c>
      <x:c r="T252" s="60" t="n">
        <x:v>299</x:v>
      </x:c>
      <x:c r="U252" s="52" t="str">
        <x:v>ChatGPT — Release Notes</x:v>
      </x:c>
      <x:c r="V252" s="52" t="str">
        <x:v>https://help.openai.com/en/articles/6825453-chatgpt-release-notes</x:v>
      </x:c>
      <x:c r="W252" s="52" t="str">
        <x:v>help_center_release_notes</x:v>
      </x:c>
      <x:c r="X252" s="52" t="str">
        <x:v>complete</x:v>
      </x:c>
      <x:c r="Y252" s="52" t="str">
        <x:v>high</x:v>
      </x:c>
      <x:c r="Z252" s="52" t="str">
        <x:v>models_reasoning | feature | ChatGPT Enterprise &amp; Edu | 2026 | chatgpt | models-reasoning</x:v>
      </x:c>
      <x:c r="AA252" s="52" t="n">
        <x:v>1</x:v>
      </x:c>
      <x:c r="AB252" s="53" t="b">
        <x:v>0</x:v>
      </x:c>
    </x:row>
    <x:row r="253" ht="42" customHeight="1">
      <x:c r="A253" s="57" t="n">
        <x:v>46099</x:v>
      </x:c>
      <x:c r="B253" s="52" t="str">
        <x:v>evt-20260318-gpt-5-4-mini-in-chatgpt</x:v>
      </x:c>
      <x:c r="C253" s="60" t="n">
        <x:v>2026</x:v>
      </x:c>
      <x:c r="D253" s="52" t="str">
        <x:v>Q1</x:v>
      </x:c>
      <x:c r="E253" s="52" t="str">
        <x:v>Unified Intelligence</x:v>
      </x:c>
      <x:c r="F253" s="52" t="str">
        <x:v>models_reasoning</x:v>
      </x:c>
      <x:c r="G253" s="52" t="str">
        <x:v>Model Mountains</x:v>
      </x:c>
      <x:c r="H253" s="52" t="n">
        <x:v>1</x:v>
      </x:c>
      <x:c r="I253" s="52" t="str">
        <x:v>^</x:v>
      </x:c>
      <x:c r="J253" s="52" t="str">
        <x:v>GPT-5.4</x:v>
      </x:c>
      <x:c r="K253" s="52" t="str">
        <x:v>model_release</x:v>
      </x:c>
      <x:c r="L253" s="52" t="str">
        <x:v>active</x:v>
      </x:c>
      <x:c r="M253" s="63" t="str">
        <x:v>GPT-5.4 mini in ChatGPT</x:v>
      </x:c>
      <x:c r="N253" s="63" t="str">
        <x:v>ChatGPT 中的 GPT-5.4 mini</x:v>
      </x:c>
      <x:c r="O253" s="63" t="str">
        <x:v>We’re rolling out GPT-5.4 mini in ChatGPT. GPT-5.4 mini is available to Free and Go users via the “Thinking” feature in the + menu. For all other users, GPT-5.4 mini is available as a rate limit fallback for GPT-5.4 Thinking. For Plus, Pro, and other paid users, GPT-5.4 mini will be used as a fallback for GPT-5.4 Thinking when rate limits are reached, helping with continued access to reasoning capabilities during high usage. Enterpri…</x:v>
      </x:c>
      <x:c r="P253" s="63" t="str">
        <x:v>我們正在 ChatGPT 中推出 GPT-5.4 mini。Free 和 Go 使用者可透過 + 選單中的「Thinking」功能使用 GPT-5.4 mini。對於所有其他使用者，GPT-5.4 mini 可作為 GPT-5.4 Thinking 的速率限制備援選項……</x:v>
      </x:c>
      <x:c r="Q253" s="60" t="n">
        <x:v>5</x:v>
      </x:c>
      <x:c r="R253" s="60" t="str">
        <x:v>landmark</x:v>
      </x:c>
      <x:c r="S253" s="60" t="n">
        <x:v>3292</x:v>
      </x:c>
      <x:c r="T253" s="60" t="n">
        <x:v>340</x:v>
      </x:c>
      <x:c r="U253" s="52" t="str">
        <x:v>ChatGPT — Release Notes</x:v>
      </x:c>
      <x:c r="V253" s="52" t="str">
        <x:v>https://help.openai.com/en/articles/6825453-chatgpt-release-notes</x:v>
      </x:c>
      <x:c r="W253" s="52" t="str">
        <x:v>help_center_release_notes</x:v>
      </x:c>
      <x:c r="X253" s="52" t="str">
        <x:v>corroborated</x:v>
      </x:c>
      <x:c r="Y253" s="52" t="str">
        <x:v>high</x:v>
      </x:c>
      <x:c r="Z253" s="52" t="str">
        <x:v>models_reasoning | model_release | GPT-5.4 | 2026 | gpt-5.4 | models-reasoning</x:v>
      </x:c>
      <x:c r="AA253" s="52" t="n">
        <x:v>2</x:v>
      </x:c>
      <x:c r="AB253" s="53" t="b">
        <x:v>1</x:v>
      </x:c>
    </x:row>
    <x:row r="254" ht="42" customHeight="1">
      <x:c r="A254" s="57" t="n">
        <x:v>46100</x:v>
      </x:c>
      <x:c r="B254" s="52" t="str">
        <x:v>evt-20260319-legacy-deep-research-mode-deprecation-notice</x:v>
      </x:c>
      <x:c r="C254" s="60" t="n">
        <x:v>2026</x:v>
      </x:c>
      <x:c r="D254" s="52" t="str">
        <x:v>Q1</x:v>
      </x:c>
      <x:c r="E254" s="52" t="str">
        <x:v>Unified Intelligence</x:v>
      </x:c>
      <x:c r="F254" s="52" t="str">
        <x:v>agents_research</x:v>
      </x:c>
      <x:c r="G254" s="52" t="str">
        <x:v>Agentic Frontier</x:v>
      </x:c>
      <x:c r="H254" s="52" t="n">
        <x:v>2</x:v>
      </x:c>
      <x:c r="I254" s="52" t="str">
        <x:v>&gt;</x:v>
      </x:c>
      <x:c r="J254" s="52" t="str">
        <x:v>deep research</x:v>
      </x:c>
      <x:c r="K254" s="52" t="str">
        <x:v>deprecation</x:v>
      </x:c>
      <x:c r="L254" s="52" t="str">
        <x:v>deprecated</x:v>
      </x:c>
      <x:c r="M254" s="63" t="str">
        <x:v>Legacy deep research mode deprecation notice</x:v>
      </x:c>
      <x:c r="N254" s="63" t="str">
        <x:v>舊版深度研究模式棄用通知</x:v>
      </x:c>
      <x:c r="O254" s="63" t="str">
        <x:v>The legacy deep research mode will be removed on Thursday, March 26, 2026. This change only affects the legacy mode; the current deep research experience will remain unchanged. Historical conversations and results will remain accessible. To learn more about deep research, see: Deep research in ChatGPT.</x:v>
      </x:c>
      <x:c r="P254" s="63" t="str">
        <x:v>舊版深度研究模式將於 2026 年 3 月 26 日星期四移除。此變更僅影響舊版模式；目前的深度研究體驗將保持不變。歷史對話與結果仍可存取。若要了解更多關於深度研究的資訊，請參閱：ChatGPT 中的深度研究。</x:v>
      </x:c>
      <x:c r="Q254" s="60" t="n">
        <x:v>4</x:v>
      </x:c>
      <x:c r="R254" s="60" t="str">
        <x:v>major</x:v>
      </x:c>
      <x:c r="S254" s="60" t="n">
        <x:v>3294</x:v>
      </x:c>
      <x:c r="T254" s="60" t="n">
        <x:v>471</x:v>
      </x:c>
      <x:c r="U254" s="52" t="str">
        <x:v>ChatGPT — Release Notes</x:v>
      </x:c>
      <x:c r="V254" s="52" t="str">
        <x:v>https://help.openai.com/en/articles/6825453-chatgpt-release-notes</x:v>
      </x:c>
      <x:c r="W254" s="52" t="str">
        <x:v>help_center_release_notes</x:v>
      </x:c>
      <x:c r="X254" s="52" t="str">
        <x:v>complete</x:v>
      </x:c>
      <x:c r="Y254" s="52" t="str">
        <x:v>high</x:v>
      </x:c>
      <x:c r="Z254" s="52" t="str">
        <x:v>agents_research | deprecation | deep research | 2026 | agents-research | deep-research</x:v>
      </x:c>
      <x:c r="AA254" s="52" t="n">
        <x:v>1</x:v>
      </x:c>
      <x:c r="AB254" s="53" t="b">
        <x:v>0</x:v>
      </x:c>
    </x:row>
    <x:row r="255" ht="42" customHeight="1">
      <x:c r="A255" s="57" t="n">
        <x:v>46100</x:v>
      </x:c>
      <x:c r="B255" s="52" t="str">
        <x:v>evt-20260319-legacy-deep-research-mode-deprecation</x:v>
      </x:c>
      <x:c r="C255" s="60" t="n">
        <x:v>2026</x:v>
      </x:c>
      <x:c r="D255" s="52" t="str">
        <x:v>Q1</x:v>
      </x:c>
      <x:c r="E255" s="52" t="str">
        <x:v>Unified Intelligence</x:v>
      </x:c>
      <x:c r="F255" s="52" t="str">
        <x:v>safety_lifecycle</x:v>
      </x:c>
      <x:c r="G255" s="52" t="str">
        <x:v>Safety Wall</x:v>
      </x:c>
      <x:c r="H255" s="52" t="n">
        <x:v>9</x:v>
      </x:c>
      <x:c r="I255" s="52" t="str">
        <x:v>!</x:v>
      </x:c>
      <x:c r="J255" s="52" t="str">
        <x:v>Deep Research</x:v>
      </x:c>
      <x:c r="K255" s="52" t="str">
        <x:v>deprecation</x:v>
      </x:c>
      <x:c r="L255" s="52" t="str">
        <x:v>deprecated</x:v>
      </x:c>
      <x:c r="M255" s="63" t="str">
        <x:v>Legacy deep research mode deprecation</x:v>
      </x:c>
      <x:c r="N255" s="63" t="str">
        <x:v>舊版 deep research 模式棄用</x:v>
      </x:c>
      <x:c r="O255" s="63" t="str">
        <x:v>OpenAI announced that legacy deep research mode would be removed on March 26, while the current deep research experience and historical results would remain.</x:v>
      </x:c>
      <x:c r="P255" s="63" t="str">
        <x:v>OpenAI 宣布舊版 deep research 模式將於 3 月 26 日移除；現行體驗與歷史結果不受影響。</x:v>
      </x:c>
      <x:c r="Q255" s="60" t="n">
        <x:v>4</x:v>
      </x:c>
      <x:c r="R255" s="60" t="str">
        <x:v>major</x:v>
      </x:c>
      <x:c r="S255" s="60" t="n">
        <x:v>3294</x:v>
      </x:c>
      <x:c r="T255" s="60" t="n">
        <x:v>1507</x:v>
      </x:c>
      <x:c r="U255" s="52" t="str">
        <x:v>ChatGPT Enterprise &amp; Edu — Release Notes</x:v>
      </x:c>
      <x:c r="V255" s="52" t="str">
        <x:v>https://help.openai.com/en/articles/10128477-chatgpt-enterprise-edu-release-notes</x:v>
      </x:c>
      <x:c r="W255" s="52" t="str">
        <x:v>help_center_release_notes</x:v>
      </x:c>
      <x:c r="X255" s="52" t="str">
        <x:v>parsed</x:v>
      </x:c>
      <x:c r="Y255" s="52" t="str">
        <x:v>high</x:v>
      </x:c>
      <x:c r="Z255" s="52" t="str">
        <x:v>safety_lifecycle | deprecation | Deep Research | deep-research</x:v>
      </x:c>
      <x:c r="AA255" s="52" t="n">
        <x:v>1</x:v>
      </x:c>
      <x:c r="AB255" s="53" t="b">
        <x:v>0</x:v>
      </x:c>
    </x:row>
    <x:row r="256" ht="42" customHeight="1">
      <x:c r="A256" s="57" t="n">
        <x:v>46101</x:v>
      </x:c>
      <x:c r="B256" s="52" t="str">
        <x:v>evt-20260320-codex-for-students</x:v>
      </x:c>
      <x:c r="C256" s="60" t="n">
        <x:v>2026</x:v>
      </x:c>
      <x:c r="D256" s="52" t="str">
        <x:v>Q1</x:v>
      </x:c>
      <x:c r="E256" s="52" t="str">
        <x:v>Unified Intelligence</x:v>
      </x:c>
      <x:c r="F256" s="52" t="str">
        <x:v>agents_research</x:v>
      </x:c>
      <x:c r="G256" s="52" t="str">
        <x:v>Agentic Frontier</x:v>
      </x:c>
      <x:c r="H256" s="52" t="n">
        <x:v>2</x:v>
      </x:c>
      <x:c r="I256" s="52" t="str">
        <x:v>&gt;</x:v>
      </x:c>
      <x:c r="J256" s="52" t="str">
        <x:v>Codex</x:v>
      </x:c>
      <x:c r="K256" s="52" t="str">
        <x:v>launch</x:v>
      </x:c>
      <x:c r="L256" s="52" t="str">
        <x:v>active</x:v>
      </x:c>
      <x:c r="M256" s="63" t="str">
        <x:v>Codex for Students</x:v>
      </x:c>
      <x:c r="N256" s="63" t="str">
        <x:v>學生版 Codex</x:v>
      </x:c>
      <x:c r="O256" s="63" t="str">
        <x:v>Codex for Students is now available for verified university students in the United States and Canada. Eligible students can claim $100 in ChatGPT credits, or 2,500 credits, to extend Codex usage beyond the limits included in ChatGPT Free, Go, Plus, and Pro. To get started, students sign in at chatgpt.com/codex/students and complete student verification through SheerID with their university email. Credits are applied automatically to…</x:v>
      </x:c>
      <x:c r="P256" s="63" t="str">
        <x:v>學生版 Codex 現已開放給美國和加拿大的已驗證大學生使用。符合資格的學生可領取 100 美元的 ChatGPT 點數（或 2,500 點），以擴展超出 ChatGPT Free、Go、Plus 和 Pro 所包含限制的 Codex 使用量……</x:v>
      </x:c>
      <x:c r="Q256" s="60" t="n">
        <x:v>5</x:v>
      </x:c>
      <x:c r="R256" s="60" t="str">
        <x:v>landmark</x:v>
      </x:c>
      <x:c r="S256" s="60" t="n">
        <x:v>3297</x:v>
      </x:c>
      <x:c r="T256" s="60" t="n">
        <x:v>457</x:v>
      </x:c>
      <x:c r="U256" s="52" t="str">
        <x:v>ChatGPT — Release Notes</x:v>
      </x:c>
      <x:c r="V256" s="52" t="str">
        <x:v>https://help.openai.com/en/articles/6825453-chatgpt-release-notes</x:v>
      </x:c>
      <x:c r="W256" s="52" t="str">
        <x:v>help_center_release_notes</x:v>
      </x:c>
      <x:c r="X256" s="52" t="str">
        <x:v>complete</x:v>
      </x:c>
      <x:c r="Y256" s="52" t="str">
        <x:v>high</x:v>
      </x:c>
      <x:c r="Z256" s="52" t="str">
        <x:v>agents_research | launch | Codex | 2026 | agents-research | codex</x:v>
      </x:c>
      <x:c r="AA256" s="52" t="n">
        <x:v>1</x:v>
      </x:c>
      <x:c r="AB256" s="53" t="b">
        <x:v>0</x:v>
      </x:c>
    </x:row>
    <x:row r="257" ht="42" customHeight="1">
      <x:c r="A257" s="57" t="n">
        <x:v>46104</x:v>
      </x:c>
      <x:c r="B257" s="52" t="str">
        <x:v>evt-20260323-file-library-in-chatgpt</x:v>
      </x:c>
      <x:c r="C257" s="60" t="n">
        <x:v>2026</x:v>
      </x:c>
      <x:c r="D257" s="52" t="str">
        <x:v>Q1</x:v>
      </x:c>
      <x:c r="E257" s="52" t="str">
        <x:v>Unified Intelligence</x:v>
      </x:c>
      <x:c r="F257" s="52" t="str">
        <x:v>memory_knowledge</x:v>
      </x:c>
      <x:c r="G257" s="52" t="str">
        <x:v>Memory Forest</x:v>
      </x:c>
      <x:c r="H257" s="52" t="n">
        <x:v>5</x:v>
      </x:c>
      <x:c r="I257" s="52" t="str">
        <x:v>&amp;</x:v>
      </x:c>
      <x:c r="J257" s="52" t="str">
        <x:v>ChatGPT Images</x:v>
      </x:c>
      <x:c r="K257" s="52" t="str">
        <x:v>launch</x:v>
      </x:c>
      <x:c r="L257" s="52" t="str">
        <x:v>active</x:v>
      </x:c>
      <x:c r="M257" s="63" t="str">
        <x:v>File Library in ChatGPT</x:v>
      </x:c>
      <x:c r="N257" s="63" t="str">
        <x:v>ChatGPT 中的檔案庫</x:v>
      </x:c>
      <x:c r="O257" s="63" t="str">
        <x:v>Now, it’s easier to find, reuse, and build on your files over time. When you upload or create a file—whether it’s a PDF, spreadsheet, image, or more—it’s automatically saved to your Library. Generated images will continue to appear in the Images tab. You can quickly reference files in a chat using recent files in the composer, or browse everything you’ve uploaded in the Library tab in the sidebar. You can also ask ChatGPT about files…</x:v>
      </x:c>
      <x:c r="P257" s="63" t="str">
        <x:v>現在，您可以更輕鬆地查找、重複使用並持續運用您的檔案。當您上傳或建立檔案（無論是 PDF、試算表、圖像或其他類型）時，它會自動儲存至您的「檔案庫」。生成的圖像將繼續出現在「圖像」標籤頁中……</x:v>
      </x:c>
      <x:c r="Q257" s="60" t="n">
        <x:v>4</x:v>
      </x:c>
      <x:c r="R257" s="60" t="str">
        <x:v>major</x:v>
      </x:c>
      <x:c r="S257" s="60" t="n">
        <x:v>3304</x:v>
      </x:c>
      <x:c r="T257" s="60" t="n">
        <x:v>888</x:v>
      </x:c>
      <x:c r="U257" s="52" t="str">
        <x:v>ChatGPT — Release Notes</x:v>
      </x:c>
      <x:c r="V257" s="52" t="str">
        <x:v>https://help.openai.com/en/articles/6825453-chatgpt-release-notes</x:v>
      </x:c>
      <x:c r="W257" s="52" t="str">
        <x:v>help_center_release_notes</x:v>
      </x:c>
      <x:c r="X257" s="52" t="str">
        <x:v>complete</x:v>
      </x:c>
      <x:c r="Y257" s="52" t="str">
        <x:v>high</x:v>
      </x:c>
      <x:c r="Z257" s="52" t="str">
        <x:v>memory_knowledge | launch | ChatGPT Images | 2026 | files | memory-knowledge</x:v>
      </x:c>
      <x:c r="AA257" s="52" t="n">
        <x:v>1</x:v>
      </x:c>
      <x:c r="AB257" s="53" t="b">
        <x:v>0</x:v>
      </x:c>
    </x:row>
    <x:row r="258" ht="42" customHeight="1">
      <x:c r="A258" s="57" t="n">
        <x:v>46105</x:v>
      </x:c>
      <x:c r="B258" s="52" t="str">
        <x:v>evt-20260324-sora-2-video-generation-models-and-videos-api-deprecation</x:v>
      </x:c>
      <x:c r="C258" s="60" t="n">
        <x:v>2026</x:v>
      </x:c>
      <x:c r="D258" s="52" t="str">
        <x:v>Q1</x:v>
      </x:c>
      <x:c r="E258" s="52" t="str">
        <x:v>Unified Intelligence</x:v>
      </x:c>
      <x:c r="F258" s="52" t="str">
        <x:v>safety_lifecycle</x:v>
      </x:c>
      <x:c r="G258" s="52" t="str">
        <x:v>Safety Wall</x:v>
      </x:c>
      <x:c r="H258" s="52" t="n">
        <x:v>9</x:v>
      </x:c>
      <x:c r="I258" s="52" t="str">
        <x:v>!</x:v>
      </x:c>
      <x:c r="J258" s="52" t="str">
        <x:v>Videos API</x:v>
      </x:c>
      <x:c r="K258" s="52" t="str">
        <x:v>deprecation</x:v>
      </x:c>
      <x:c r="L258" s="52" t="str">
        <x:v>deprecated</x:v>
      </x:c>
      <x:c r="M258" s="63" t="str">
        <x:v>Sora 2 video generation models and Videos API deprecation</x:v>
      </x:c>
      <x:c r="N258" s="63" t="str">
        <x:v>Sora 2 video generation models and Videos API 棄用公告</x:v>
      </x:c>
      <x:c r="O258" s="63" t="str">
        <x:v>On March 24th, 2026, we notified developers using the Videos API and Sora 2 video generation model aliases and snapshots of their deprecation and removal from the API on September 24, 2026. Schedule/replacements: 2026-09-24 Videos API ---; 2026-09-24 sora-2 ---; 2026-09-24 sora-2-pro ---; 2026-09-24 sora-2-2025-10-06 ---; 2026-09-24 sora-2-2025-12-08 ---; 2026-09-24 sora-2-pro-2025-10-06 ---</x:v>
      </x:c>
      <x:c r="P258" s="63" t="str">
        <x:v>OpenAI 於 2026-03-24 公告 Sora 2 video generation models and Videos API 的棄用或下線時程，並列出替代方案與遷移方向。</x:v>
      </x:c>
      <x:c r="Q258" s="60" t="n">
        <x:v>4</x:v>
      </x:c>
      <x:c r="R258" s="60" t="str">
        <x:v>major</x:v>
      </x:c>
      <x:c r="S258" s="60" t="n">
        <x:v>3307</x:v>
      </x:c>
      <x:c r="T258" s="60" t="n">
        <x:v>1533</x:v>
      </x:c>
      <x:c r="U258" s="52" t="str">
        <x:v>OpenAI API Deprecations</x:v>
      </x:c>
      <x:c r="V258" s="52" t="str">
        <x:v>https://developers.openai.com/api/docs/deprecations#2026-03-24-sora-2-video-generation-models-and-videos-api</x:v>
      </x:c>
      <x:c r="W258" s="52" t="str">
        <x:v>official_deprecation_registry</x:v>
      </x:c>
      <x:c r="X258" s="52" t="str">
        <x:v>corroborated</x:v>
      </x:c>
      <x:c r="Y258" s="52" t="str">
        <x:v>high</x:v>
      </x:c>
      <x:c r="Z258" s="52" t="str">
        <x:v>safety_lifecycle | deprecation | Videos API | api | videos-api</x:v>
      </x:c>
      <x:c r="AA258" s="52" t="n">
        <x:v>2</x:v>
      </x:c>
      <x:c r="AB258" s="53" t="b">
        <x:v>1</x:v>
      </x:c>
    </x:row>
    <x:row r="259" ht="42" customHeight="1">
      <x:c r="A259" s="57" t="n">
        <x:v>46106</x:v>
      </x:c>
      <x:c r="B259" s="52" t="str">
        <x:v>evt-20260325-plugin-distribution-guidance</x:v>
      </x:c>
      <x:c r="C259" s="60" t="n">
        <x:v>2026</x:v>
      </x:c>
      <x:c r="D259" s="52" t="str">
        <x:v>Q1</x:v>
      </x:c>
      <x:c r="E259" s="52" t="str">
        <x:v>Unified Intelligence</x:v>
      </x:c>
      <x:c r="F259" s="52" t="str">
        <x:v>developer_platform</x:v>
      </x:c>
      <x:c r="G259" s="52" t="str">
        <x:v>Toolsmith Harbor</x:v>
      </x:c>
      <x:c r="H259" s="52" t="n">
        <x:v>3</x:v>
      </x:c>
      <x:c r="I259" s="52" t="str">
        <x:v>#</x:v>
      </x:c>
      <x:c r="J259" s="52" t="str">
        <x:v>Apps SDK</x:v>
      </x:c>
      <x:c r="K259" s="52" t="str">
        <x:v>availability</x:v>
      </x:c>
      <x:c r="L259" s="52" t="str">
        <x:v>active</x:v>
      </x:c>
      <x:c r="M259" s="63" t="str">
        <x:v>Plugin distribution guidance</x:v>
      </x:c>
      <x:c r="N259" s="63" t="str">
        <x:v>Plugin distribution guidance 更新</x:v>
      </x:c>
      <x:c r="O259" s="63" t="str">
        <x:v>Fixes &amp; improvements Apps SDK docs now explain that OpenAI turns approved apps into plugins for Codex distribution, and that for now plugins are only available in Codex.</x:v>
      </x:c>
      <x:c r="P259" s="63" t="str">
        <x:v>Apps SDK Changelog 在 2026-03-25 記錄了Codex 編碼代理、可靠性與效能修正相關更新；完整版本與修正內容見官方英文摘要。</x:v>
      </x:c>
      <x:c r="Q259" s="60" t="n">
        <x:v>4</x:v>
      </x:c>
      <x:c r="R259" s="60" t="str">
        <x:v>major</x:v>
      </x:c>
      <x:c r="S259" s="60" t="n">
        <x:v>3310</x:v>
      </x:c>
      <x:c r="T259" s="60" t="n">
        <x:v>631</x:v>
      </x:c>
      <x:c r="U259" s="52" t="str">
        <x:v>Apps SDK Changelog</x:v>
      </x:c>
      <x:c r="V259" s="52" t="str">
        <x:v>https://developers.openai.com/apps-sdk/changelog/</x:v>
      </x:c>
      <x:c r="W259" s="52" t="str">
        <x:v>developer_changelog</x:v>
      </x:c>
      <x:c r="X259" s="52" t="str">
        <x:v>complete</x:v>
      </x:c>
      <x:c r="Y259" s="52" t="str">
        <x:v>high</x:v>
      </x:c>
      <x:c r="Z259" s="52" t="str">
        <x:v>developer_platform | availability | Apps SDK | apps-sdk | chatgpt-apps | mcp</x:v>
      </x:c>
      <x:c r="AA259" s="52" t="n">
        <x:v>1</x:v>
      </x:c>
      <x:c r="AB259" s="53" t="b">
        <x:v>0</x:v>
      </x:c>
    </x:row>
    <x:row r="260" ht="42" customHeight="1">
      <x:c r="A260" s="57" t="n">
        <x:v>46106</x:v>
      </x:c>
      <x:c r="B260" s="52" t="str">
        <x:v>evt-20260325-build-and-install-plugins-in-codex</x:v>
      </x:c>
      <x:c r="C260" s="60" t="n">
        <x:v>2026</x:v>
      </x:c>
      <x:c r="D260" s="52" t="str">
        <x:v>Q1</x:v>
      </x:c>
      <x:c r="E260" s="52" t="str">
        <x:v>Unified Intelligence</x:v>
      </x:c>
      <x:c r="F260" s="52" t="str">
        <x:v>agents_research</x:v>
      </x:c>
      <x:c r="G260" s="52" t="str">
        <x:v>Agentic Frontier</x:v>
      </x:c>
      <x:c r="H260" s="52" t="n">
        <x:v>2</x:v>
      </x:c>
      <x:c r="I260" s="52" t="str">
        <x:v>&gt;</x:v>
      </x:c>
      <x:c r="J260" s="52" t="str">
        <x:v>Codex</x:v>
      </x:c>
      <x:c r="K260" s="52" t="str">
        <x:v>availability</x:v>
      </x:c>
      <x:c r="L260" s="52" t="str">
        <x:v>active</x:v>
      </x:c>
      <x:c r="M260" s="63" t="str">
        <x:v>Build and install plugins in Codex</x:v>
      </x:c>
      <x:c r="N260" s="63" t="str">
        <x:v>建置並安裝 plugins in Codex</x:v>
      </x:c>
      <x:c r="O260" s="63" t="str">
        <x:v>Codex now supports plugins : installable bundles that package skills, app integrations, and MCP server configuration for reusable workflows. Plugins are available in the Codex app, CLI, and IDE extensions. You can install curated plugins from the plugin directory, or scaffold a local plugin with @plugin-creator and test it with workspace-scoped or home-scoped marketplaces. Learn more in the plugins documentation . Plugin structure Ev…</x:v>
      </x:c>
      <x:c r="P260" s="63" t="str">
        <x:v>Codex Changelog 在 2026-03-25 記錄了Codex 編碼代理、代理與工具調用相關更新；完整版本與修正內容見官方英文摘要。</x:v>
      </x:c>
      <x:c r="Q260" s="60" t="n">
        <x:v>4</x:v>
      </x:c>
      <x:c r="R260" s="60" t="str">
        <x:v>major</x:v>
      </x:c>
      <x:c r="S260" s="60" t="n">
        <x:v>3310</x:v>
      </x:c>
      <x:c r="T260" s="60" t="n">
        <x:v>505</x:v>
      </x:c>
      <x:c r="U260" s="52" t="str">
        <x:v>Codex Changelog</x:v>
      </x:c>
      <x:c r="V260" s="52" t="str">
        <x:v>https://developers.openai.com/codex/changelog/</x:v>
      </x:c>
      <x:c r="W260" s="52" t="str">
        <x:v>developer_changelog</x:v>
      </x:c>
      <x:c r="X260" s="52" t="str">
        <x:v>complete</x:v>
      </x:c>
      <x:c r="Y260" s="52" t="str">
        <x:v>high</x:v>
      </x:c>
      <x:c r="Z260" s="52" t="str">
        <x:v>agents_research | availability | Codex | codex | release-notes</x:v>
      </x:c>
      <x:c r="AA260" s="52" t="n">
        <x:v>1</x:v>
      </x:c>
      <x:c r="AB260" s="53" t="b">
        <x:v>0</x:v>
      </x:c>
    </x:row>
    <x:row r="261" ht="42" customHeight="1">
      <x:c r="A261" s="57" t="n">
        <x:v>46106</x:v>
      </x:c>
      <x:c r="B261" s="52" t="str">
        <x:v>evt-20260325-large-pastes-are-now-handled-as-attachments</x:v>
      </x:c>
      <x:c r="C261" s="60" t="n">
        <x:v>2026</x:v>
      </x:c>
      <x:c r="D261" s="52" t="str">
        <x:v>Q1</x:v>
      </x:c>
      <x:c r="E261" s="52" t="str">
        <x:v>Unified Intelligence</x:v>
      </x:c>
      <x:c r="F261" s="52" t="str">
        <x:v>chatgpt_core</x:v>
      </x:c>
      <x:c r="G261" s="52" t="str">
        <x:v>Origin Plaza</x:v>
      </x:c>
      <x:c r="H261" s="52" t="n">
        <x:v>0</x:v>
      </x:c>
      <x:c r="I261" s="52" t="str">
        <x:v>@</x:v>
      </x:c>
      <x:c r="J261" s="52" t="str">
        <x:v>ChatGPT Plus</x:v>
      </x:c>
      <x:c r="K261" s="52" t="str">
        <x:v>feature</x:v>
      </x:c>
      <x:c r="L261" s="52" t="str">
        <x:v>active</x:v>
      </x:c>
      <x:c r="M261" s="63" t="str">
        <x:v>Large pastes are now handled as attachments</x:v>
      </x:c>
      <x:c r="N261" s="63" t="str">
        <x:v>大型貼上內容現以附件形式處理</x:v>
      </x:c>
      <x:c r="O261" s="63" t="str">
        <x:v>Starting today for ChatGPT Plus, Pro, and Business users, long pastes are handled differently in ChatGPT. If you paste more than 5k characters into the composer, ChatGPT will automatically convert the content into an attachment instead of inserting it directly into the text field. This keeps the composer cleaner and helps prevent large pastes from consuming your entire context window. You can still move the content back into the mess…</x:v>
      </x:c>
      <x:c r="P261" s="63" t="str">
        <x:v>從今日起，對於 ChatGPT Plus、Pro 和 Business 使用者，長篇貼上內容在 ChatGPT 中的處理方式有所不同。若您在編輯器中貼上超過 5k 字元，ChatGPT 將自動把內容轉換為附件，而非直接插入文字欄位。…</x:v>
      </x:c>
      <x:c r="Q261" s="60" t="n">
        <x:v>4</x:v>
      </x:c>
      <x:c r="R261" s="60" t="str">
        <x:v>major</x:v>
      </x:c>
      <x:c r="S261" s="60" t="n">
        <x:v>3310</x:v>
      </x:c>
      <x:c r="T261" s="60" t="n">
        <x:v>141</x:v>
      </x:c>
      <x:c r="U261" s="52" t="str">
        <x:v>ChatGPT — Release Notes</x:v>
      </x:c>
      <x:c r="V261" s="52" t="str">
        <x:v>https://help.openai.com/en/articles/6825453-chatgpt-release-notes</x:v>
      </x:c>
      <x:c r="W261" s="52" t="str">
        <x:v>help_center_release_notes</x:v>
      </x:c>
      <x:c r="X261" s="52" t="str">
        <x:v>complete</x:v>
      </x:c>
      <x:c r="Y261" s="52" t="str">
        <x:v>high</x:v>
      </x:c>
      <x:c r="Z261" s="52" t="str">
        <x:v>chatgpt_core | feature | ChatGPT Plus | 2026 | chatgpt | chatgpt-core</x:v>
      </x:c>
      <x:c r="AA261" s="52" t="n">
        <x:v>1</x:v>
      </x:c>
      <x:c r="AB261" s="53" t="b">
        <x:v>0</x:v>
      </x:c>
    </x:row>
    <x:row r="262" ht="42" customHeight="1">
      <x:c r="A262" s="57" t="n">
        <x:v>46107</x:v>
      </x:c>
      <x:c r="B262" s="52" t="str">
        <x:v>evt-20260326-plugins-in-codex</x:v>
      </x:c>
      <x:c r="C262" s="60" t="n">
        <x:v>2026</x:v>
      </x:c>
      <x:c r="D262" s="52" t="str">
        <x:v>Q1</x:v>
      </x:c>
      <x:c r="E262" s="52" t="str">
        <x:v>Unified Intelligence</x:v>
      </x:c>
      <x:c r="F262" s="52" t="str">
        <x:v>agents_research</x:v>
      </x:c>
      <x:c r="G262" s="52" t="str">
        <x:v>Agentic Frontier</x:v>
      </x:c>
      <x:c r="H262" s="52" t="n">
        <x:v>2</x:v>
      </x:c>
      <x:c r="I262" s="52" t="str">
        <x:v>&gt;</x:v>
      </x:c>
      <x:c r="J262" s="52" t="str">
        <x:v>Codex</x:v>
      </x:c>
      <x:c r="K262" s="52" t="str">
        <x:v>integration</x:v>
      </x:c>
      <x:c r="L262" s="52" t="str">
        <x:v>active</x:v>
      </x:c>
      <x:c r="M262" s="63" t="str">
        <x:v>Plugins in Codex</x:v>
      </x:c>
      <x:c r="N262" s="63" t="str">
        <x:v>Codex 中的外掛程式</x:v>
      </x:c>
      <x:c r="O262" s="63" t="str">
        <x:v>Codex now includes a curated plugins directory that lets users discover, install, and use packaged workflows built from apps and skills directly in Codex. Plugins are installable bundles for reusable Codex workflows, making it easier to share the same setup across projects or teams. Plugins can package skills, optional app integrations, and MCP server configurations in a single place. Learn more.</x:v>
      </x:c>
      <x:c r="P262" s="63" t="str">
        <x:v>Codex 現在包含一個精選外掛程式目錄，讓使用者可以直接在 Codex 中探索、安裝並使用由應用程式與技能建立的封裝工作流程。外掛程式是可安裝的套件，用於可重複使用的 Codex 工作流程，讓跨專案或團隊共享相同的設定變得更加容易。…</x:v>
      </x:c>
      <x:c r="Q262" s="60" t="n">
        <x:v>4</x:v>
      </x:c>
      <x:c r="R262" s="60" t="str">
        <x:v>major</x:v>
      </x:c>
      <x:c r="S262" s="60" t="n">
        <x:v>3312</x:v>
      </x:c>
      <x:c r="T262" s="60" t="n">
        <x:v>477</x:v>
      </x:c>
      <x:c r="U262" s="52" t="str">
        <x:v>ChatGPT — Release Notes</x:v>
      </x:c>
      <x:c r="V262" s="52" t="str">
        <x:v>https://help.openai.com/en/articles/6825453-chatgpt-release-notes</x:v>
      </x:c>
      <x:c r="W262" s="52" t="str">
        <x:v>help_center_release_notes</x:v>
      </x:c>
      <x:c r="X262" s="52" t="str">
        <x:v>complete</x:v>
      </x:c>
      <x:c r="Y262" s="52" t="str">
        <x:v>high</x:v>
      </x:c>
      <x:c r="Z262" s="52" t="str">
        <x:v>agents_research | integration | Codex | 2026 | agents-research | codex</x:v>
      </x:c>
      <x:c r="AA262" s="52" t="n">
        <x:v>1</x:v>
      </x:c>
      <x:c r="AB262" s="53" t="b">
        <x:v>0</x:v>
      </x:c>
    </x:row>
    <x:row r="263" ht="42" customHeight="1">
      <x:c r="A263" s="57" t="n">
        <x:v>46107</x:v>
      </x:c>
      <x:c r="B263" s="52" t="str">
        <x:v>evt-20260326-a-simplified-sidebar-on-mobile</x:v>
      </x:c>
      <x:c r="C263" s="60" t="n">
        <x:v>2026</x:v>
      </x:c>
      <x:c r="D263" s="52" t="str">
        <x:v>Q1</x:v>
      </x:c>
      <x:c r="E263" s="52" t="str">
        <x:v>Unified Intelligence</x:v>
      </x:c>
      <x:c r="F263" s="52" t="str">
        <x:v>clients_surfaces</x:v>
      </x:c>
      <x:c r="G263" s="52" t="str">
        <x:v>Client Archipelago</x:v>
      </x:c>
      <x:c r="H263" s="52" t="n">
        <x:v>8</x:v>
      </x:c>
      <x:c r="I263" s="52" t="str">
        <x:v>+</x:v>
      </x:c>
      <x:c r="J263" s="52" t="str">
        <x:v>ChatGPT</x:v>
      </x:c>
      <x:c r="K263" s="52" t="str">
        <x:v>feature</x:v>
      </x:c>
      <x:c r="L263" s="52" t="str">
        <x:v>active</x:v>
      </x:c>
      <x:c r="M263" s="63" t="str">
        <x:v>A simplified sidebar on mobile</x:v>
      </x:c>
      <x:c r="N263" s="63" t="str">
        <x:v>行動裝置上簡化的側邊欄</x:v>
      </x:c>
      <x:c r="O263" s="63" t="str">
        <x:v>To give you more space to view your most critical chats and projects, the sidebar menu is now simplified on iOS and Android. ChatGPT experiences available to you based on your plan and usage—like Images, Codex, Pulse, and Apps—now appear in a horizontal bar above your chats and projects.</x:v>
      </x:c>
      <x:c r="P263" s="63" t="str">
        <x:v>為了讓您有更多空間檢視最重要的對話與專案，iOS 和 Android 上的側邊欄選單現已簡化。根據您的方案與使用情況提供給您的 ChatGPT 體驗（如 Images、Codex、Pulse 和 Apps），現在會顯示在對話與專案上方的水平列中。</x:v>
      </x:c>
      <x:c r="Q263" s="60" t="n">
        <x:v>4</x:v>
      </x:c>
      <x:c r="R263" s="60" t="str">
        <x:v>major</x:v>
      </x:c>
      <x:c r="S263" s="60" t="n">
        <x:v>3312</x:v>
      </x:c>
      <x:c r="T263" s="60" t="n">
        <x:v>1373</x:v>
      </x:c>
      <x:c r="U263" s="52" t="str">
        <x:v>ChatGPT — Release Notes</x:v>
      </x:c>
      <x:c r="V263" s="52" t="str">
        <x:v>https://help.openai.com/en/articles/6825453-chatgpt-release-notes</x:v>
      </x:c>
      <x:c r="W263" s="52" t="str">
        <x:v>help_center_release_notes</x:v>
      </x:c>
      <x:c r="X263" s="52" t="str">
        <x:v>complete</x:v>
      </x:c>
      <x:c r="Y263" s="52" t="str">
        <x:v>high</x:v>
      </x:c>
      <x:c r="Z263" s="52" t="str">
        <x:v>clients_surfaces | feature | ChatGPT | 2026 | chatgpt | clients-surfaces</x:v>
      </x:c>
      <x:c r="AA263" s="52" t="n">
        <x:v>1</x:v>
      </x:c>
      <x:c r="AB263" s="53" t="b">
        <x:v>0</x:v>
      </x:c>
    </x:row>
    <x:row r="264" ht="42" customHeight="1">
      <x:c r="A264" s="57" t="n">
        <x:v>46114</x:v>
      </x:c>
      <x:c r="B264" s="52" t="str">
        <x:v>evt-20260402-codex-seats-for-chatgpt-enterprise</x:v>
      </x:c>
      <x:c r="C264" s="60" t="n">
        <x:v>2026</x:v>
      </x:c>
      <x:c r="D264" s="52" t="str">
        <x:v>Q2</x:v>
      </x:c>
      <x:c r="E264" s="52" t="str">
        <x:v>Unified Intelligence</x:v>
      </x:c>
      <x:c r="F264" s="52" t="str">
        <x:v>enterprise_vertical</x:v>
      </x:c>
      <x:c r="G264" s="52" t="str">
        <x:v>Enterprise Citadel</x:v>
      </x:c>
      <x:c r="H264" s="52" t="n">
        <x:v>7</x:v>
      </x:c>
      <x:c r="I264" s="52" t="str">
        <x:v>H</x:v>
      </x:c>
      <x:c r="J264" s="52" t="str">
        <x:v>Codex Enterprise</x:v>
      </x:c>
      <x:c r="K264" s="52" t="str">
        <x:v>launch</x:v>
      </x:c>
      <x:c r="L264" s="52" t="str">
        <x:v>active</x:v>
      </x:c>
      <x:c r="M264" s="63" t="str">
        <x:v>Codex seats for ChatGPT Enterprise</x:v>
      </x:c>
      <x:c r="N264" s="63" t="str">
        <x:v>ChatGPT Enterprise 新增 Codex 席次</x:v>
      </x:c>
      <x:c r="O264" s="63" t="str">
        <x:v>OpenAI introduced usage-based Codex-only seats for ChatGPT Enterprise, separate from standard ChatGPT workspace seats.</x:v>
      </x:c>
      <x:c r="P264" s="63" t="str">
        <x:v>OpenAI 為 ChatGPT Enterprise 推出按用量計費的 Codex-only 席次，與標準 ChatGPT 工作區席次分開。</x:v>
      </x:c>
      <x:c r="Q264" s="60" t="n">
        <x:v>5</x:v>
      </x:c>
      <x:c r="R264" s="60" t="str">
        <x:v>landmark</x:v>
      </x:c>
      <x:c r="S264" s="60" t="n">
        <x:v>3330</x:v>
      </x:c>
      <x:c r="T264" s="60" t="n">
        <x:v>1244</x:v>
      </x:c>
      <x:c r="U264" s="52" t="str">
        <x:v>ChatGPT Enterprise &amp; Edu — Release Notes</x:v>
      </x:c>
      <x:c r="V264" s="52" t="str">
        <x:v>https://help.openai.com/en/articles/10128477-chatgpt-enterprise-edu-release-notes</x:v>
      </x:c>
      <x:c r="W264" s="52" t="str">
        <x:v>help_center_release_notes</x:v>
      </x:c>
      <x:c r="X264" s="52" t="str">
        <x:v>parsed</x:v>
      </x:c>
      <x:c r="Y264" s="52" t="str">
        <x:v>high</x:v>
      </x:c>
      <x:c r="Z264" s="52" t="str">
        <x:v>enterprise_vertical | launch | Codex Enterprise | codex | enterprise | pricing</x:v>
      </x:c>
      <x:c r="AA264" s="52" t="n">
        <x:v>1</x:v>
      </x:c>
      <x:c r="AB264" s="53" t="b">
        <x:v>0</x:v>
      </x:c>
    </x:row>
    <x:row r="265" ht="42" customHeight="1">
      <x:c r="A265" s="57" t="n">
        <x:v>46114</x:v>
      </x:c>
      <x:c r="B265" s="52" t="str">
        <x:v>evt-20260402-chatgpt-in-apple-carplay</x:v>
      </x:c>
      <x:c r="C265" s="60" t="n">
        <x:v>2026</x:v>
      </x:c>
      <x:c r="D265" s="52" t="str">
        <x:v>Q2</x:v>
      </x:c>
      <x:c r="E265" s="52" t="str">
        <x:v>Unified Intelligence</x:v>
      </x:c>
      <x:c r="F265" s="52" t="str">
        <x:v>clients_surfaces</x:v>
      </x:c>
      <x:c r="G265" s="52" t="str">
        <x:v>Client Archipelago</x:v>
      </x:c>
      <x:c r="H265" s="52" t="n">
        <x:v>8</x:v>
      </x:c>
      <x:c r="I265" s="52" t="str">
        <x:v>+</x:v>
      </x:c>
      <x:c r="J265" s="52" t="str">
        <x:v>ChatGPT Voice</x:v>
      </x:c>
      <x:c r="K265" s="52" t="str">
        <x:v>platform</x:v>
      </x:c>
      <x:c r="L265" s="52" t="str">
        <x:v>active</x:v>
      </x:c>
      <x:c r="M265" s="63" t="str">
        <x:v>ChatGPT in Apple CarPlay</x:v>
      </x:c>
      <x:c r="N265" s="63" t="str">
        <x:v>Apple CarPlay 中的 ChatGPT</x:v>
      </x:c>
      <x:c r="O265" s="63" t="str">
        <x:v>We’re rolling out ChatGPT in CarPlay, giving you access to a hands-free ChatGPT experience while on-the-go. If you have iOS 26.4 or newer and are connected to a supported car, you can start new voice conversations with ChatGPT directly from the CarPlay interface. You can also resume existing conversations you were having using voice mode in the ChatGPT mobile app. Learn more.</x:v>
      </x:c>
      <x:c r="P265" s="63" t="str">
        <x:v>我們正在 CarPlay 中推出 ChatGPT，讓您在行動中也能體驗免手持的 ChatGPT。如果您擁有 iOS 26.4 或更新版本，並連接到受支援的汽車，即可直接從 CarPlay 介面與 ChatGPT 進行新的語音對話。…</x:v>
      </x:c>
      <x:c r="Q265" s="60" t="n">
        <x:v>4</x:v>
      </x:c>
      <x:c r="R265" s="60" t="str">
        <x:v>major</x:v>
      </x:c>
      <x:c r="S265" s="60" t="n">
        <x:v>3330</x:v>
      </x:c>
      <x:c r="T265" s="60" t="n">
        <x:v>1392</x:v>
      </x:c>
      <x:c r="U265" s="52" t="str">
        <x:v>ChatGPT — Release Notes</x:v>
      </x:c>
      <x:c r="V265" s="52" t="str">
        <x:v>https://help.openai.com/en/articles/6825453-chatgpt-release-notes</x:v>
      </x:c>
      <x:c r="W265" s="52" t="str">
        <x:v>help_center_release_notes</x:v>
      </x:c>
      <x:c r="X265" s="52" t="str">
        <x:v>complete</x:v>
      </x:c>
      <x:c r="Y265" s="52" t="str">
        <x:v>high</x:v>
      </x:c>
      <x:c r="Z265" s="52" t="str">
        <x:v>clients_surfaces | platform | ChatGPT Voice | 2026 | chatgpt | clients-surfaces</x:v>
      </x:c>
      <x:c r="AA265" s="52" t="n">
        <x:v>1</x:v>
      </x:c>
      <x:c r="AB265" s="53" t="b">
        <x:v>0</x:v>
      </x:c>
    </x:row>
    <x:row r="266" ht="42" customHeight="1">
      <x:c r="A266" s="57" t="n">
        <x:v>46121</x:v>
      </x:c>
      <x:c r="B266" s="52" t="str">
        <x:v>evt-20260409-gpt-5-3-instant-mini-in-chatgpt</x:v>
      </x:c>
      <x:c r="C266" s="60" t="n">
        <x:v>2026</x:v>
      </x:c>
      <x:c r="D266" s="52" t="str">
        <x:v>Q2</x:v>
      </x:c>
      <x:c r="E266" s="52" t="str">
        <x:v>Unified Intelligence</x:v>
      </x:c>
      <x:c r="F266" s="52" t="str">
        <x:v>models_reasoning</x:v>
      </x:c>
      <x:c r="G266" s="52" t="str">
        <x:v>Model Mountains</x:v>
      </x:c>
      <x:c r="H266" s="52" t="n">
        <x:v>1</x:v>
      </x:c>
      <x:c r="I266" s="52" t="str">
        <x:v>^</x:v>
      </x:c>
      <x:c r="J266" s="52" t="str">
        <x:v>GPT-5.3</x:v>
      </x:c>
      <x:c r="K266" s="52" t="str">
        <x:v>model_release</x:v>
      </x:c>
      <x:c r="L266" s="52" t="str">
        <x:v>active</x:v>
      </x:c>
      <x:c r="M266" s="63" t="str">
        <x:v>GPT-5.3 Instant mini in ChatGPT</x:v>
      </x:c>
      <x:c r="N266" s="63" t="str">
        <x:v>ChatGPT 中的 GPT-5.3 Instant Mini</x:v>
      </x:c>
      <x:c r="O266" s="63" t="str">
        <x:v>Today, we’re releasing GPT-5.3 Instant Mini in ChatGPT. It replaces GPT-5 Instant Mini as the fallback model users reach after hitting their rate limits for GPT-5.3 Instant. Because it serves as a fallback, it won’t appear in the model picker. Compared with GPT-5 Instant Mini, GPT-5.3 Instant Mini feels more natural in conversation, with stronger writing and contextual awareness throughout chats. It outperforms GPT-5 Instant Mini acr…</x:v>
      </x:c>
      <x:c r="P266" s="63" t="str">
        <x:v>今日，我們在 ChatGPT 中推出 GPT-5.3 Instant Mini。它取代了 GPT-5 Instant Mini，成為使用者在達到 GPT-5.3 Instant 的速率限制後會觸發的備用模型。由於它是作為備用模型，因此不會出現在模型選擇器中。…</x:v>
      </x:c>
      <x:c r="Q266" s="60" t="n">
        <x:v>5</x:v>
      </x:c>
      <x:c r="R266" s="60" t="str">
        <x:v>landmark</x:v>
      </x:c>
      <x:c r="S266" s="60" t="n">
        <x:v>3348</x:v>
      </x:c>
      <x:c r="T266" s="60" t="n">
        <x:v>304</x:v>
      </x:c>
      <x:c r="U266" s="52" t="str">
        <x:v>ChatGPT — Release Notes</x:v>
      </x:c>
      <x:c r="V266" s="52" t="str">
        <x:v>https://help.openai.com/en/articles/6825453-chatgpt-release-notes</x:v>
      </x:c>
      <x:c r="W266" s="52" t="str">
        <x:v>help_center_release_notes</x:v>
      </x:c>
      <x:c r="X266" s="52" t="str">
        <x:v>complete</x:v>
      </x:c>
      <x:c r="Y266" s="52" t="str">
        <x:v>high</x:v>
      </x:c>
      <x:c r="Z266" s="52" t="str">
        <x:v>models_reasoning | model_release | GPT-5.3 | 2026 | gpt-5.3 | models-reasoning</x:v>
      </x:c>
      <x:c r="AA266" s="52" t="n">
        <x:v>1</x:v>
      </x:c>
      <x:c r="AB266" s="53" t="b">
        <x:v>0</x:v>
      </x:c>
    </x:row>
    <x:row r="267" ht="42" customHeight="1">
      <x:c r="A267" s="57" t="n">
        <x:v>46121</x:v>
      </x:c>
      <x:c r="B267" s="52" t="str">
        <x:v>evt-20260409-new-pro-plan-options</x:v>
      </x:c>
      <x:c r="C267" s="60" t="n">
        <x:v>2026</x:v>
      </x:c>
      <x:c r="D267" s="52" t="str">
        <x:v>Q2</x:v>
      </x:c>
      <x:c r="E267" s="52" t="str">
        <x:v>Unified Intelligence</x:v>
      </x:c>
      <x:c r="F267" s="52" t="str">
        <x:v>chatgpt_core</x:v>
      </x:c>
      <x:c r="G267" s="52" t="str">
        <x:v>Origin Plaza</x:v>
      </x:c>
      <x:c r="H267" s="52" t="n">
        <x:v>0</x:v>
      </x:c>
      <x:c r="I267" s="52" t="str">
        <x:v>@</x:v>
      </x:c>
      <x:c r="J267" s="52" t="str">
        <x:v>ChatGPT</x:v>
      </x:c>
      <x:c r="K267" s="52" t="str">
        <x:v>pricing_quota</x:v>
      </x:c>
      <x:c r="L267" s="52" t="str">
        <x:v>active</x:v>
      </x:c>
      <x:c r="M267" s="63" t="str">
        <x:v>New Pro plan options</x:v>
      </x:c>
      <x:c r="N267" s="63" t="str">
        <x:v>新的 Pro 方案選項</x:v>
      </x:c>
      <x:c r="O267" s="63" t="str">
        <x:v>We’re introducing a new $100/month Pro plan and updating how Codex usage works across Plus and Pro. Pro ($100/month): Built for longer, high-intensity Codex sessions. It includes unlimited access to GPT-5.4, access to GPT-5.4 Pro, and, for a limited time, up to 10x more Codex usage than Plus (up from 5X standard usage allowance). Pro ($200/month): Our highest-usage option remains available and continues on its current Codex promotion…</x:v>
      </x:c>
      <x:c r="P267" s="63" t="str">
        <x:v>我們推出了一項每月 $100 的新 Pro 方案，並更新了 Plus 和 Pro 方案的 Codex 使用方式。Pro（每月 $100）：專為更長、高強度的 Codex 工作階段打造。包含無限存取 GPT-5.4、存取 GPT-5.4 Pro，且在限時內，Codex 的使用量比 Plus 多達 10 倍（從標準使用配額的 5 倍提升）。…</x:v>
      </x:c>
      <x:c r="Q267" s="60" t="n">
        <x:v>4</x:v>
      </x:c>
      <x:c r="R267" s="60" t="str">
        <x:v>major</x:v>
      </x:c>
      <x:c r="S267" s="60" t="n">
        <x:v>3348</x:v>
      </x:c>
      <x:c r="T267" s="60" t="n">
        <x:v>137</x:v>
      </x:c>
      <x:c r="U267" s="52" t="str">
        <x:v>ChatGPT — Release Notes</x:v>
      </x:c>
      <x:c r="V267" s="52" t="str">
        <x:v>https://help.openai.com/en/articles/6825453-chatgpt-release-notes</x:v>
      </x:c>
      <x:c r="W267" s="52" t="str">
        <x:v>help_center_release_notes</x:v>
      </x:c>
      <x:c r="X267" s="52" t="str">
        <x:v>complete</x:v>
      </x:c>
      <x:c r="Y267" s="52" t="str">
        <x:v>high</x:v>
      </x:c>
      <x:c r="Z267" s="52" t="str">
        <x:v>chatgpt_core | pricing_quota | ChatGPT | 2026 | chatgpt | chatgpt-core</x:v>
      </x:c>
      <x:c r="AA267" s="52" t="n">
        <x:v>1</x:v>
      </x:c>
      <x:c r="AB267" s="53" t="b">
        <x:v>0</x:v>
      </x:c>
    </x:row>
    <x:row r="268" ht="42" customHeight="1">
      <x:c r="A268" s="57" t="n">
        <x:v>46128</x:v>
      </x:c>
      <x:c r="B268" s="52" t="str">
        <x:v>evt-20260416-rolling-out-ads-in-australia-new-zealand-and-canada</x:v>
      </x:c>
      <x:c r="C268" s="60" t="n">
        <x:v>2026</x:v>
      </x:c>
      <x:c r="D268" s="52" t="str">
        <x:v>Q2</x:v>
      </x:c>
      <x:c r="E268" s="52" t="str">
        <x:v>Unified Intelligence</x:v>
      </x:c>
      <x:c r="F268" s="52" t="str">
        <x:v>search_commerce</x:v>
      </x:c>
      <x:c r="G268" s="52" t="str">
        <x:v>Commerce Bazaar</x:v>
      </x:c>
      <x:c r="H268" s="52" t="n">
        <x:v>6</x:v>
      </x:c>
      <x:c r="I268" s="52" t="str">
        <x:v>$</x:v>
      </x:c>
      <x:c r="J268" s="52" t="str">
        <x:v>ChatGPT Enterprise &amp; Edu</x:v>
      </x:c>
      <x:c r="K268" s="52" t="str">
        <x:v>availability</x:v>
      </x:c>
      <x:c r="L268" s="52" t="str">
        <x:v>active</x:v>
      </x:c>
      <x:c r="M268" s="63" t="str">
        <x:v>Rolling out ads in Australia, New Zealand, and Canada</x:v>
      </x:c>
      <x:c r="N268" s="63" t="str">
        <x:v>於澳洲、紐西蘭與加拿大推出廣告</x:v>
      </x:c>
      <x:c r="O268" s="63" t="str">
        <x:v>We're beginning to rollout ads for users on Free and Go plans in Australia, New Zealand, and Canada. Plus, Pro, Business, Enterprise, and Education plans do not have ads.</x:v>
      </x:c>
      <x:c r="P268" s="63" t="str">
        <x:v>OpenAI 於 2026-04-16 為 ChatGPT Enterprise &amp; Edu 調整方案、額度或計費；此節點依官方發布記錄整理，完整能力、適用方案與限制請見來源。</x:v>
      </x:c>
      <x:c r="Q268" s="60" t="n">
        <x:v>4</x:v>
      </x:c>
      <x:c r="R268" s="60" t="str">
        <x:v>major</x:v>
      </x:c>
      <x:c r="S268" s="60" t="n">
        <x:v>3366</x:v>
      </x:c>
      <x:c r="T268" s="60" t="n">
        <x:v>1091</x:v>
      </x:c>
      <x:c r="U268" s="52" t="str">
        <x:v>ChatGPT — Release Notes</x:v>
      </x:c>
      <x:c r="V268" s="52" t="str">
        <x:v>https://help.openai.com/en/articles/6825453-chatgpt-release-notes</x:v>
      </x:c>
      <x:c r="W268" s="52" t="str">
        <x:v>help_center_release_notes</x:v>
      </x:c>
      <x:c r="X268" s="52" t="str">
        <x:v>complete</x:v>
      </x:c>
      <x:c r="Y268" s="52" t="str">
        <x:v>high</x:v>
      </x:c>
      <x:c r="Z268" s="52" t="str">
        <x:v>search_commerce | availability | ChatGPT Enterprise &amp; Edu | 2026 | chatgpt | search-commerce</x:v>
      </x:c>
      <x:c r="AA268" s="52" t="n">
        <x:v>1</x:v>
      </x:c>
      <x:c r="AB268" s="53" t="b">
        <x:v>0</x:v>
      </x:c>
    </x:row>
    <x:row r="269" ht="42" customHeight="1">
      <x:c r="A269" s="57" t="n">
        <x:v>46133</x:v>
      </x:c>
      <x:c r="B269" s="52" t="str">
        <x:v>evt-20260421-chatgpt-images-2-0-in-chatgpt</x:v>
      </x:c>
      <x:c r="C269" s="60" t="n">
        <x:v>2026</x:v>
      </x:c>
      <x:c r="D269" s="52" t="str">
        <x:v>Q2</x:v>
      </x:c>
      <x:c r="E269" s="52" t="str">
        <x:v>Unified Intelligence</x:v>
      </x:c>
      <x:c r="F269" s="52" t="str">
        <x:v>multimodal</x:v>
      </x:c>
      <x:c r="G269" s="52" t="str">
        <x:v>Multimodal Coast</x:v>
      </x:c>
      <x:c r="H269" s="52" t="n">
        <x:v>4</x:v>
      </x:c>
      <x:c r="I269" s="52" t="str">
        <x:v>~</x:v>
      </x:c>
      <x:c r="J269" s="52" t="str">
        <x:v>ChatGPT Images</x:v>
      </x:c>
      <x:c r="K269" s="52" t="str">
        <x:v>model_release</x:v>
      </x:c>
      <x:c r="L269" s="52" t="str">
        <x:v>active</x:v>
      </x:c>
      <x:c r="M269" s="63" t="str">
        <x:v>ChatGPT Images 2.0 in ChatGPT</x:v>
      </x:c>
      <x:c r="N269" s="63" t="str">
        <x:v>ChatGPT 推出 ChatGPT Images 2.0</x:v>
      </x:c>
      <x:c r="O269" s="63" t="str">
        <x:v>We’re introducing ChatGPT Images 2.0, our new image generation model in ChatGPT. ChatGPT Images 2.0 is available on all ChatGPT plans. We’re also introducing images with thinking. When given more time to think, it can plan and refine image outputs before generating them. Images with thinking is available on all paid ChatGPT plans. It is available when you select Thinking and Pro models.</x:v>
      </x:c>
      <x:c r="P269" s="63" t="str">
        <x:v>我們推出 ChatGPT Images 2.0，這是我們在 ChatGPT 中的新圖像生成模型。ChatGPT Images 2.0 適用於所有 ChatGPT 方案。我們也推出了具備思考能力的圖像功能。當給予更多思考時間時，它可以在生成圖像前規劃並精煉輸出。具備思考能力的圖像功能適用於所有付費 ChatGPT 方案。</x:v>
      </x:c>
      <x:c r="Q269" s="60" t="n">
        <x:v>5</x:v>
      </x:c>
      <x:c r="R269" s="60" t="str">
        <x:v>landmark</x:v>
      </x:c>
      <x:c r="S269" s="60" t="n">
        <x:v>3378</x:v>
      </x:c>
      <x:c r="T269" s="60" t="n">
        <x:v>799</x:v>
      </x:c>
      <x:c r="U269" s="52" t="str">
        <x:v>ChatGPT — Release Notes</x:v>
      </x:c>
      <x:c r="V269" s="52" t="str">
        <x:v>https://help.openai.com/en/articles/6825453-chatgpt-release-notes</x:v>
      </x:c>
      <x:c r="W269" s="52" t="str">
        <x:v>help_center_release_notes</x:v>
      </x:c>
      <x:c r="X269" s="52" t="str">
        <x:v>complete</x:v>
      </x:c>
      <x:c r="Y269" s="52" t="str">
        <x:v>high</x:v>
      </x:c>
      <x:c r="Z269" s="52" t="str">
        <x:v>multimodal | model_release | ChatGPT Images | 2026 | chatgpt-images</x:v>
      </x:c>
      <x:c r="AA269" s="52" t="n">
        <x:v>1</x:v>
      </x:c>
      <x:c r="AB269" s="53" t="b">
        <x:v>0</x:v>
      </x:c>
    </x:row>
    <x:row r="270" ht="42" customHeight="1">
      <x:c r="A270" s="57" t="n">
        <x:v>46134</x:v>
      </x:c>
      <x:c r="B270" s="52" t="str">
        <x:v>evt-20260422-fast-answers-in-chatgpt</x:v>
      </x:c>
      <x:c r="C270" s="60" t="n">
        <x:v>2026</x:v>
      </x:c>
      <x:c r="D270" s="52" t="str">
        <x:v>Q2</x:v>
      </x:c>
      <x:c r="E270" s="52" t="str">
        <x:v>Unified Intelligence</x:v>
      </x:c>
      <x:c r="F270" s="52" t="str">
        <x:v>search_commerce</x:v>
      </x:c>
      <x:c r="G270" s="52" t="str">
        <x:v>Commerce Bazaar</x:v>
      </x:c>
      <x:c r="H270" s="52" t="n">
        <x:v>6</x:v>
      </x:c>
      <x:c r="I270" s="52" t="str">
        <x:v>$</x:v>
      </x:c>
      <x:c r="J270" s="52" t="str">
        <x:v>ChatGPT Business</x:v>
      </x:c>
      <x:c r="K270" s="52" t="str">
        <x:v>launch</x:v>
      </x:c>
      <x:c r="L270" s="52" t="str">
        <x:v>active</x:v>
      </x:c>
      <x:c r="M270" s="63" t="str">
        <x:v>Fast answers in ChatGPT</x:v>
      </x:c>
      <x:c r="N270" s="63" t="str">
        <x:v>ChatGPT 推出 Fast answers</x:v>
      </x:c>
      <x:c r="O270" s="63" t="str">
        <x:v>Sometimes, you just want the right answer as quickly as possible. We’re rolling out Fast answers, a quicker way to get responses to common information-seeking questions in ChatGPT, like “Show me the Seven Wonders of the World” or “Which football team has the most super bowl titles?”When your question doesn’t require a personalized response and ChatGPT has a high-confidence answer ready, it can now respond faster while still providing…</x:v>
      </x:c>
      <x:c r="P270" s="63" t="str">
        <x:v>有時您只想盡快獲得正確答案。我們正在推出 Fast answers，這是 ChatGPT 中針對常見資訊尋求問題（如「向我展示世界七大奇景」或「哪支美式足球隊獲得最多超級盃冠軍？」）獲得回應的更快方式。當您的問題不需要個人化回應且 ChatGPT 擁有……時。</x:v>
      </x:c>
      <x:c r="Q270" s="60" t="n">
        <x:v>5</x:v>
      </x:c>
      <x:c r="R270" s="60" t="str">
        <x:v>landmark</x:v>
      </x:c>
      <x:c r="S270" s="60" t="n">
        <x:v>3381</x:v>
      </x:c>
      <x:c r="T270" s="60" t="n">
        <x:v>1072</x:v>
      </x:c>
      <x:c r="U270" s="52" t="str">
        <x:v>ChatGPT — Release Notes</x:v>
      </x:c>
      <x:c r="V270" s="52" t="str">
        <x:v>https://help.openai.com/en/articles/6825453-chatgpt-release-notes</x:v>
      </x:c>
      <x:c r="W270" s="52" t="str">
        <x:v>help_center_release_notes</x:v>
      </x:c>
      <x:c r="X270" s="52" t="str">
        <x:v>complete</x:v>
      </x:c>
      <x:c r="Y270" s="52" t="str">
        <x:v>high</x:v>
      </x:c>
      <x:c r="Z270" s="52" t="str">
        <x:v>search_commerce | launch | ChatGPT Business | 2026 | chatgpt | search-commerce</x:v>
      </x:c>
      <x:c r="AA270" s="52" t="n">
        <x:v>1</x:v>
      </x:c>
      <x:c r="AB270" s="53" t="b">
        <x:v>0</x:v>
      </x:c>
    </x:row>
    <x:row r="271" ht="42" customHeight="1">
      <x:c r="A271" s="57" t="n">
        <x:v>46134</x:v>
      </x:c>
      <x:c r="B271" s="52" t="str">
        <x:v>evt-20260422-chatgpt-for-clinicians</x:v>
      </x:c>
      <x:c r="C271" s="60" t="n">
        <x:v>2026</x:v>
      </x:c>
      <x:c r="D271" s="52" t="str">
        <x:v>Q2</x:v>
      </x:c>
      <x:c r="E271" s="52" t="str">
        <x:v>Unified Intelligence</x:v>
      </x:c>
      <x:c r="F271" s="52" t="str">
        <x:v>enterprise_vertical</x:v>
      </x:c>
      <x:c r="G271" s="52" t="str">
        <x:v>Enterprise Citadel</x:v>
      </x:c>
      <x:c r="H271" s="52" t="n">
        <x:v>7</x:v>
      </x:c>
      <x:c r="I271" s="52" t="str">
        <x:v>H</x:v>
      </x:c>
      <x:c r="J271" s="52" t="str">
        <x:v>ChatGPT Health</x:v>
      </x:c>
      <x:c r="K271" s="52" t="str">
        <x:v>launch</x:v>
      </x:c>
      <x:c r="L271" s="52" t="str">
        <x:v>active</x:v>
      </x:c>
      <x:c r="M271" s="63" t="str">
        <x:v>ChatGPT for Clinicians</x:v>
      </x:c>
      <x:c r="N271" s="63" t="str">
        <x:v>推出 ChatGPT for Clinicians</x:v>
      </x:c>
      <x:c r="O271" s="63" t="str">
        <x:v>We’re launching ChatGPT for Clinicians, a free version of ChatGPT for verified clinicians in the United States. It’s designed to support real clinical work at the time of care, including evidence review, documentation, and medical research, with trusted clinical search, citations, reusable skills, deep research across medical literature, and support for earning CME credits on eligible clinical questions. If you already have a ChatGPT…</x:v>
      </x:c>
      <x:c r="P271" s="63" t="str">
        <x:v>我們推出 ChatGPT for Clinicians，這是專為美國已驗證的臨床醫師所提供的免費版 ChatGPT。它旨在支援診療當下的實際臨床工作，包括證據審查、文件記錄與醫學研究，並具備可信的臨床搜尋、引用、可重複使用的技能、跨醫學文獻的深度研究，以及對……的支援。</x:v>
      </x:c>
      <x:c r="Q271" s="60" t="n">
        <x:v>5</x:v>
      </x:c>
      <x:c r="R271" s="60" t="str">
        <x:v>landmark</x:v>
      </x:c>
      <x:c r="S271" s="60" t="n">
        <x:v>3381</x:v>
      </x:c>
      <x:c r="T271" s="60" t="n">
        <x:v>1225</x:v>
      </x:c>
      <x:c r="U271" s="52" t="str">
        <x:v>ChatGPT — Release Notes</x:v>
      </x:c>
      <x:c r="V271" s="52" t="str">
        <x:v>https://help.openai.com/en/articles/6825453-chatgpt-release-notes</x:v>
      </x:c>
      <x:c r="W271" s="52" t="str">
        <x:v>help_center_release_notes</x:v>
      </x:c>
      <x:c r="X271" s="52" t="str">
        <x:v>complete</x:v>
      </x:c>
      <x:c r="Y271" s="52" t="str">
        <x:v>high</x:v>
      </x:c>
      <x:c r="Z271" s="52" t="str">
        <x:v>enterprise_vertical | launch | ChatGPT Health | 2026 | chatgpt-health | enterprise-vertical</x:v>
      </x:c>
      <x:c r="AA271" s="52" t="n">
        <x:v>1</x:v>
      </x:c>
      <x:c r="AB271" s="53" t="b">
        <x:v>0</x:v>
      </x:c>
    </x:row>
    <x:row r="272" ht="42" customHeight="1">
      <x:c r="A272" s="57" t="n">
        <x:v>46134</x:v>
      </x:c>
      <x:c r="B272" s="52" t="str">
        <x:v>evt-20260422-legacy-gpt-model-snapshots-deprecation</x:v>
      </x:c>
      <x:c r="C272" s="60" t="n">
        <x:v>2026</x:v>
      </x:c>
      <x:c r="D272" s="52" t="str">
        <x:v>Q2</x:v>
      </x:c>
      <x:c r="E272" s="52" t="str">
        <x:v>Unified Intelligence</x:v>
      </x:c>
      <x:c r="F272" s="52" t="str">
        <x:v>safety_lifecycle</x:v>
      </x:c>
      <x:c r="G272" s="52" t="str">
        <x:v>Safety Wall</x:v>
      </x:c>
      <x:c r="H272" s="52" t="n">
        <x:v>9</x:v>
      </x:c>
      <x:c r="I272" s="52" t="str">
        <x:v>!</x:v>
      </x:c>
      <x:c r="J272" s="52" t="str">
        <x:v>Fine-tuning API</x:v>
      </x:c>
      <x:c r="K272" s="52" t="str">
        <x:v>deprecation</x:v>
      </x:c>
      <x:c r="L272" s="52" t="str">
        <x:v>deprecated</x:v>
      </x:c>
      <x:c r="M272" s="63" t="str">
        <x:v>Legacy GPT model snapshots deprecation</x:v>
      </x:c>
      <x:c r="N272" s="63" t="str">
        <x:v>Legacy GPT model snapshots 棄用公告</x:v>
      </x:c>
      <x:c r="O272" s="63" t="str">
        <x:v>To improve reliability and make it easier for developers to choose the right models, we are deprecating a set of older OpenAI models. Access to these models will be shut down on the dates below. We are also removing fine-tuned versions as below: Schedule/replacements: 2026-07-23 computer-use-preview-2025-03-11 | computer-use-preview gpt-5.4-mini; 2026-07-23 gpt-4o-mini-search-preview-2025-03-11 gpt-5.4-mini; 2026-07-23 gpt-4o-mini-tt…</x:v>
      </x:c>
      <x:c r="P272" s="63" t="str">
        <x:v>OpenAI 於 2026-04-22 公告 Legacy GPT model snapshots 的棄用或下線時程，並列出替代方案與遷移方向。</x:v>
      </x:c>
      <x:c r="Q272" s="60" t="n">
        <x:v>4</x:v>
      </x:c>
      <x:c r="R272" s="60" t="str">
        <x:v>major</x:v>
      </x:c>
      <x:c r="S272" s="60" t="n">
        <x:v>3381</x:v>
      </x:c>
      <x:c r="T272" s="60" t="n">
        <x:v>1480</x:v>
      </x:c>
      <x:c r="U272" s="52" t="str">
        <x:v>OpenAI API Deprecations</x:v>
      </x:c>
      <x:c r="V272" s="52" t="str">
        <x:v>https://developers.openai.com/api/docs/deprecations#2026-04-22-legacy-gpt-model-snapshots</x:v>
      </x:c>
      <x:c r="W272" s="52" t="str">
        <x:v>official_deprecation_registry</x:v>
      </x:c>
      <x:c r="X272" s="52" t="str">
        <x:v>corroborated</x:v>
      </x:c>
      <x:c r="Y272" s="52" t="str">
        <x:v>high</x:v>
      </x:c>
      <x:c r="Z272" s="52" t="str">
        <x:v>safety_lifecycle | deprecation | Fine-tuning API | api | fine-tuning-api</x:v>
      </x:c>
      <x:c r="AA272" s="52" t="n">
        <x:v>2</x:v>
      </x:c>
      <x:c r="AB272" s="53" t="b">
        <x:v>1</x:v>
      </x:c>
    </x:row>
    <x:row r="273" ht="42" customHeight="1">
      <x:c r="A273" s="57" t="n">
        <x:v>46135</x:v>
      </x:c>
      <x:c r="B273" s="52" t="str">
        <x:v>evt-20260423-introducing-gpt-5-5</x:v>
      </x:c>
      <x:c r="C273" s="60" t="n">
        <x:v>2026</x:v>
      </x:c>
      <x:c r="D273" s="52" t="str">
        <x:v>Q2</x:v>
      </x:c>
      <x:c r="E273" s="52" t="str">
        <x:v>Unified Intelligence</x:v>
      </x:c>
      <x:c r="F273" s="52" t="str">
        <x:v>models_reasoning</x:v>
      </x:c>
      <x:c r="G273" s="52" t="str">
        <x:v>Model Mountains</x:v>
      </x:c>
      <x:c r="H273" s="52" t="n">
        <x:v>1</x:v>
      </x:c>
      <x:c r="I273" s="52" t="str">
        <x:v>^</x:v>
      </x:c>
      <x:c r="J273" s="52" t="str">
        <x:v>GPT-5.5</x:v>
      </x:c>
      <x:c r="K273" s="52" t="str">
        <x:v>model_release</x:v>
      </x:c>
      <x:c r="L273" s="52" t="str">
        <x:v>active</x:v>
      </x:c>
      <x:c r="M273" s="63" t="str">
        <x:v>Introducing GPT-5.5</x:v>
      </x:c>
      <x:c r="N273" s="63" t="str">
        <x:v>推出 GPT-5.5</x:v>
      </x:c>
      <x:c r="O273" s="63" t="str">
        <x:v>OpenAI released GPT-5.5 in ChatGPT and Codex for agentic coding, professional knowledge work, scientific research, and computer use; GPT-5.5 Thinking and Pro rolled out to eligible paid ChatGPT plans.</x:v>
      </x:c>
      <x:c r="P273" s="63" t="str">
        <x:v>OpenAI 在 ChatGPT 與 Codex 中發布了 GPT-5.5，用於代理式程式開發、專業知識工作、科學研究與電腦使用；GPT-5.5 Thinking 與 Pro 已向符合資格的付費 ChatGPT 方案推出。</x:v>
      </x:c>
      <x:c r="Q273" s="60" t="n">
        <x:v>5</x:v>
      </x:c>
      <x:c r="R273" s="60" t="str">
        <x:v>landmark</x:v>
      </x:c>
      <x:c r="S273" s="60" t="n">
        <x:v>3384</x:v>
      </x:c>
      <x:c r="T273" s="60" t="n">
        <x:v>280</x:v>
      </x:c>
      <x:c r="U273" s="52" t="str">
        <x:v>Introducing GPT-5.5</x:v>
      </x:c>
      <x:c r="V273" s="52" t="str">
        <x:v>https://openai.com/index/introducing-gpt-5-5/</x:v>
      </x:c>
      <x:c r="W273" s="52" t="str">
        <x:v>official_launch_post</x:v>
      </x:c>
      <x:c r="X273" s="52" t="str">
        <x:v>complete</x:v>
      </x:c>
      <x:c r="Y273" s="52" t="str">
        <x:v>high</x:v>
      </x:c>
      <x:c r="Z273" s="52" t="str">
        <x:v>models_reasoning | model_release | GPT-5.5 | 2026 | gpt-5.5 | models-reasoning</x:v>
      </x:c>
      <x:c r="AA273" s="52" t="n">
        <x:v>1</x:v>
      </x:c>
      <x:c r="AB273" s="53" t="b">
        <x:v>0</x:v>
      </x:c>
    </x:row>
    <x:row r="274" ht="42" customHeight="1">
      <x:c r="A274" s="57" t="n">
        <x:v>46135</x:v>
      </x:c>
      <x:c r="B274" s="52" t="str">
        <x:v>evt-20260423-gpt-5-5-and-codex-app-updates</x:v>
      </x:c>
      <x:c r="C274" s="60" t="n">
        <x:v>2026</x:v>
      </x:c>
      <x:c r="D274" s="52" t="str">
        <x:v>Q2</x:v>
      </x:c>
      <x:c r="E274" s="52" t="str">
        <x:v>Unified Intelligence</x:v>
      </x:c>
      <x:c r="F274" s="52" t="str">
        <x:v>agents_research</x:v>
      </x:c>
      <x:c r="G274" s="52" t="str">
        <x:v>Agentic Frontier</x:v>
      </x:c>
      <x:c r="H274" s="52" t="n">
        <x:v>2</x:v>
      </x:c>
      <x:c r="I274" s="52" t="str">
        <x:v>&gt;</x:v>
      </x:c>
      <x:c r="J274" s="52" t="str">
        <x:v>GPT-5.5</x:v>
      </x:c>
      <x:c r="K274" s="52" t="str">
        <x:v>availability</x:v>
      </x:c>
      <x:c r="L274" s="52" t="str">
        <x:v>active</x:v>
      </x:c>
      <x:c r="M274" s="63" t="str">
        <x:v>GPT-5.5 and Codex app updates</x:v>
      </x:c>
      <x:c r="N274" s="63" t="str">
        <x:v>GPT-5.5 and Codex app updates 更新</x:v>
      </x:c>
      <x:c r="O274" s="63" t="str">
        <x:v>GPT-5.5 is now available in Codex as OpenAI’s newest frontier model for complex coding, computer use, knowledge work, and research workflows. GPT-5.5 in Codex GPT-5.5 is the recommended choice for most Codex tasks when it appears in your model picker. It’s especially useful for implementation, refactors, debugging, testing, validation, and knowledge-work artifacts. To switch to GPT-5.5: In the CLI, start a new thread with: codex --mo…</x:v>
      </x:c>
      <x:c r="P274" s="63" t="str">
        <x:v>Codex Changelog 在 2026-04-23 記錄了Codex 編碼代理、可靠性與效能修正相關更新；完整版本與修正內容見官方英文摘要。</x:v>
      </x:c>
      <x:c r="Q274" s="60" t="n">
        <x:v>4</x:v>
      </x:c>
      <x:c r="R274" s="60" t="str">
        <x:v>major</x:v>
      </x:c>
      <x:c r="S274" s="60" t="n">
        <x:v>3384</x:v>
      </x:c>
      <x:c r="T274" s="60" t="n">
        <x:v>431</x:v>
      </x:c>
      <x:c r="U274" s="52" t="str">
        <x:v>Codex Changelog</x:v>
      </x:c>
      <x:c r="V274" s="52" t="str">
        <x:v>https://developers.openai.com/codex/changelog/</x:v>
      </x:c>
      <x:c r="W274" s="52" t="str">
        <x:v>developer_changelog</x:v>
      </x:c>
      <x:c r="X274" s="52" t="str">
        <x:v>complete</x:v>
      </x:c>
      <x:c r="Y274" s="52" t="str">
        <x:v>high</x:v>
      </x:c>
      <x:c r="Z274" s="52" t="str">
        <x:v>agents_research | availability | GPT-5.5 | codex | release-notes</x:v>
      </x:c>
      <x:c r="AA274" s="52" t="n">
        <x:v>1</x:v>
      </x:c>
      <x:c r="AB274" s="53" t="b">
        <x:v>0</x:v>
      </x:c>
    </x:row>
    <x:row r="275" ht="42" customHeight="1">
      <x:c r="A275" s="57" t="n">
        <x:v>46136</x:v>
      </x:c>
      <x:c r="B275" s="52" t="str">
        <x:v>evt-20260424-released-gpt-5-5</x:v>
      </x:c>
      <x:c r="C275" s="60" t="n">
        <x:v>2026</x:v>
      </x:c>
      <x:c r="D275" s="52" t="str">
        <x:v>Q2</x:v>
      </x:c>
      <x:c r="E275" s="52" t="str">
        <x:v>Unified Intelligence</x:v>
      </x:c>
      <x:c r="F275" s="52" t="str">
        <x:v>models_reasoning</x:v>
      </x:c>
      <x:c r="G275" s="52" t="str">
        <x:v>Model Mountains</x:v>
      </x:c>
      <x:c r="H275" s="52" t="n">
        <x:v>1</x:v>
      </x:c>
      <x:c r="I275" s="52" t="str">
        <x:v>^</x:v>
      </x:c>
      <x:c r="J275" s="52" t="str">
        <x:v>Model Platform</x:v>
      </x:c>
      <x:c r="K275" s="52" t="str">
        <x:v>model_release</x:v>
      </x:c>
      <x:c r="L275" s="52" t="str">
        <x:v>active</x:v>
      </x:c>
      <x:c r="M275" s="63" t="str">
        <x:v>Released GPT-5.5</x:v>
      </x:c>
      <x:c r="N275" s="63" t="str">
        <x:v>API 推出 GPT‑5.5 與 GPT‑5.5 Pro</x:v>
      </x:c>
      <x:c r="O275" s="63" t="str">
        <x:v>Released GPT-5.5 , a new frontier model for complex professional work, to the Chat Completions and Responses API, and released GPT-5.5 Pro for Responses API requests for tougher problems that benefit from more compute. GPT-5.5 supports a 1M token context window, image input, structured outputs, function calling, prompt caching, Batch, tool search, built-in computer use, hosted shell, apply patch, Skills, MCP, and web search. Key upda…</x:v>
      </x:c>
      <x:c r="P275" s="63" t="str">
        <x:v>API 推出 GPT‑5.5 與 GPT‑5.5 Pro。OpenAI 將此列為 2026-04-24 的功能；重點涉及代理與工具調用、圖像與影片，模型、端點與參數名稱依官方英文保留。</x:v>
      </x:c>
      <x:c r="Q275" s="60" t="n">
        <x:v>5</x:v>
      </x:c>
      <x:c r="R275" s="60" t="str">
        <x:v>landmark</x:v>
      </x:c>
      <x:c r="S275" s="60" t="n">
        <x:v>3386</x:v>
      </x:c>
      <x:c r="T275" s="60" t="n">
        <x:v>334</x:v>
      </x:c>
      <x:c r="U275" s="52" t="str">
        <x:v>OpenAI API Changelog</x:v>
      </x:c>
      <x:c r="V275" s="52" t="str">
        <x:v>https://developers.openai.com/api/docs/changelog</x:v>
      </x:c>
      <x:c r="W275" s="52" t="str">
        <x:v>official_changelog</x:v>
      </x:c>
      <x:c r="X275" s="52" t="str">
        <x:v>corroborated</x:v>
      </x:c>
      <x:c r="Y275" s="52" t="str">
        <x:v>high</x:v>
      </x:c>
      <x:c r="Z275" s="52" t="str">
        <x:v>models_reasoning | model_release | Model Platform | api | feature | models</x:v>
      </x:c>
      <x:c r="AA275" s="52" t="n">
        <x:v>2</x:v>
      </x:c>
      <x:c r="AB275" s="53" t="b">
        <x:v>1</x:v>
      </x:c>
    </x:row>
    <x:row r="276" ht="42" customHeight="1">
      <x:c r="A276" s="57" t="n">
        <x:v>46138</x:v>
      </x:c>
      <x:c r="B276" s="52" t="str">
        <x:v>evt-20260426-sora-product-discontinued</x:v>
      </x:c>
      <x:c r="C276" s="60" t="n">
        <x:v>2026</x:v>
      </x:c>
      <x:c r="D276" s="52" t="str">
        <x:v>Q2</x:v>
      </x:c>
      <x:c r="E276" s="52" t="str">
        <x:v>Unified Intelligence</x:v>
      </x:c>
      <x:c r="F276" s="52" t="str">
        <x:v>multimodal</x:v>
      </x:c>
      <x:c r="G276" s="52" t="str">
        <x:v>Multimodal Coast</x:v>
      </x:c>
      <x:c r="H276" s="52" t="n">
        <x:v>4</x:v>
      </x:c>
      <x:c r="I276" s="52" t="str">
        <x:v>~</x:v>
      </x:c>
      <x:c r="J276" s="52" t="str">
        <x:v>Sora</x:v>
      </x:c>
      <x:c r="K276" s="52" t="str">
        <x:v>retirement</x:v>
      </x:c>
      <x:c r="L276" s="52" t="str">
        <x:v>retired</x:v>
      </x:c>
      <x:c r="M276" s="63" t="str">
        <x:v>Sora product discontinued</x:v>
      </x:c>
      <x:c r="N276" s="63" t="str">
        <x:v>終止 Sora 產品</x:v>
      </x:c>
      <x:c r="O276" s="63" t="str">
        <x:v>OpenAI discontinued the Sora web and app experiences on April 26, 2026.</x:v>
      </x:c>
      <x:c r="P276" s="63" t="str">
        <x:v>OpenAI 於 2026 年 4 月 26 日終止了 Sora 的網頁與應用程式體驗。</x:v>
      </x:c>
      <x:c r="Q276" s="60" t="n">
        <x:v>4</x:v>
      </x:c>
      <x:c r="R276" s="60" t="str">
        <x:v>major</x:v>
      </x:c>
      <x:c r="S276" s="60" t="n">
        <x:v>3391</x:v>
      </x:c>
      <x:c r="T276" s="60" t="n">
        <x:v>778</x:v>
      </x:c>
      <x:c r="U276" s="52" t="str">
        <x:v>What to know about the Sora discontinuation</x:v>
      </x:c>
      <x:c r="V276" s="52" t="str">
        <x:v>https://help.openai.com/en/articles/20001152-what-to-know-about-the-sora-discontinuation</x:v>
      </x:c>
      <x:c r="W276" s="52" t="str">
        <x:v>official_lifecycle_notice</x:v>
      </x:c>
      <x:c r="X276" s="52" t="str">
        <x:v>complete</x:v>
      </x:c>
      <x:c r="Y276" s="52" t="str">
        <x:v>high</x:v>
      </x:c>
      <x:c r="Z276" s="52" t="str">
        <x:v>multimodal | retirement | Sora | 2026 | sora</x:v>
      </x:c>
      <x:c r="AA276" s="52" t="n">
        <x:v>1</x:v>
      </x:c>
      <x:c r="AB276" s="53" t="b">
        <x:v>0</x:v>
      </x:c>
    </x:row>
    <x:row r="277" ht="42" customHeight="1">
      <x:c r="A277" s="57" t="n">
        <x:v>46147</x:v>
      </x:c>
      <x:c r="B277" s="52" t="str">
        <x:v>evt-20260505-gpt-5-5-instant-in-chatgpt</x:v>
      </x:c>
      <x:c r="C277" s="60" t="n">
        <x:v>2026</x:v>
      </x:c>
      <x:c r="D277" s="52" t="str">
        <x:v>Q2</x:v>
      </x:c>
      <x:c r="E277" s="52" t="str">
        <x:v>Unified Intelligence</x:v>
      </x:c>
      <x:c r="F277" s="52" t="str">
        <x:v>models_reasoning</x:v>
      </x:c>
      <x:c r="G277" s="52" t="str">
        <x:v>Model Mountains</x:v>
      </x:c>
      <x:c r="H277" s="52" t="n">
        <x:v>1</x:v>
      </x:c>
      <x:c r="I277" s="52" t="str">
        <x:v>^</x:v>
      </x:c>
      <x:c r="J277" s="52" t="str">
        <x:v>GPT-5.5</x:v>
      </x:c>
      <x:c r="K277" s="52" t="str">
        <x:v>model_release</x:v>
      </x:c>
      <x:c r="L277" s="52" t="str">
        <x:v>active</x:v>
      </x:c>
      <x:c r="M277" s="63" t="str">
        <x:v>GPT-5.5 Instant in ChatGPT</x:v>
      </x:c>
      <x:c r="N277" s="63" t="str">
        <x:v>ChatGPT 推出 GPT-5.5 Instant</x:v>
      </x:c>
      <x:c r="O277" s="63" t="str">
        <x:v>We’re rolling out GPT-5.5 Instant as ChatGPT’s new default model. It replaces GPT-5.3 Instant for all ChatGPT users and improves everyday answers across accuracy, clarity and conciseness, image understanding, STEM questions, and when ChatGPT decides to search the web. GPT-5.5 Instant is more factually reliable, especially for prompts where accuracy matters most. It also gives tighter, more direct answers without losing useful details…</x:v>
      </x:c>
      <x:c r="P277" s="63" t="str">
        <x:v>我們正在將 GPT-5.5 Instant 推出為 ChatGPT 的新預設模型。它取代了所有 ChatGPT 用戶的 GPT-5.3 Instant，並提升日常回答的準確度、清晰度、簡潔度、圖像理解能力、STEM 問題以及 ChatGPT 決定搜尋網路時的表現。</x:v>
      </x:c>
      <x:c r="Q277" s="60" t="n">
        <x:v>5</x:v>
      </x:c>
      <x:c r="R277" s="60" t="str">
        <x:v>landmark</x:v>
      </x:c>
      <x:c r="S277" s="60" t="n">
        <x:v>3414</x:v>
      </x:c>
      <x:c r="T277" s="60" t="n">
        <x:v>352</x:v>
      </x:c>
      <x:c r="U277" s="52" t="str">
        <x:v>ChatGPT — Release Notes</x:v>
      </x:c>
      <x:c r="V277" s="52" t="str">
        <x:v>https://help.openai.com/en/articles/6825453-chatgpt-release-notes</x:v>
      </x:c>
      <x:c r="W277" s="52" t="str">
        <x:v>help_center_release_notes</x:v>
      </x:c>
      <x:c r="X277" s="52" t="str">
        <x:v>complete</x:v>
      </x:c>
      <x:c r="Y277" s="52" t="str">
        <x:v>high</x:v>
      </x:c>
      <x:c r="Z277" s="52" t="str">
        <x:v>models_reasoning | model_release | GPT-5.5 | 2026 | gpt-5.5 | models-reasoning</x:v>
      </x:c>
      <x:c r="AA277" s="52" t="n">
        <x:v>1</x:v>
      </x:c>
      <x:c r="AB277" s="53" t="b">
        <x:v>0</x:v>
      </x:c>
    </x:row>
    <x:row r="278" ht="42" customHeight="1">
      <x:c r="A278" s="57" t="n">
        <x:v>46147</x:v>
      </x:c>
      <x:c r="B278" s="52" t="str">
        <x:v>evt-20260505-released-chat-latest-snapshot-which-points-to-the-latest-i</x:v>
      </x:c>
      <x:c r="C278" s="60" t="n">
        <x:v>2026</x:v>
      </x:c>
      <x:c r="D278" s="52" t="str">
        <x:v>Q2</x:v>
      </x:c>
      <x:c r="E278" s="52" t="str">
        <x:v>Unified Intelligence</x:v>
      </x:c>
      <x:c r="F278" s="52" t="str">
        <x:v>models_reasoning</x:v>
      </x:c>
      <x:c r="G278" s="52" t="str">
        <x:v>Model Mountains</x:v>
      </x:c>
      <x:c r="H278" s="52" t="n">
        <x:v>1</x:v>
      </x:c>
      <x:c r="I278" s="52" t="str">
        <x:v>^</x:v>
      </x:c>
      <x:c r="J278" s="52" t="str">
        <x:v>Model Platform</x:v>
      </x:c>
      <x:c r="K278" s="52" t="str">
        <x:v>model_release</x:v>
      </x:c>
      <x:c r="L278" s="52" t="str">
        <x:v>active</x:v>
      </x:c>
      <x:c r="M278" s="63" t="str">
        <x:v>Released chat-latest snapshot which points to the latest Instant model currently used in ChatGPT.</x:v>
      </x:c>
      <x:c r="N278" s="63" t="str">
        <x:v>模型發布：Model Platform</x:v>
      </x:c>
      <x:c r="O278" s="63" t="str">
        <x:v>Released chat-latest snapshot which points to the latest Instant model currently used in ChatGPT. We recommend leveraging GPT-5.5 for production API usage, but feel free to use this model to test our latest improvements for chat use cases. The underlying model snapshot will be regularly updated. Read more here .</x:v>
      </x:c>
      <x:c r="P278" s="63" t="str">
        <x:v>推出：chat-latest snapshot which points to latest Instant 模型 currently used in ChatGPT。OpenAI 將此列為 2026-05-05 的更新；重點涉及平台功能與可用性，模型、端點與參數名稱依官方英文保留。</x:v>
      </x:c>
      <x:c r="Q278" s="60" t="n">
        <x:v>5</x:v>
      </x:c>
      <x:c r="R278" s="60" t="str">
        <x:v>landmark</x:v>
      </x:c>
      <x:c r="S278" s="60" t="n">
        <x:v>3414</x:v>
      </x:c>
      <x:c r="T278" s="60" t="n">
        <x:v>302</x:v>
      </x:c>
      <x:c r="U278" s="52" t="str">
        <x:v>OpenAI API Changelog</x:v>
      </x:c>
      <x:c r="V278" s="52" t="str">
        <x:v>https://developers.openai.com/api/docs/changelog</x:v>
      </x:c>
      <x:c r="W278" s="52" t="str">
        <x:v>official_changelog</x:v>
      </x:c>
      <x:c r="X278" s="52" t="str">
        <x:v>corroborated</x:v>
      </x:c>
      <x:c r="Y278" s="52" t="str">
        <x:v>high</x:v>
      </x:c>
      <x:c r="Z278" s="52" t="str">
        <x:v>models_reasoning | model_release | Model Platform | api | models | update</x:v>
      </x:c>
      <x:c r="AA278" s="52" t="n">
        <x:v>2</x:v>
      </x:c>
      <x:c r="AB278" s="53" t="b">
        <x:v>1</x:v>
      </x:c>
    </x:row>
    <x:row r="279" ht="42" customHeight="1">
      <x:c r="A279" s="57" t="n">
        <x:v>46147</x:v>
      </x:c>
      <x:c r="B279" s="52" t="str">
        <x:v>evt-20260505-chatgpt-for-excel-and-google-sheets</x:v>
      </x:c>
      <x:c r="C279" s="60" t="n">
        <x:v>2026</x:v>
      </x:c>
      <x:c r="D279" s="52" t="str">
        <x:v>Q2</x:v>
      </x:c>
      <x:c r="E279" s="52" t="str">
        <x:v>Unified Intelligence</x:v>
      </x:c>
      <x:c r="F279" s="52" t="str">
        <x:v>enterprise_vertical</x:v>
      </x:c>
      <x:c r="G279" s="52" t="str">
        <x:v>Enterprise Citadel</x:v>
      </x:c>
      <x:c r="H279" s="52" t="n">
        <x:v>7</x:v>
      </x:c>
      <x:c r="I279" s="52" t="str">
        <x:v>H</x:v>
      </x:c>
      <x:c r="J279" s="52" t="str">
        <x:v>ChatGPT for Spreadsheets</x:v>
      </x:c>
      <x:c r="K279" s="52" t="str">
        <x:v>platform</x:v>
      </x:c>
      <x:c r="L279" s="52" t="str">
        <x:v>active</x:v>
      </x:c>
      <x:c r="M279" s="63" t="str">
        <x:v>ChatGPT for Excel and Google Sheets</x:v>
      </x:c>
      <x:c r="N279" s="63" t="str">
        <x:v>推出 ChatGPT for Excel 與 Google Sheets</x:v>
      </x:c>
      <x:c r="O279" s="63" t="str">
        <x:v>ChatGPT for Excel and Google Sheets is now available globally, bringing ChatGPT into a sidebar in Microsoft Excel and Google Sheets so you can build, update, and understand spreadsheets in place. It can help with trackers, budgets, formulas, multi-tab files, scenario work, and spreadsheet cleanup, and supports Skills and apps where available. Free and Go include limited usage; Plus and Pro use the same agentic usage limits as Codex.…</x:v>
      </x:c>
      <x:c r="P279" s="63" t="str">
        <x:v>ChatGPT for Excel 與 Google Sheets 現已全球發布，將 ChatGPT 帶入 Microsoft Excel 與 Google Sheets 的側邊欄中，讓您能直接建立、更新與理解試算表。它能協助處理追蹤器、預算、公式、多分頁檔案、情境工作與試算表清理，並支援可用地區的技能與應用程式。</x:v>
      </x:c>
      <x:c r="Q279" s="60" t="n">
        <x:v>4</x:v>
      </x:c>
      <x:c r="R279" s="60" t="str">
        <x:v>major</x:v>
      </x:c>
      <x:c r="S279" s="60" t="n">
        <x:v>3414</x:v>
      </x:c>
      <x:c r="T279" s="60" t="n">
        <x:v>1208</x:v>
      </x:c>
      <x:c r="U279" s="52" t="str">
        <x:v>ChatGPT — Release Notes</x:v>
      </x:c>
      <x:c r="V279" s="52" t="str">
        <x:v>https://help.openai.com/en/articles/6825453-chatgpt-release-notes</x:v>
      </x:c>
      <x:c r="W279" s="52" t="str">
        <x:v>help_center_release_notes</x:v>
      </x:c>
      <x:c r="X279" s="52" t="str">
        <x:v>complete</x:v>
      </x:c>
      <x:c r="Y279" s="52" t="str">
        <x:v>high</x:v>
      </x:c>
      <x:c r="Z279" s="52" t="str">
        <x:v>enterprise_vertical | platform | ChatGPT for Spreadsheets | 2026 | chatgpt-for-spreadsheets | enterprise-vertical</x:v>
      </x:c>
      <x:c r="AA279" s="52" t="n">
        <x:v>1</x:v>
      </x:c>
      <x:c r="AB279" s="53" t="b">
        <x:v>0</x:v>
      </x:c>
    </x:row>
    <x:row r="280" ht="42" customHeight="1">
      <x:c r="A280" s="57" t="n">
        <x:v>46147</x:v>
      </x:c>
      <x:c r="B280" s="52" t="str">
        <x:v>evt-20260505-create-codex-access-tokens</x:v>
      </x:c>
      <x:c r="C280" s="60" t="n">
        <x:v>2026</x:v>
      </x:c>
      <x:c r="D280" s="52" t="str">
        <x:v>Q2</x:v>
      </x:c>
      <x:c r="E280" s="52" t="str">
        <x:v>Unified Intelligence</x:v>
      </x:c>
      <x:c r="F280" s="52" t="str">
        <x:v>agents_research</x:v>
      </x:c>
      <x:c r="G280" s="52" t="str">
        <x:v>Agentic Frontier</x:v>
      </x:c>
      <x:c r="H280" s="52" t="n">
        <x:v>2</x:v>
      </x:c>
      <x:c r="I280" s="52" t="str">
        <x:v>&gt;</x:v>
      </x:c>
      <x:c r="J280" s="52" t="str">
        <x:v>ChatGPT Work</x:v>
      </x:c>
      <x:c r="K280" s="52" t="str">
        <x:v>feature</x:v>
      </x:c>
      <x:c r="L280" s="52" t="str">
        <x:v>active</x:v>
      </x:c>
      <x:c r="M280" s="63" t="str">
        <x:v>Create Codex access tokens</x:v>
      </x:c>
      <x:c r="N280" s="63" t="str">
        <x:v>Create Codex access tokens 更新</x:v>
      </x:c>
      <x:c r="O280" s="63" t="str">
        <x:v>ChatGPT Enterprise workspace owners and admins can allow permitted members to create Codex access tokens for trusted, non-interactive Codex local workflows. Members can use access tokens to run Codex from scripts, schedulers, and private CI runners with their ChatGPT workspace identity. Learn more in Access tokens .</x:v>
      </x:c>
      <x:c r="P280" s="63" t="str">
        <x:v>Codex Changelog 在 2026-05-05 記錄了Codex 編碼代理、企業管理控制相關更新；完整版本與修正內容見官方英文摘要。</x:v>
      </x:c>
      <x:c r="Q280" s="60" t="n">
        <x:v>4</x:v>
      </x:c>
      <x:c r="R280" s="60" t="str">
        <x:v>major</x:v>
      </x:c>
      <x:c r="S280" s="60" t="n">
        <x:v>3414</x:v>
      </x:c>
      <x:c r="T280" s="60" t="n">
        <x:v>458</x:v>
      </x:c>
      <x:c r="U280" s="52" t="str">
        <x:v>Codex Changelog</x:v>
      </x:c>
      <x:c r="V280" s="52" t="str">
        <x:v>https://developers.openai.com/codex/changelog/</x:v>
      </x:c>
      <x:c r="W280" s="52" t="str">
        <x:v>developer_changelog</x:v>
      </x:c>
      <x:c r="X280" s="52" t="str">
        <x:v>complete</x:v>
      </x:c>
      <x:c r="Y280" s="52" t="str">
        <x:v>high</x:v>
      </x:c>
      <x:c r="Z280" s="52" t="str">
        <x:v>agents_research | feature | ChatGPT Work | codex | release-notes</x:v>
      </x:c>
      <x:c r="AA280" s="52" t="n">
        <x:v>1</x:v>
      </x:c>
      <x:c r="AB280" s="53" t="b">
        <x:v>0</x:v>
      </x:c>
    </x:row>
    <x:row r="281" ht="42" customHeight="1">
      <x:c r="A281" s="57" t="n">
        <x:v>46147</x:v>
      </x:c>
      <x:c r="B281" s="52" t="str">
        <x:v>evt-20260505-memory-sources-and-more-personalized-responses-in-chatgpt</x:v>
      </x:c>
      <x:c r="C281" s="60" t="n">
        <x:v>2026</x:v>
      </x:c>
      <x:c r="D281" s="52" t="str">
        <x:v>Q2</x:v>
      </x:c>
      <x:c r="E281" s="52" t="str">
        <x:v>Unified Intelligence</x:v>
      </x:c>
      <x:c r="F281" s="52" t="str">
        <x:v>memory_knowledge</x:v>
      </x:c>
      <x:c r="G281" s="52" t="str">
        <x:v>Memory Forest</x:v>
      </x:c>
      <x:c r="H281" s="52" t="n">
        <x:v>5</x:v>
      </x:c>
      <x:c r="I281" s="52" t="str">
        <x:v>&amp;</x:v>
      </x:c>
      <x:c r="J281" s="52" t="str">
        <x:v>ChatGPT Plus</x:v>
      </x:c>
      <x:c r="K281" s="52" t="str">
        <x:v>feature</x:v>
      </x:c>
      <x:c r="L281" s="52" t="str">
        <x:v>active</x:v>
      </x:c>
      <x:c r="M281" s="63" t="str">
        <x:v>Memory sources and more personalized responses in ChatGPT</x:v>
      </x:c>
      <x:c r="N281" s="63" t="str">
        <x:v>ChatGPT 的記憶來源與更個人化的回應</x:v>
      </x:c>
      <x:c r="O281" s="63" t="str">
        <x:v>Starting today, we’re rolling out memory improvements to ChatGPT Plus and Pro users that make responses more personalized, useful, and continuous over time. ChatGPT can now better pull in relevant context from your past chats, saved memories, and, where available, files and connected Gmail app, to offer more tailored ideas, recommendations, and next steps. It is also faster at searching past conversations to find the right context, s…</x:v>
      </x:c>
      <x:c r="P281" s="63" t="str">
        <x:v>即日起，我們針對 ChatGPT Plus 與 Pro 使用者推出記憶功能優化，使回應更個人化、更有用且具持續性。ChatGPT 現在能更有效地從過往對話、已儲存的記憶，以及可用的檔案與已連結的 Gmail 應用程式中提取相關背景資訊，以提供更客製化的觀點、建議與後續步驟。</x:v>
      </x:c>
      <x:c r="Q281" s="60" t="n">
        <x:v>4</x:v>
      </x:c>
      <x:c r="R281" s="60" t="str">
        <x:v>major</x:v>
      </x:c>
      <x:c r="S281" s="60" t="n">
        <x:v>3414</x:v>
      </x:c>
      <x:c r="T281" s="60" t="n">
        <x:v>881</x:v>
      </x:c>
      <x:c r="U281" s="52" t="str">
        <x:v>ChatGPT — Release Notes</x:v>
      </x:c>
      <x:c r="V281" s="52" t="str">
        <x:v>https://help.openai.com/en/articles/6825453-chatgpt-release-notes</x:v>
      </x:c>
      <x:c r="W281" s="52" t="str">
        <x:v>help_center_release_notes</x:v>
      </x:c>
      <x:c r="X281" s="52" t="str">
        <x:v>complete</x:v>
      </x:c>
      <x:c r="Y281" s="52" t="str">
        <x:v>high</x:v>
      </x:c>
      <x:c r="Z281" s="52" t="str">
        <x:v>memory_knowledge | feature | ChatGPT Plus | 2026 | memory | memory-knowledge</x:v>
      </x:c>
      <x:c r="AA281" s="52" t="n">
        <x:v>1</x:v>
      </x:c>
      <x:c r="AB281" s="53" t="b">
        <x:v>0</x:v>
      </x:c>
    </x:row>
    <x:row r="282" ht="42" customHeight="1">
      <x:c r="A282" s="57" t="n">
        <x:v>46149</x:v>
      </x:c>
      <x:c r="B282" s="52" t="str">
        <x:v>evt-20260507-released-gpt-realtime-2</x:v>
      </x:c>
      <x:c r="C282" s="60" t="n">
        <x:v>2026</x:v>
      </x:c>
      <x:c r="D282" s="52" t="str">
        <x:v>Q2</x:v>
      </x:c>
      <x:c r="E282" s="52" t="str">
        <x:v>Unified Intelligence</x:v>
      </x:c>
      <x:c r="F282" s="52" t="str">
        <x:v>multimodal</x:v>
      </x:c>
      <x:c r="G282" s="52" t="str">
        <x:v>Multimodal Coast</x:v>
      </x:c>
      <x:c r="H282" s="52" t="n">
        <x:v>4</x:v>
      </x:c>
      <x:c r="I282" s="52" t="str">
        <x:v>~</x:v>
      </x:c>
      <x:c r="J282" s="52" t="str">
        <x:v>Realtime &amp; Audio API</x:v>
      </x:c>
      <x:c r="K282" s="52" t="str">
        <x:v>model_release</x:v>
      </x:c>
      <x:c r="L282" s="52" t="str">
        <x:v>active</x:v>
      </x:c>
      <x:c r="M282" s="63" t="str">
        <x:v>Released GPT-Realtime-2</x:v>
      </x:c>
      <x:c r="N282" s="63" t="str">
        <x:v>模型發布：Realtime &amp; Audio API</x:v>
      </x:c>
      <x:c r="O282" s="63" t="str">
        <x:v>Released GPT-Realtime-2 , a new realtime voice model with configurable reasoning for speech-to-speech agents, along with GPT-Realtime-Translate for streaming speech translation and GPT-Realtime-Whisper for streaming speech-to-text. Updated the Realtime and audio guide , added a dedicated Realtime translation guide , refreshed Realtime transcription for streaming transcripts, and moved realtime prompting guidance into Using realtime m…</x:v>
      </x:c>
      <x:c r="P282" s="63" t="str">
        <x:v>推出：GPT-Realtime-2 , a 全新 realtime voice 模型 with configurable reasoning for speech-to-speech agents, along with GPT-Realtime-Translate for streaming speech translation and…。OpenAI 將此列為 2026-05-07 的功能；重點涉及代理與工具調用、即時語音與音訊，模型、端點與參數名稱依官方英文保留。</x:v>
      </x:c>
      <x:c r="Q282" s="60" t="n">
        <x:v>5</x:v>
      </x:c>
      <x:c r="R282" s="60" t="str">
        <x:v>landmark</x:v>
      </x:c>
      <x:c r="S282" s="60" t="n">
        <x:v>3419</x:v>
      </x:c>
      <x:c r="T282" s="60" t="n">
        <x:v>790</x:v>
      </x:c>
      <x:c r="U282" s="52" t="str">
        <x:v>OpenAI API Changelog</x:v>
      </x:c>
      <x:c r="V282" s="52" t="str">
        <x:v>https://developers.openai.com/api/docs/changelog</x:v>
      </x:c>
      <x:c r="W282" s="52" t="str">
        <x:v>official_changelog</x:v>
      </x:c>
      <x:c r="X282" s="52" t="str">
        <x:v>complete</x:v>
      </x:c>
      <x:c r="Y282" s="52" t="str">
        <x:v>high</x:v>
      </x:c>
      <x:c r="Z282" s="52" t="str">
        <x:v>multimodal | model_release | Realtime &amp; Audio API | audio | feature | realtime</x:v>
      </x:c>
      <x:c r="AA282" s="52" t="n">
        <x:v>1</x:v>
      </x:c>
      <x:c r="AB282" s="53" t="b">
        <x:v>0</x:v>
      </x:c>
    </x:row>
    <x:row r="283" ht="42" customHeight="1">
      <x:c r="A283" s="57" t="n">
        <x:v>46149</x:v>
      </x:c>
      <x:c r="B283" s="52" t="str">
        <x:v>evt-20260507-gpt-5-5-cyber-limited-preview</x:v>
      </x:c>
      <x:c r="C283" s="60" t="n">
        <x:v>2026</x:v>
      </x:c>
      <x:c r="D283" s="52" t="str">
        <x:v>Q2</x:v>
      </x:c>
      <x:c r="E283" s="52" t="str">
        <x:v>Unified Intelligence</x:v>
      </x:c>
      <x:c r="F283" s="52" t="str">
        <x:v>safety_lifecycle</x:v>
      </x:c>
      <x:c r="G283" s="52" t="str">
        <x:v>Safety Wall</x:v>
      </x:c>
      <x:c r="H283" s="52" t="n">
        <x:v>9</x:v>
      </x:c>
      <x:c r="I283" s="52" t="str">
        <x:v>!</x:v>
      </x:c>
      <x:c r="J283" s="52" t="str">
        <x:v>GPT-5.5-Cyber</x:v>
      </x:c>
      <x:c r="K283" s="52" t="str">
        <x:v>model_release</x:v>
      </x:c>
      <x:c r="L283" s="52" t="str">
        <x:v>research_preview</x:v>
      </x:c>
      <x:c r="M283" s="63" t="str">
        <x:v>GPT-5.5-Cyber limited preview</x:v>
      </x:c>
      <x:c r="N283" s="63" t="str">
        <x:v>GPT‑5.5‑Cyber 限量預覽</x:v>
      </x:c>
      <x:c r="O283" s="63" t="str">
        <x:v>OpenAI began a limited preview of GPT-5.5-Cyber for defenders securing critical infrastructure under Trusted Access for Cyber.</x:v>
      </x:c>
      <x:c r="P283" s="63" t="str">
        <x:v>OpenAI 透過 Trusted Access for Cyber，向保護關鍵基礎設施的防禦者推出 GPT‑5.5‑Cyber 限量預覽。</x:v>
      </x:c>
      <x:c r="Q283" s="60" t="n">
        <x:v>4</x:v>
      </x:c>
      <x:c r="R283" s="60" t="str">
        <x:v>major</x:v>
      </x:c>
      <x:c r="S283" s="60" t="n">
        <x:v>3419</x:v>
      </x:c>
      <x:c r="T283" s="60" t="n">
        <x:v>1531</x:v>
      </x:c>
      <x:c r="U283" s="52" t="str">
        <x:v>Scaling Trusted Access for Cyber with GPT-5.5 and GPT-5.5-Cyber</x:v>
      </x:c>
      <x:c r="V283" s="52" t="str">
        <x:v>https://openai.com/index/gpt-5-5-with-trusted-access-for-cyber/</x:v>
      </x:c>
      <x:c r="W283" s="52" t="str">
        <x:v>official_security_post</x:v>
      </x:c>
      <x:c r="X283" s="52" t="str">
        <x:v>parsed</x:v>
      </x:c>
      <x:c r="Y283" s="52" t="str">
        <x:v>high</x:v>
      </x:c>
      <x:c r="Z283" s="52" t="str">
        <x:v>safety_lifecycle | model_release | GPT-5.5-Cyber | cybersecurity | gpt-5.5 | trusted-access</x:v>
      </x:c>
      <x:c r="AA283" s="52" t="n">
        <x:v>1</x:v>
      </x:c>
      <x:c r="AB283" s="53" t="b">
        <x:v>0</x:v>
      </x:c>
    </x:row>
    <x:row r="284" ht="42" customHeight="1">
      <x:c r="A284" s="57" t="n">
        <x:v>46149</x:v>
      </x:c>
      <x:c r="B284" s="52" t="str">
        <x:v>evt-20260507-released-the-openai-developers-plugin-for-codex</x:v>
      </x:c>
      <x:c r="C284" s="60" t="n">
        <x:v>2026</x:v>
      </x:c>
      <x:c r="D284" s="52" t="str">
        <x:v>Q2</x:v>
      </x:c>
      <x:c r="E284" s="52" t="str">
        <x:v>Unified Intelligence</x:v>
      </x:c>
      <x:c r="F284" s="52" t="str">
        <x:v>agents_research</x:v>
      </x:c>
      <x:c r="G284" s="52" t="str">
        <x:v>Agentic Frontier</x:v>
      </x:c>
      <x:c r="H284" s="52" t="n">
        <x:v>2</x:v>
      </x:c>
      <x:c r="I284" s="52" t="str">
        <x:v>&gt;</x:v>
      </x:c>
      <x:c r="J284" s="52" t="str">
        <x:v>Codex</x:v>
      </x:c>
      <x:c r="K284" s="52" t="str">
        <x:v>launch</x:v>
      </x:c>
      <x:c r="L284" s="52" t="str">
        <x:v>active</x:v>
      </x:c>
      <x:c r="M284" s="63" t="str">
        <x:v>Released the OpenAI Developers plugin for Codex.</x:v>
      </x:c>
      <x:c r="N284" s="63" t="str">
        <x:v>推出：OpenAI Developers plugin for Codex .</x:v>
      </x:c>
      <x:c r="O284" s="63" t="str">
        <x:v>Released the OpenAI Developers plugin for Codex . This helps you build AI applications and agents in Codex with OpenAI Platform access and OpenAI API setup guidance.</x:v>
      </x:c>
      <x:c r="P284" s="63" t="str">
        <x:v>推出：OpenAI Developers plugin for Codex。OpenAI 將此列為 2026-05-07 的功能；重點涉及Codex 編碼代理、代理與工具調用，模型、端點與參數名稱依官方英文保留。</x:v>
      </x:c>
      <x:c r="Q284" s="60" t="n">
        <x:v>4</x:v>
      </x:c>
      <x:c r="R284" s="60" t="str">
        <x:v>major</x:v>
      </x:c>
      <x:c r="S284" s="60" t="n">
        <x:v>3419</x:v>
      </x:c>
      <x:c r="T284" s="60" t="n">
        <x:v>504</x:v>
      </x:c>
      <x:c r="U284" s="52" t="str">
        <x:v>OpenAI API Changelog</x:v>
      </x:c>
      <x:c r="V284" s="52" t="str">
        <x:v>https://developers.openai.com/api/docs/changelog</x:v>
      </x:c>
      <x:c r="W284" s="52" t="str">
        <x:v>official_changelog</x:v>
      </x:c>
      <x:c r="X284" s="52" t="str">
        <x:v>corroborated</x:v>
      </x:c>
      <x:c r="Y284" s="52" t="str">
        <x:v>high</x:v>
      </x:c>
      <x:c r="Z284" s="52" t="str">
        <x:v>agents_research | launch | Codex | codex | coding-agent | feature</x:v>
      </x:c>
      <x:c r="AA284" s="52" t="n">
        <x:v>2</x:v>
      </x:c>
      <x:c r="AB284" s="53" t="b">
        <x:v>1</x:v>
      </x:c>
    </x:row>
    <x:row r="285" ht="42" customHeight="1">
      <x:c r="A285" s="57" t="n">
        <x:v>46150</x:v>
      </x:c>
      <x:c r="B285" s="52" t="str">
        <x:v>evt-20260508-gpt-5-2-chat-latest-and-gpt-5-3-chat-latest-model-snapshot</x:v>
      </x:c>
      <x:c r="C285" s="60" t="n">
        <x:v>2026</x:v>
      </x:c>
      <x:c r="D285" s="52" t="str">
        <x:v>Q2</x:v>
      </x:c>
      <x:c r="E285" s="52" t="str">
        <x:v>Unified Intelligence</x:v>
      </x:c>
      <x:c r="F285" s="52" t="str">
        <x:v>safety_lifecycle</x:v>
      </x:c>
      <x:c r="G285" s="52" t="str">
        <x:v>Safety Wall</x:v>
      </x:c>
      <x:c r="H285" s="52" t="n">
        <x:v>9</x:v>
      </x:c>
      <x:c r="I285" s="52" t="str">
        <x:v>!</x:v>
      </x:c>
      <x:c r="J285" s="52" t="str">
        <x:v>Model Platform</x:v>
      </x:c>
      <x:c r="K285" s="52" t="str">
        <x:v>deprecation</x:v>
      </x:c>
      <x:c r="L285" s="52" t="str">
        <x:v>deprecated</x:v>
      </x:c>
      <x:c r="M285" s="63" t="str">
        <x:v>gpt-5.2-chat-latest and gpt-5.3-chat-latest model snapshots deprecation</x:v>
      </x:c>
      <x:c r="N285" s="63" t="str">
        <x:v>淘汰通知：Model Platform</x:v>
      </x:c>
      <x:c r="O285" s="63" t="str">
        <x:v>On May 8th, 2026, we notified developers using gpt-5.2-chat-latest and gpt-5.3-chat-latest model snapshots of their deprecation and removal from the API. Schedule/replacements: Aug 10, 2026 gpt-5.2-chat-latest gpt-5.5; Aug 10, 2026 gpt-5.3-chat-latest gpt-5.5</x:v>
      </x:c>
      <x:c r="P285" s="63" t="str">
        <x:v>OpenAI 於 2026-05-08 公告 gpt-5.2-chat-latest and gpt-5.3-chat-latest model snapshots 的棄用或下線時程，並列出替代方案與遷移方向。</x:v>
      </x:c>
      <x:c r="Q285" s="60" t="n">
        <x:v>4</x:v>
      </x:c>
      <x:c r="R285" s="60" t="str">
        <x:v>major</x:v>
      </x:c>
      <x:c r="S285" s="60" t="n">
        <x:v>3422</x:v>
      </x:c>
      <x:c r="T285" s="60" t="n">
        <x:v>1467</x:v>
      </x:c>
      <x:c r="U285" s="52" t="str">
        <x:v>OpenAI API Deprecations</x:v>
      </x:c>
      <x:c r="V285" s="52" t="str">
        <x:v>https://developers.openai.com/api/docs/deprecations#2026-05-08-gpt-52-chat-latest-and-gpt-53-chat-latest-model-snapshots</x:v>
      </x:c>
      <x:c r="W285" s="52" t="str">
        <x:v>official_deprecation_registry</x:v>
      </x:c>
      <x:c r="X285" s="52" t="str">
        <x:v>corroborated</x:v>
      </x:c>
      <x:c r="Y285" s="52" t="str">
        <x:v>high</x:v>
      </x:c>
      <x:c r="Z285" s="52" t="str">
        <x:v>safety_lifecycle | deprecation | Model Platform | api | model-platform</x:v>
      </x:c>
      <x:c r="AA285" s="52" t="n">
        <x:v>2</x:v>
      </x:c>
      <x:c r="AB285" s="53" t="b">
        <x:v>1</x:v>
      </x:c>
    </x:row>
    <x:row r="286" ht="42" customHeight="1">
      <x:c r="A286" s="57" t="n">
        <x:v>46154</x:v>
      </x:c>
      <x:c r="B286" s="52" t="str">
        <x:v>evt-20260512-deprecated-dall-e-model-snapshots-and-the-realtime-api-bet</x:v>
      </x:c>
      <x:c r="C286" s="60" t="n">
        <x:v>2026</x:v>
      </x:c>
      <x:c r="D286" s="52" t="str">
        <x:v>Q2</x:v>
      </x:c>
      <x:c r="E286" s="52" t="str">
        <x:v>Unified Intelligence</x:v>
      </x:c>
      <x:c r="F286" s="52" t="str">
        <x:v>safety_lifecycle</x:v>
      </x:c>
      <x:c r="G286" s="52" t="str">
        <x:v>Safety Wall</x:v>
      </x:c>
      <x:c r="H286" s="52" t="n">
        <x:v>9</x:v>
      </x:c>
      <x:c r="I286" s="52" t="str">
        <x:v>!</x:v>
      </x:c>
      <x:c r="J286" s="52" t="str">
        <x:v>Lifecycle</x:v>
      </x:c>
      <x:c r="K286" s="52" t="str">
        <x:v>retirement</x:v>
      </x:c>
      <x:c r="L286" s="52" t="str">
        <x:v>retired</x:v>
      </x:c>
      <x:c r="M286" s="63" t="str">
        <x:v>Deprecated DALL·E model snapshots and the Realtime API Beta.</x:v>
      </x:c>
      <x:c r="N286" s="63" t="str">
        <x:v>API 更新：Deprecated DALL·E 模型快照 and Realtime API Beta.</x:v>
      </x:c>
      <x:c r="O286" s="63" t="str">
        <x:v>Deprecated DALL·E model snapshots and the Realtime API Beta. DALL·E model snapshots dall-e-2 and dall-e-3 were deprecated and removed from the API on May 12, 2026. We recommend using gpt-image-2 , gpt-image-1 , or gpt-image-1-mini instead. The Realtime API Beta was deprecated and removed from the API on May 12, 2026. If you are still using the beta interface, migrate to the released Realtime API. See the migration guide and the full…</x:v>
      </x:c>
      <x:c r="P286" s="63" t="str">
        <x:v>API 更新：Deprecated DALL·E 模型快照 and Realtime API Beta。OpenAI 將此列為 2026-05-12 的更新；重點涉及棄用與遷移、即時語音與音訊、圖像與影片，模型、端點與參數名稱依官方英文保留。</x:v>
      </x:c>
      <x:c r="Q286" s="60" t="n">
        <x:v>4</x:v>
      </x:c>
      <x:c r="R286" s="60" t="str">
        <x:v>major</x:v>
      </x:c>
      <x:c r="S286" s="60" t="n">
        <x:v>3432</x:v>
      </x:c>
      <x:c r="T286" s="60" t="n">
        <x:v>1483</x:v>
      </x:c>
      <x:c r="U286" s="52" t="str">
        <x:v>OpenAI API Changelog</x:v>
      </x:c>
      <x:c r="V286" s="52" t="str">
        <x:v>https://developers.openai.com/api/docs/changelog</x:v>
      </x:c>
      <x:c r="W286" s="52" t="str">
        <x:v>official_changelog</x:v>
      </x:c>
      <x:c r="X286" s="52" t="str">
        <x:v>corroborated</x:v>
      </x:c>
      <x:c r="Y286" s="52" t="str">
        <x:v>high</x:v>
      </x:c>
      <x:c r="Z286" s="52" t="str">
        <x:v>safety_lifecycle | retirement | Lifecycle | deprecation | migration | update</x:v>
      </x:c>
      <x:c r="AA286" s="52" t="n">
        <x:v>2</x:v>
      </x:c>
      <x:c r="AB286" s="53" t="b">
        <x:v>1</x:v>
      </x:c>
    </x:row>
    <x:row r="287" ht="42" customHeight="1">
      <x:c r="A287" s="57" t="n">
        <x:v>46156</x:v>
      </x:c>
      <x:c r="B287" s="52" t="str">
        <x:v>evt-20260514-work-with-codex-from-anywhere</x:v>
      </x:c>
      <x:c r="C287" s="60" t="n">
        <x:v>2026</x:v>
      </x:c>
      <x:c r="D287" s="52" t="str">
        <x:v>Q2</x:v>
      </x:c>
      <x:c r="E287" s="52" t="str">
        <x:v>Unified Intelligence</x:v>
      </x:c>
      <x:c r="F287" s="52" t="str">
        <x:v>agents_research</x:v>
      </x:c>
      <x:c r="G287" s="52" t="str">
        <x:v>Agentic Frontier</x:v>
      </x:c>
      <x:c r="H287" s="52" t="n">
        <x:v>2</x:v>
      </x:c>
      <x:c r="I287" s="52" t="str">
        <x:v>&gt;</x:v>
      </x:c>
      <x:c r="J287" s="52" t="str">
        <x:v>Codex</x:v>
      </x:c>
      <x:c r="K287" s="52" t="str">
        <x:v>launch</x:v>
      </x:c>
      <x:c r="L287" s="52" t="str">
        <x:v>active</x:v>
      </x:c>
      <x:c r="M287" s="63" t="str">
        <x:v>Work with Codex from anywhere</x:v>
      </x:c>
      <x:c r="N287" s="63" t="str">
        <x:v>推出：Codex</x:v>
      </x:c>
      <x:c r="O287" s="63" t="str">
        <x:v>You can now use Codex from the ChatGPT mobile app by connecting it to a Mac running the Codex app. Codex runs from the connected host, so the same projects, files, credentials, plugins, skills, and configuration are available from your phone. See Remote connections for mobile setup, choosing a host, what comes from the connected machine, and SSH hosts. This launch also includes Hooks general availability, Codex access tokens for trus…</x:v>
      </x:c>
      <x:c r="P287" s="63" t="str">
        <x:v>Codex Changelog 在 2026-05-14 記錄了Codex 編碼代理、企業管理控制相關更新；完整版本與修正內容見官方英文摘要。</x:v>
      </x:c>
      <x:c r="Q287" s="60" t="n">
        <x:v>5</x:v>
      </x:c>
      <x:c r="R287" s="60" t="str">
        <x:v>landmark</x:v>
      </x:c>
      <x:c r="S287" s="60" t="n">
        <x:v>3437</x:v>
      </x:c>
      <x:c r="T287" s="60" t="n">
        <x:v>456</x:v>
      </x:c>
      <x:c r="U287" s="52" t="str">
        <x:v>Codex Changelog</x:v>
      </x:c>
      <x:c r="V287" s="52" t="str">
        <x:v>https://developers.openai.com/codex/changelog/</x:v>
      </x:c>
      <x:c r="W287" s="52" t="str">
        <x:v>developer_changelog</x:v>
      </x:c>
      <x:c r="X287" s="52" t="str">
        <x:v>complete</x:v>
      </x:c>
      <x:c r="Y287" s="52" t="str">
        <x:v>high</x:v>
      </x:c>
      <x:c r="Z287" s="52" t="str">
        <x:v>agents_research | launch | Codex | codex | release-notes</x:v>
      </x:c>
      <x:c r="AA287" s="52" t="n">
        <x:v>1</x:v>
      </x:c>
      <x:c r="AB287" s="53" t="b">
        <x:v>0</x:v>
      </x:c>
    </x:row>
    <x:row r="288" ht="42" customHeight="1">
      <x:c r="A288" s="57" t="n">
        <x:v>46156</x:v>
      </x:c>
      <x:c r="B288" s="52" t="str">
        <x:v>evt-20260514-codex-remote-access-from-the-chatgpt-mobile-app</x:v>
      </x:c>
      <x:c r="C288" s="60" t="n">
        <x:v>2026</x:v>
      </x:c>
      <x:c r="D288" s="52" t="str">
        <x:v>Q2</x:v>
      </x:c>
      <x:c r="E288" s="52" t="str">
        <x:v>Unified Intelligence</x:v>
      </x:c>
      <x:c r="F288" s="52" t="str">
        <x:v>agents_research</x:v>
      </x:c>
      <x:c r="G288" s="52" t="str">
        <x:v>Agentic Frontier</x:v>
      </x:c>
      <x:c r="H288" s="52" t="n">
        <x:v>2</x:v>
      </x:c>
      <x:c r="I288" s="52" t="str">
        <x:v>&gt;</x:v>
      </x:c>
      <x:c r="J288" s="52" t="str">
        <x:v>Codex</x:v>
      </x:c>
      <x:c r="K288" s="52" t="str">
        <x:v>feature</x:v>
      </x:c>
      <x:c r="L288" s="52" t="str">
        <x:v>active</x:v>
      </x:c>
      <x:c r="M288" s="63" t="str">
        <x:v>Codex remote access from the ChatGPT mobile app</x:v>
      </x:c>
      <x:c r="N288" s="63" t="str">
        <x:v>透過 ChatGPT 行動應用程式遠端存取 Codex</x:v>
      </x:c>
      <x:c r="O288" s="63" t="str">
        <x:v>Codex is now available in preview in the ChatGPT mobile app, so you can stay connected to active work from your phone while Codex continues running on the connected Mac host. From mobile, you can start or continue threads, answer questions, change direction, approve actions, review what Codex found, and move across connected hosts without stepping away from the work. That means you can keep an investigation moving, make a decision wh…</x:v>
      </x:c>
      <x:c r="P288" s="63" t="str">
        <x:v>Codex 現已在 ChatGPT 行動應用程式中提供預覽版，讓您在手機上也能保持與進行中的工作連結，同時 Codex 會持續在已連結的 Mac 主機上執行。</x:v>
      </x:c>
      <x:c r="Q288" s="60" t="n">
        <x:v>4</x:v>
      </x:c>
      <x:c r="R288" s="60" t="str">
        <x:v>major</x:v>
      </x:c>
      <x:c r="S288" s="60" t="n">
        <x:v>3437</x:v>
      </x:c>
      <x:c r="T288" s="60" t="n">
        <x:v>463</x:v>
      </x:c>
      <x:c r="U288" s="52" t="str">
        <x:v>ChatGPT — Release Notes</x:v>
      </x:c>
      <x:c r="V288" s="52" t="str">
        <x:v>https://help.openai.com/en/articles/6825453-chatgpt-release-notes</x:v>
      </x:c>
      <x:c r="W288" s="52" t="str">
        <x:v>help_center_release_notes</x:v>
      </x:c>
      <x:c r="X288" s="52" t="str">
        <x:v>complete</x:v>
      </x:c>
      <x:c r="Y288" s="52" t="str">
        <x:v>high</x:v>
      </x:c>
      <x:c r="Z288" s="52" t="str">
        <x:v>agents_research | feature | Codex | 2026 | agents-research | codex</x:v>
      </x:c>
      <x:c r="AA288" s="52" t="n">
        <x:v>1</x:v>
      </x:c>
      <x:c r="AB288" s="53" t="b">
        <x:v>0</x:v>
      </x:c>
    </x:row>
    <x:row r="289" ht="42" customHeight="1">
      <x:c r="A289" s="57" t="n">
        <x:v>46157</x:v>
      </x:c>
      <x:c r="B289" s="52" t="str">
        <x:v>evt-20260515-personal-finances-in-chatgpt</x:v>
      </x:c>
      <x:c r="C289" s="60" t="n">
        <x:v>2026</x:v>
      </x:c>
      <x:c r="D289" s="52" t="str">
        <x:v>Q2</x:v>
      </x:c>
      <x:c r="E289" s="52" t="str">
        <x:v>Unified Intelligence</x:v>
      </x:c>
      <x:c r="F289" s="52" t="str">
        <x:v>search_commerce</x:v>
      </x:c>
      <x:c r="G289" s="52" t="str">
        <x:v>Commerce Bazaar</x:v>
      </x:c>
      <x:c r="H289" s="52" t="n">
        <x:v>6</x:v>
      </x:c>
      <x:c r="I289" s="52" t="str">
        <x:v>$</x:v>
      </x:c>
      <x:c r="J289" s="52" t="str">
        <x:v>Personal Finance</x:v>
      </x:c>
      <x:c r="K289" s="52" t="str">
        <x:v>launch</x:v>
      </x:c>
      <x:c r="L289" s="52" t="str">
        <x:v>active</x:v>
      </x:c>
      <x:c r="M289" s="63" t="str">
        <x:v>Personal finances in ChatGPT</x:v>
      </x:c>
      <x:c r="N289" s="63" t="str">
        <x:v>ChatGPT 的個人理財</x:v>
      </x:c>
      <x:c r="O289" s="63" t="str">
        <x:v>We’re starting to roll out a new personal finance experience in ChatGPT. Pro users in the United States can securely connect supported financial accounts, see a dashboard of where their money is going, and ask questions grounded in their financial context. Available on web and iOS, Finances lets you view spending, bills, subscriptions, net worth, and investment information in one place. You can ask questions directly in ChatGPT or us…</x:v>
      </x:c>
      <x:c r="P289" s="63" t="str">
        <x:v>我們開始在 ChatGPT 中推出全新的個人理財體驗。美國的 Pro 使用者可以安全地連結支援的財務帳戶，查看資金流向儀表板，並根據其財務背景提問。</x:v>
      </x:c>
      <x:c r="Q289" s="60" t="n">
        <x:v>4</x:v>
      </x:c>
      <x:c r="R289" s="60" t="str">
        <x:v>major</x:v>
      </x:c>
      <x:c r="S289" s="60" t="n">
        <x:v>3440</x:v>
      </x:c>
      <x:c r="T289" s="60" t="n">
        <x:v>1091</x:v>
      </x:c>
      <x:c r="U289" s="52" t="str">
        <x:v>ChatGPT — Release Notes</x:v>
      </x:c>
      <x:c r="V289" s="52" t="str">
        <x:v>https://help.openai.com/en/articles/6825453-chatgpt-release-notes</x:v>
      </x:c>
      <x:c r="W289" s="52" t="str">
        <x:v>help_center_release_notes</x:v>
      </x:c>
      <x:c r="X289" s="52" t="str">
        <x:v>complete</x:v>
      </x:c>
      <x:c r="Y289" s="52" t="str">
        <x:v>high</x:v>
      </x:c>
      <x:c r="Z289" s="52" t="str">
        <x:v>search_commerce | launch | Personal Finance | 2026 | personal-finance | search-commerce</x:v>
      </x:c>
      <x:c r="AA289" s="52" t="n">
        <x:v>1</x:v>
      </x:c>
      <x:c r="AB289" s="53" t="b">
        <x:v>0</x:v>
      </x:c>
    </x:row>
    <x:row r="290" ht="42" customHeight="1">
      <x:c r="A290" s="57" t="n">
        <x:v>46161</x:v>
      </x:c>
      <x:c r="B290" s="52" t="str">
        <x:v>evt-20260519-released-secure-mcp-tunnel-for-enterprise-customers</x:v>
      </x:c>
      <x:c r="C290" s="60" t="n">
        <x:v>2026</x:v>
      </x:c>
      <x:c r="D290" s="52" t="str">
        <x:v>Q2</x:v>
      </x:c>
      <x:c r="E290" s="52" t="str">
        <x:v>Unified Intelligence</x:v>
      </x:c>
      <x:c r="F290" s="52" t="str">
        <x:v>enterprise_vertical</x:v>
      </x:c>
      <x:c r="G290" s="52" t="str">
        <x:v>Enterprise Citadel</x:v>
      </x:c>
      <x:c r="H290" s="52" t="n">
        <x:v>7</x:v>
      </x:c>
      <x:c r="I290" s="52" t="str">
        <x:v>H</x:v>
      </x:c>
      <x:c r="J290" s="52" t="str">
        <x:v>Codex</x:v>
      </x:c>
      <x:c r="K290" s="52" t="str">
        <x:v>launch</x:v>
      </x:c>
      <x:c r="L290" s="52" t="str">
        <x:v>active</x:v>
      </x:c>
      <x:c r="M290" s="63" t="str">
        <x:v>Released Secure MCP Tunnel for enterprise customers.</x:v>
      </x:c>
      <x:c r="N290" s="63" t="str">
        <x:v>發布Secure MCP Tunnel for enterprise customers.</x:v>
      </x:c>
      <x:c r="O290" s="63" t="str">
        <x:v>Released Secure MCP Tunnel for enterprise customers. Secure MCP Tunnel lets supported OpenAI products including ChatGPT web, Codex, Responses API, and AgentKit connect to private or on-prem MCP servers through a customer-hosted tunnel-client without exposing those servers to the public internet.</x:v>
      </x:c>
      <x:c r="P290" s="63" t="str">
        <x:v>OpenAI 於 2026-05-19 為 Codex 推出新產品或能力；此節點依官方發布記錄整理，完整能力、適用方案與限制請見來源。</x:v>
      </x:c>
      <x:c r="Q290" s="60" t="n">
        <x:v>4</x:v>
      </x:c>
      <x:c r="R290" s="60" t="str">
        <x:v>major</x:v>
      </x:c>
      <x:c r="S290" s="60" t="n">
        <x:v>3450</x:v>
      </x:c>
      <x:c r="T290" s="60" t="n">
        <x:v>1177</x:v>
      </x:c>
      <x:c r="U290" s="52" t="str">
        <x:v>OpenAI API Changelog</x:v>
      </x:c>
      <x:c r="V290" s="52" t="str">
        <x:v>https://platform.openai.com/docs/changelog</x:v>
      </x:c>
      <x:c r="W290" s="52" t="str">
        <x:v>developer_changelog</x:v>
      </x:c>
      <x:c r="X290" s="52" t="str">
        <x:v>parsed</x:v>
      </x:c>
      <x:c r="Y290" s="52" t="str">
        <x:v>high</x:v>
      </x:c>
      <x:c r="Z290" s="52" t="str">
        <x:v>enterprise_vertical | launch | Codex</x:v>
      </x:c>
      <x:c r="AA290" s="52" t="n">
        <x:v>1</x:v>
      </x:c>
      <x:c r="AB290" s="53" t="b">
        <x:v>0</x:v>
      </x:c>
    </x:row>
    <x:row r="291" ht="42" customHeight="1">
      <x:c r="A291" s="57" t="n">
        <x:v>46163</x:v>
      </x:c>
      <x:c r="B291" s="52" t="str">
        <x:v>evt-20260521-appshots-goal-mode-and-more-26-519</x:v>
      </x:c>
      <x:c r="C291" s="60" t="n">
        <x:v>2026</x:v>
      </x:c>
      <x:c r="D291" s="52" t="str">
        <x:v>Q2</x:v>
      </x:c>
      <x:c r="E291" s="52" t="str">
        <x:v>Unified Intelligence</x:v>
      </x:c>
      <x:c r="F291" s="52" t="str">
        <x:v>agents_research</x:v>
      </x:c>
      <x:c r="G291" s="52" t="str">
        <x:v>Agentic Frontier</x:v>
      </x:c>
      <x:c r="H291" s="52" t="n">
        <x:v>2</x:v>
      </x:c>
      <x:c r="I291" s="52" t="str">
        <x:v>&gt;</x:v>
      </x:c>
      <x:c r="J291" s="52" t="str">
        <x:v>Codex</x:v>
      </x:c>
      <x:c r="K291" s="52" t="str">
        <x:v>launch</x:v>
      </x:c>
      <x:c r="L291" s="52" t="str">
        <x:v>active</x:v>
      </x:c>
      <x:c r="M291" s="63" t="str">
        <x:v>Appshots, goal mode, and more 26.519</x:v>
      </x:c>
      <x:c r="N291" s="63" t="str">
        <x:v>Appshots, goal mode, and more 26.519 更新</x:v>
      </x:c>
      <x:c r="O291" s="63" t="str">
        <x:v>Appshots are now available in the Codex app on macOS. Press both Command keys to send the frontmost app window to Codex with a screenshot and available text, so Codex can work from context in another app without you copying, pasting, or describing it manually. This launch also includes: Goal mode is no longer an experimental feature and is available in the Codex app, IDE extension, and CLI. With Goal mode, you can have Codex drive to…</x:v>
      </x:c>
      <x:c r="P291" s="63" t="str">
        <x:v>OpenAI 於 2026-05-21 為 Codex 推出新產品或能力；此節點依官方發布記錄整理，完整能力、適用方案與限制請見來源。</x:v>
      </x:c>
      <x:c r="Q291" s="60" t="n">
        <x:v>5</x:v>
      </x:c>
      <x:c r="R291" s="60" t="str">
        <x:v>landmark</x:v>
      </x:c>
      <x:c r="S291" s="60" t="n">
        <x:v>3455</x:v>
      </x:c>
      <x:c r="T291" s="60" t="n">
        <x:v>441</x:v>
      </x:c>
      <x:c r="U291" s="52" t="str">
        <x:v>Codex Changelog</x:v>
      </x:c>
      <x:c r="V291" s="52" t="str">
        <x:v>https://developers.openai.com/codex/changelog/</x:v>
      </x:c>
      <x:c r="W291" s="52" t="str">
        <x:v>developer_changelog</x:v>
      </x:c>
      <x:c r="X291" s="52" t="str">
        <x:v>complete</x:v>
      </x:c>
      <x:c r="Y291" s="52" t="str">
        <x:v>high</x:v>
      </x:c>
      <x:c r="Z291" s="52" t="str">
        <x:v>agents_research | launch | Codex | codex | release-notes</x:v>
      </x:c>
      <x:c r="AA291" s="52" t="n">
        <x:v>1</x:v>
      </x:c>
      <x:c r="AB291" s="53" t="b">
        <x:v>0</x:v>
      </x:c>
    </x:row>
    <x:row r="292" ht="42" customHeight="1">
      <x:c r="A292" s="57" t="n">
        <x:v>46163</x:v>
      </x:c>
      <x:c r="B292" s="52" t="str">
        <x:v>evt-20260521-goal-mode-is-generally-available-in-codex</x:v>
      </x:c>
      <x:c r="C292" s="60" t="n">
        <x:v>2026</x:v>
      </x:c>
      <x:c r="D292" s="52" t="str">
        <x:v>Q2</x:v>
      </x:c>
      <x:c r="E292" s="52" t="str">
        <x:v>Unified Intelligence</x:v>
      </x:c>
      <x:c r="F292" s="52" t="str">
        <x:v>agents_research</x:v>
      </x:c>
      <x:c r="G292" s="52" t="str">
        <x:v>Agentic Frontier</x:v>
      </x:c>
      <x:c r="H292" s="52" t="n">
        <x:v>2</x:v>
      </x:c>
      <x:c r="I292" s="52" t="str">
        <x:v>&gt;</x:v>
      </x:c>
      <x:c r="J292" s="52" t="str">
        <x:v>Codex</x:v>
      </x:c>
      <x:c r="K292" s="52" t="str">
        <x:v>availability</x:v>
      </x:c>
      <x:c r="L292" s="52" t="str">
        <x:v>general_availability</x:v>
      </x:c>
      <x:c r="M292" s="63" t="str">
        <x:v>Goal mode is generally available in Codex</x:v>
      </x:c>
      <x:c r="N292" s="63" t="str">
        <x:v>目標模式在 Codex 中全面開放</x:v>
      </x:c>
      <x:c r="O292" s="63" t="str">
        <x:v>Goal mode became generally available in the Codex app, IDE extension, and CLI for outcome-driven work with explicit success criteria.</x:v>
      </x:c>
      <x:c r="P292" s="63" t="str">
        <x:v>目標模式現已在 Codex 應用程式、IDE 擴充功能及 CLI 中全面開放，用於執行具有明確成功標準且以成果為導向的工作。</x:v>
      </x:c>
      <x:c r="Q292" s="60" t="n">
        <x:v>4</x:v>
      </x:c>
      <x:c r="R292" s="60" t="str">
        <x:v>major</x:v>
      </x:c>
      <x:c r="S292" s="60" t="n">
        <x:v>3455</x:v>
      </x:c>
      <x:c r="T292" s="60" t="n">
        <x:v>452</x:v>
      </x:c>
      <x:c r="U292" s="52" t="str">
        <x:v>ChatGPT — Release Notes</x:v>
      </x:c>
      <x:c r="V292" s="52" t="str">
        <x:v>https://help.openai.com/en/articles/6825453-chatgpt-release-notes</x:v>
      </x:c>
      <x:c r="W292" s="52" t="str">
        <x:v>help_center_release_notes</x:v>
      </x:c>
      <x:c r="X292" s="52" t="str">
        <x:v>complete</x:v>
      </x:c>
      <x:c r="Y292" s="52" t="str">
        <x:v>high</x:v>
      </x:c>
      <x:c r="Z292" s="52" t="str">
        <x:v>agents_research | availability | Codex | 2026 | agents-research | codex</x:v>
      </x:c>
      <x:c r="AA292" s="52" t="n">
        <x:v>1</x:v>
      </x:c>
      <x:c r="AB292" s="53" t="b">
        <x:v>0</x:v>
      </x:c>
    </x:row>
    <x:row r="293" ht="42" customHeight="1">
      <x:c r="A293" s="57" t="n">
        <x:v>46164</x:v>
      </x:c>
      <x:c r="B293" s="52" t="str">
        <x:v>evt-20260522-workspace-agents-generally-available</x:v>
      </x:c>
      <x:c r="C293" s="60" t="n">
        <x:v>2026</x:v>
      </x:c>
      <x:c r="D293" s="52" t="str">
        <x:v>Q2</x:v>
      </x:c>
      <x:c r="E293" s="52" t="str">
        <x:v>Unified Intelligence</x:v>
      </x:c>
      <x:c r="F293" s="52" t="str">
        <x:v>agents_research</x:v>
      </x:c>
      <x:c r="G293" s="52" t="str">
        <x:v>Agentic Frontier</x:v>
      </x:c>
      <x:c r="H293" s="52" t="n">
        <x:v>2</x:v>
      </x:c>
      <x:c r="I293" s="52" t="str">
        <x:v>&gt;</x:v>
      </x:c>
      <x:c r="J293" s="52" t="str">
        <x:v>Workspace Agents</x:v>
      </x:c>
      <x:c r="K293" s="52" t="str">
        <x:v>availability</x:v>
      </x:c>
      <x:c r="L293" s="52" t="str">
        <x:v>general_availability</x:v>
      </x:c>
      <x:c r="M293" s="63" t="str">
        <x:v>Workspace agents generally available</x:v>
      </x:c>
      <x:c r="N293" s="63" t="str">
        <x:v>Workspace Agents 正式 GA</x:v>
      </x:c>
      <x:c r="O293" s="63" t="str">
        <x:v>Workspace agents reached general availability for ChatGPT Business, Enterprise and Edu with action safeguards, admin activity visibility and shared workflows.</x:v>
      </x:c>
      <x:c r="P293" s="63" t="str">
        <x:v>Workspace Agents 向 ChatGPT Business、Enterprise 與 Edu 正式 GA，加入動作防護、管理員活動可視性與可分享流程。</x:v>
      </x:c>
      <x:c r="Q293" s="60" t="n">
        <x:v>4</x:v>
      </x:c>
      <x:c r="R293" s="60" t="str">
        <x:v>major</x:v>
      </x:c>
      <x:c r="S293" s="60" t="n">
        <x:v>3458</x:v>
      </x:c>
      <x:c r="T293" s="60" t="n">
        <x:v>476</x:v>
      </x:c>
      <x:c r="U293" s="52" t="str">
        <x:v>ChatGPT Enterprise &amp; Edu — Release Notes</x:v>
      </x:c>
      <x:c r="V293" s="52" t="str">
        <x:v>https://help.openai.com/en/articles/10128477-chatgpt-enterprise-edu-release-notes</x:v>
      </x:c>
      <x:c r="W293" s="52" t="str">
        <x:v>help_center_release_notes</x:v>
      </x:c>
      <x:c r="X293" s="52" t="str">
        <x:v>parsed</x:v>
      </x:c>
      <x:c r="Y293" s="52" t="str">
        <x:v>high</x:v>
      </x:c>
      <x:c r="Z293" s="52" t="str">
        <x:v>agents_research | availability | Workspace Agents | enterprise | ga | workspace-agents</x:v>
      </x:c>
      <x:c r="AA293" s="52" t="n">
        <x:v>1</x:v>
      </x:c>
      <x:c r="AB293" s="53" t="b">
        <x:v>0</x:v>
      </x:c>
    </x:row>
    <x:row r="294" ht="42" customHeight="1">
      <x:c r="A294" s="57" t="n">
        <x:v>46167</x:v>
      </x:c>
      <x:c r="B294" s="52" t="str">
        <x:v>evt-20260525-chatgpt-for-ios-1-2026-139</x:v>
      </x:c>
      <x:c r="C294" s="60" t="n">
        <x:v>2026</x:v>
      </x:c>
      <x:c r="D294" s="52" t="str">
        <x:v>Q2</x:v>
      </x:c>
      <x:c r="E294" s="52" t="str">
        <x:v>Unified Intelligence</x:v>
      </x:c>
      <x:c r="F294" s="52" t="str">
        <x:v>clients_surfaces</x:v>
      </x:c>
      <x:c r="G294" s="52" t="str">
        <x:v>Client Archipelago</x:v>
      </x:c>
      <x:c r="H294" s="52" t="n">
        <x:v>8</x:v>
      </x:c>
      <x:c r="I294" s="52" t="str">
        <x:v>+</x:v>
      </x:c>
      <x:c r="J294" s="52" t="str">
        <x:v>Codex Mobile</x:v>
      </x:c>
      <x:c r="K294" s="52" t="str">
        <x:v>launch</x:v>
      </x:c>
      <x:c r="L294" s="52" t="str">
        <x:v>active</x:v>
      </x:c>
      <x:c r="M294" s="63" t="str">
        <x:v>ChatGPT for iOS 1.2026.139</x:v>
      </x:c>
      <x:c r="N294" s="63" t="str">
        <x:v>ChatGPT for iOS 1.2026.139 更新</x:v>
      </x:c>
      <x:c r="O294" s="63" t="str">
        <x:v>New features Added Spotlight and Shortcuts support for opening Codex Mobile directly. Added browsing for archived Codex threads. Added /side for opening a side conversation. Added options to save or copy rendered images. Improvements and bug fixes Improved iPad keyboard shortcuts. Improved setup and relaunch reliability. Fixed issues with task progress, loading archived threads, previewing code changes, and switching hosts.</x:v>
      </x:c>
      <x:c r="P294" s="63" t="str">
        <x:v>Codex Changelog 在 2026-05-25 記錄了Codex 編碼代理、圖像與影片、可靠性與效能修正相關更新；完整版本與修正內容見官方英文摘要。</x:v>
      </x:c>
      <x:c r="Q294" s="60" t="n">
        <x:v>4</x:v>
      </x:c>
      <x:c r="R294" s="60" t="str">
        <x:v>major</x:v>
      </x:c>
      <x:c r="S294" s="60" t="n">
        <x:v>3465</x:v>
      </x:c>
      <x:c r="T294" s="60" t="n">
        <x:v>1379</x:v>
      </x:c>
      <x:c r="U294" s="52" t="str">
        <x:v>Codex Changelog</x:v>
      </x:c>
      <x:c r="V294" s="52" t="str">
        <x:v>https://developers.openai.com/codex/changelog/</x:v>
      </x:c>
      <x:c r="W294" s="52" t="str">
        <x:v>developer_changelog</x:v>
      </x:c>
      <x:c r="X294" s="52" t="str">
        <x:v>complete</x:v>
      </x:c>
      <x:c r="Y294" s="52" t="str">
        <x:v>high</x:v>
      </x:c>
      <x:c r="Z294" s="52" t="str">
        <x:v>clients_surfaces | launch | Codex Mobile | codex | mobile | release-notes</x:v>
      </x:c>
      <x:c r="AA294" s="52" t="n">
        <x:v>1</x:v>
      </x:c>
      <x:c r="AB294" s="53" t="b">
        <x:v>0</x:v>
      </x:c>
    </x:row>
    <x:row r="295" ht="42" customHeight="1">
      <x:c r="A295" s="57" t="n">
        <x:v>46168</x:v>
      </x:c>
      <x:c r="B295" s="52" t="str">
        <x:v>evt-20260526-gpt-5-3-codex-and-gpt-5-2-deprecated</x:v>
      </x:c>
      <x:c r="C295" s="60" t="n">
        <x:v>2026</x:v>
      </x:c>
      <x:c r="D295" s="52" t="str">
        <x:v>Q2</x:v>
      </x:c>
      <x:c r="E295" s="52" t="str">
        <x:v>Unified Intelligence</x:v>
      </x:c>
      <x:c r="F295" s="52" t="str">
        <x:v>agents_research</x:v>
      </x:c>
      <x:c r="G295" s="52" t="str">
        <x:v>Agentic Frontier</x:v>
      </x:c>
      <x:c r="H295" s="52" t="n">
        <x:v>2</x:v>
      </x:c>
      <x:c r="I295" s="52" t="str">
        <x:v>&gt;</x:v>
      </x:c>
      <x:c r="J295" s="52" t="str">
        <x:v>GPT-5.5</x:v>
      </x:c>
      <x:c r="K295" s="52" t="str">
        <x:v>deprecation</x:v>
      </x:c>
      <x:c r="L295" s="52" t="str">
        <x:v>deprecated</x:v>
      </x:c>
      <x:c r="M295" s="63" t="str">
        <x:v>GPT-5.3-Codex and GPT-5.2 deprecated</x:v>
      </x:c>
      <x:c r="N295" s="63" t="str">
        <x:v>GPT-5.3-Codex and GPT-5.2 已棄用</x:v>
      </x:c>
      <x:c r="O295" s="63" t="str">
        <x:v>GPT-5.3-Codex and GPT-5.2 are now deprecated as user-selectable models in Codex for users signed in with ChatGPT. API-key workflows aren’t affected. Use a current Codex model, such as GPT-5.5, GPT-5.4, or GPT-5.4 mini. See Codex models for model availability and Codex pricing for credit rates.</x:v>
      </x:c>
      <x:c r="P295" s="63" t="str">
        <x:v>Codex Changelog 在 2026-05-26 記錄了棄用與遷移、Codex 編碼代理、定價與用量相關更新；完整版本與修正內容見官方英文摘要。</x:v>
      </x:c>
      <x:c r="Q295" s="60" t="n">
        <x:v>4</x:v>
      </x:c>
      <x:c r="R295" s="60" t="str">
        <x:v>major</x:v>
      </x:c>
      <x:c r="S295" s="60" t="n">
        <x:v>3468</x:v>
      </x:c>
      <x:c r="T295" s="60" t="n">
        <x:v>429</x:v>
      </x:c>
      <x:c r="U295" s="52" t="str">
        <x:v>Codex Changelog</x:v>
      </x:c>
      <x:c r="V295" s="52" t="str">
        <x:v>https://developers.openai.com/codex/changelog/</x:v>
      </x:c>
      <x:c r="W295" s="52" t="str">
        <x:v>developer_changelog</x:v>
      </x:c>
      <x:c r="X295" s="52" t="str">
        <x:v>complete</x:v>
      </x:c>
      <x:c r="Y295" s="52" t="str">
        <x:v>high</x:v>
      </x:c>
      <x:c r="Z295" s="52" t="str">
        <x:v>agents_research | deprecation | GPT-5.5 | codex | release-notes</x:v>
      </x:c>
      <x:c r="AA295" s="52" t="n">
        <x:v>1</x:v>
      </x:c>
      <x:c r="AB295" s="53" t="b">
        <x:v>0</x:v>
      </x:c>
    </x:row>
    <x:row r="296" ht="42" customHeight="1">
      <x:c r="A296" s="57" t="n">
        <x:v>46169</x:v>
      </x:c>
      <x:c r="B296" s="52" t="str">
        <x:v>evt-20260527-mcp-apps-tool-lifecycle-updates</x:v>
      </x:c>
      <x:c r="C296" s="60" t="n">
        <x:v>2026</x:v>
      </x:c>
      <x:c r="D296" s="52" t="str">
        <x:v>Q2</x:v>
      </x:c>
      <x:c r="E296" s="52" t="str">
        <x:v>Unified Intelligence</x:v>
      </x:c>
      <x:c r="F296" s="52" t="str">
        <x:v>developer_platform</x:v>
      </x:c>
      <x:c r="G296" s="52" t="str">
        <x:v>Toolsmith Harbor</x:v>
      </x:c>
      <x:c r="H296" s="52" t="n">
        <x:v>3</x:v>
      </x:c>
      <x:c r="I296" s="52" t="str">
        <x:v>#</x:v>
      </x:c>
      <x:c r="J296" s="52" t="str">
        <x:v>Apps SDK</x:v>
      </x:c>
      <x:c r="K296" s="52" t="str">
        <x:v>launch</x:v>
      </x:c>
      <x:c r="L296" s="52" t="str">
        <x:v>active</x:v>
      </x:c>
      <x:c r="M296" s="63" t="str">
        <x:v>MCP Apps tool lifecycle updates</x:v>
      </x:c>
      <x:c r="N296" s="63" t="str">
        <x:v>MCP Apps tool lifecycle updates 更新</x:v>
      </x:c>
      <x:c r="O296" s="63" t="str">
        <x:v>Fixes &amp; improvements window.openai.toolResponseMetadata now preserves the canonical MCP tool result envelope, including hidden meta , when ChatGPT launches widgets. For tools that need user approval, ChatGPT now delivers widget tool input through the MCP Apps ui/notifications/tool-input lifecycle after approval instead of preloading it into the initial widget globals.</x:v>
      </x:c>
      <x:c r="P296" s="63" t="str">
        <x:v>Apps SDK Changelog 在 2026-05-27 記錄了代理與工具調用、可靠性與效能修正相關更新；完整版本與修正內容見官方英文摘要。</x:v>
      </x:c>
      <x:c r="Q296" s="60" t="n">
        <x:v>4</x:v>
      </x:c>
      <x:c r="R296" s="60" t="str">
        <x:v>major</x:v>
      </x:c>
      <x:c r="S296" s="60" t="n">
        <x:v>3470</x:v>
      </x:c>
      <x:c r="T296" s="60" t="n">
        <x:v>600</x:v>
      </x:c>
      <x:c r="U296" s="52" t="str">
        <x:v>Apps SDK Changelog</x:v>
      </x:c>
      <x:c r="V296" s="52" t="str">
        <x:v>https://developers.openai.com/apps-sdk/changelog/</x:v>
      </x:c>
      <x:c r="W296" s="52" t="str">
        <x:v>developer_changelog</x:v>
      </x:c>
      <x:c r="X296" s="52" t="str">
        <x:v>complete</x:v>
      </x:c>
      <x:c r="Y296" s="52" t="str">
        <x:v>high</x:v>
      </x:c>
      <x:c r="Z296" s="52" t="str">
        <x:v>developer_platform | launch | Apps SDK | apps-sdk | chatgpt-apps | mcp</x:v>
      </x:c>
      <x:c r="AA296" s="52" t="n">
        <x:v>1</x:v>
      </x:c>
      <x:c r="AB296" s="53" t="b">
        <x:v>0</x:v>
      </x:c>
    </x:row>
    <x:row r="297" ht="42" customHeight="1">
      <x:c r="A297" s="57" t="n">
        <x:v>46170</x:v>
      </x:c>
      <x:c r="B297" s="52" t="str">
        <x:v>evt-20260528-released-chat-latest-snapshot-which-points-to-the-latest-i</x:v>
      </x:c>
      <x:c r="C297" s="60" t="n">
        <x:v>2026</x:v>
      </x:c>
      <x:c r="D297" s="52" t="str">
        <x:v>Q2</x:v>
      </x:c>
      <x:c r="E297" s="52" t="str">
        <x:v>Unified Intelligence</x:v>
      </x:c>
      <x:c r="F297" s="52" t="str">
        <x:v>models_reasoning</x:v>
      </x:c>
      <x:c r="G297" s="52" t="str">
        <x:v>Model Mountains</x:v>
      </x:c>
      <x:c r="H297" s="52" t="n">
        <x:v>1</x:v>
      </x:c>
      <x:c r="I297" s="52" t="str">
        <x:v>^</x:v>
      </x:c>
      <x:c r="J297" s="52" t="str">
        <x:v>Model Platform</x:v>
      </x:c>
      <x:c r="K297" s="52" t="str">
        <x:v>model_release</x:v>
      </x:c>
      <x:c r="L297" s="52" t="str">
        <x:v>active</x:v>
      </x:c>
      <x:c r="M297" s="63" t="str">
        <x:v>Released chat-latest snapshot which points to the latest Instant model currently used in ChatGPT.</x:v>
      </x:c>
      <x:c r="N297" s="63" t="str">
        <x:v>模型發布：Model Platform</x:v>
      </x:c>
      <x:c r="O297" s="63" t="str">
        <x:v>Released chat-latest snapshot which points to the latest Instant model currently used in ChatGPT. We recommend leveraging GPT-5.5 for production API usage, but feel free to use this model to test the latest improvements for chat use cases. The underlying model snapshot will be regularly updated. Read more here .</x:v>
      </x:c>
      <x:c r="P297" s="63" t="str">
        <x:v>推出：chat-latest snapshot which points to latest Instant 模型 currently used in ChatGPT。OpenAI 將此列為 2026-05-28 的更新；重點涉及平台功能與可用性，模型、端點與參數名稱依官方英文保留。</x:v>
      </x:c>
      <x:c r="Q297" s="60" t="n">
        <x:v>5</x:v>
      </x:c>
      <x:c r="R297" s="60" t="str">
        <x:v>landmark</x:v>
      </x:c>
      <x:c r="S297" s="60" t="n">
        <x:v>3473</x:v>
      </x:c>
      <x:c r="T297" s="60" t="n">
        <x:v>323</x:v>
      </x:c>
      <x:c r="U297" s="52" t="str">
        <x:v>OpenAI API Changelog</x:v>
      </x:c>
      <x:c r="V297" s="52" t="str">
        <x:v>https://developers.openai.com/api/docs/changelog</x:v>
      </x:c>
      <x:c r="W297" s="52" t="str">
        <x:v>official_changelog</x:v>
      </x:c>
      <x:c r="X297" s="52" t="str">
        <x:v>corroborated</x:v>
      </x:c>
      <x:c r="Y297" s="52" t="str">
        <x:v>high</x:v>
      </x:c>
      <x:c r="Z297" s="52" t="str">
        <x:v>models_reasoning | model_release | Model Platform | api | models | update</x:v>
      </x:c>
      <x:c r="AA297" s="52" t="n">
        <x:v>2</x:v>
      </x:c>
      <x:c r="AB297" s="53" t="b">
        <x:v>1</x:v>
      </x:c>
    </x:row>
    <x:row r="298" ht="42" customHeight="1">
      <x:c r="A298" s="57" t="n">
        <x:v>46170</x:v>
      </x:c>
      <x:c r="B298" s="52" t="str">
        <x:v>evt-20260528-canvas-removed-from-gpt-5-5-instant-and-thinking</x:v>
      </x:c>
      <x:c r="C298" s="60" t="n">
        <x:v>2026</x:v>
      </x:c>
      <x:c r="D298" s="52" t="str">
        <x:v>Q2</x:v>
      </x:c>
      <x:c r="E298" s="52" t="str">
        <x:v>Unified Intelligence</x:v>
      </x:c>
      <x:c r="F298" s="52" t="str">
        <x:v>models_reasoning</x:v>
      </x:c>
      <x:c r="G298" s="52" t="str">
        <x:v>Model Mountains</x:v>
      </x:c>
      <x:c r="H298" s="52" t="n">
        <x:v>1</x:v>
      </x:c>
      <x:c r="I298" s="52" t="str">
        <x:v>^</x:v>
      </x:c>
      <x:c r="J298" s="52" t="str">
        <x:v>GPT-5.5</x:v>
      </x:c>
      <x:c r="K298" s="52" t="str">
        <x:v>retirement</x:v>
      </x:c>
      <x:c r="L298" s="52" t="str">
        <x:v>retired</x:v>
      </x:c>
      <x:c r="M298" s="63" t="str">
        <x:v>Canvas removed from GPT-5.5 Instant and Thinking</x:v>
      </x:c>
      <x:c r="N298" s="63" t="str">
        <x:v>Canvas 自 GPT-5.5 Instant 與 Thinking 中移除</x:v>
      </x:c>
      <x:c r="O298" s="63" t="str">
        <x:v>Canvas stopped being available in GPT-5.5 Instant and GPT-5.5 Thinking as writing and coding blocks moved those workflows into chat; paid users retained temporary legacy-model access.</x:v>
      </x:c>
      <x:c r="P298" s="63" t="str">
        <x:v>由於寫作與程式碼區塊將這些工作流程移至聊天中，Canvas 不再支援 GPT-5.5 Instant 與 GPT-5.5 Thinking；付費使用者仍可暫時存取舊版模型。</x:v>
      </x:c>
      <x:c r="Q298" s="60" t="n">
        <x:v>4</x:v>
      </x:c>
      <x:c r="R298" s="60" t="str">
        <x:v>major</x:v>
      </x:c>
      <x:c r="S298" s="60" t="n">
        <x:v>3473</x:v>
      </x:c>
      <x:c r="T298" s="60" t="n">
        <x:v>280</x:v>
      </x:c>
      <x:c r="U298" s="52" t="str">
        <x:v>ChatGPT — Release Notes</x:v>
      </x:c>
      <x:c r="V298" s="52" t="str">
        <x:v>https://help.openai.com/en/articles/6825453-chatgpt-release-notes</x:v>
      </x:c>
      <x:c r="W298" s="52" t="str">
        <x:v>help_center_release_notes</x:v>
      </x:c>
      <x:c r="X298" s="52" t="str">
        <x:v>complete</x:v>
      </x:c>
      <x:c r="Y298" s="52" t="str">
        <x:v>high</x:v>
      </x:c>
      <x:c r="Z298" s="52" t="str">
        <x:v>models_reasoning | retirement | GPT-5.5 | 2026 | gpt-5.5 | models-reasoning</x:v>
      </x:c>
      <x:c r="AA298" s="52" t="n">
        <x:v>1</x:v>
      </x:c>
      <x:c r="AB298" s="53" t="b">
        <x:v>0</x:v>
      </x:c>
    </x:row>
    <x:row r="299" ht="42" customHeight="1">
      <x:c r="A299" s="57" t="n">
        <x:v>46170</x:v>
      </x:c>
      <x:c r="B299" s="52" t="str">
        <x:v>evt-20260528-retiring-openai-o3-and-gpt-4-5</x:v>
      </x:c>
      <x:c r="C299" s="60" t="n">
        <x:v>2026</x:v>
      </x:c>
      <x:c r="D299" s="52" t="str">
        <x:v>Q2</x:v>
      </x:c>
      <x:c r="E299" s="52" t="str">
        <x:v>Unified Intelligence</x:v>
      </x:c>
      <x:c r="F299" s="52" t="str">
        <x:v>models_reasoning</x:v>
      </x:c>
      <x:c r="G299" s="52" t="str">
        <x:v>Model Mountains</x:v>
      </x:c>
      <x:c r="H299" s="52" t="n">
        <x:v>1</x:v>
      </x:c>
      <x:c r="I299" s="52" t="str">
        <x:v>^</x:v>
      </x:c>
      <x:c r="J299" s="52" t="str">
        <x:v>GPT-4.5</x:v>
      </x:c>
      <x:c r="K299" s="52" t="str">
        <x:v>deprecation</x:v>
      </x:c>
      <x:c r="L299" s="52" t="str">
        <x:v>deprecated</x:v>
      </x:c>
      <x:c r="M299" s="63" t="str">
        <x:v>Retiring OpenAI o3 and GPT-4.5</x:v>
      </x:c>
      <x:c r="N299" s="63" t="str">
        <x:v>退役 OpenAI o3 與 GPT-4.5</x:v>
      </x:c>
      <x:c r="O299" s="63" t="str">
        <x:v>Today, we’re continuing to retire older models with limited usage in ChatGPT so we can better serve our newer, most capable models. OpenAI o3 will be retired from ChatGPT on August 26, 2026 following a 90-day sunset period, and GPT-4.5 will be retired from ChatGPT on June 26, 2026 following a 30-day sunset period. These models are currently available to paid users only via model settings. These changes apply to ChatGPT only; there ar…</x:v>
      </x:c>
      <x:c r="P299" s="63" t="str">
        <x:v>今日，我們持續退役 ChatGPT 中使用率較低的舊模型，以便更完善地服務較新且能力最強的模型。OpenAI o3 將在 90 天停止服務期後，於 2026 年 8 月 26 日自 ChatGPT 退役；GPT-4.5 則將在 30 天停止服務期後，於 2026 年 6 月 26 日自 ChatGPT 退役。</x:v>
      </x:c>
      <x:c r="Q299" s="60" t="n">
        <x:v>4</x:v>
      </x:c>
      <x:c r="R299" s="60" t="str">
        <x:v>major</x:v>
      </x:c>
      <x:c r="S299" s="60" t="n">
        <x:v>3473</x:v>
      </x:c>
      <x:c r="T299" s="60" t="n">
        <x:v>327</x:v>
      </x:c>
      <x:c r="U299" s="52" t="str">
        <x:v>ChatGPT — Release Notes</x:v>
      </x:c>
      <x:c r="V299" s="52" t="str">
        <x:v>https://help.openai.com/en/articles/6825453-chatgpt-release-notes</x:v>
      </x:c>
      <x:c r="W299" s="52" t="str">
        <x:v>help_center_release_notes</x:v>
      </x:c>
      <x:c r="X299" s="52" t="str">
        <x:v>corroborated</x:v>
      </x:c>
      <x:c r="Y299" s="52" t="str">
        <x:v>high</x:v>
      </x:c>
      <x:c r="Z299" s="52" t="str">
        <x:v>models_reasoning | deprecation | GPT-4.5 | 2026 | gpt-4.5 | models-reasoning</x:v>
      </x:c>
      <x:c r="AA299" s="52" t="n">
        <x:v>2</x:v>
      </x:c>
      <x:c r="AB299" s="53" t="b">
        <x:v>1</x:v>
      </x:c>
    </x:row>
    <x:row r="300" ht="42" customHeight="1">
      <x:c r="A300" s="57" t="n">
        <x:v>46171</x:v>
      </x:c>
      <x:c r="B300" s="52" t="str">
        <x:v>evt-20260529-usage-profiles-in-codex</x:v>
      </x:c>
      <x:c r="C300" s="60" t="n">
        <x:v>2026</x:v>
      </x:c>
      <x:c r="D300" s="52" t="str">
        <x:v>Q2</x:v>
      </x:c>
      <x:c r="E300" s="52" t="str">
        <x:v>Unified Intelligence</x:v>
      </x:c>
      <x:c r="F300" s="52" t="str">
        <x:v>agents_research</x:v>
      </x:c>
      <x:c r="G300" s="52" t="str">
        <x:v>Agentic Frontier</x:v>
      </x:c>
      <x:c r="H300" s="52" t="n">
        <x:v>2</x:v>
      </x:c>
      <x:c r="I300" s="52" t="str">
        <x:v>&gt;</x:v>
      </x:c>
      <x:c r="J300" s="52" t="str">
        <x:v>Codex</x:v>
      </x:c>
      <x:c r="K300" s="52" t="str">
        <x:v>pricing_quota</x:v>
      </x:c>
      <x:c r="L300" s="52" t="str">
        <x:v>active</x:v>
      </x:c>
      <x:c r="M300" s="63" t="str">
        <x:v>Usage profiles in Codex</x:v>
      </x:c>
      <x:c r="N300" s="63" t="str">
        <x:v>Codex 使用設定檔</x:v>
      </x:c>
      <x:c r="O300" s="63" t="str">
        <x:v>Codex added usage profiles to help users understand and manage how work consumes included plan capacity.</x:v>
      </x:c>
      <x:c r="P300" s="63" t="str">
        <x:v>Codex 新增了使用設定檔，協助使用者了解並管理工作如何消耗包含的方案容量。</x:v>
      </x:c>
      <x:c r="Q300" s="60" t="n">
        <x:v>4</x:v>
      </x:c>
      <x:c r="R300" s="60" t="str">
        <x:v>major</x:v>
      </x:c>
      <x:c r="S300" s="60" t="n">
        <x:v>3475</x:v>
      </x:c>
      <x:c r="T300" s="60" t="n">
        <x:v>481</x:v>
      </x:c>
      <x:c r="U300" s="52" t="str">
        <x:v>ChatGPT — Release Notes</x:v>
      </x:c>
      <x:c r="V300" s="52" t="str">
        <x:v>https://help.openai.com/en/articles/6825453-chatgpt-release-notes</x:v>
      </x:c>
      <x:c r="W300" s="52" t="str">
        <x:v>help_center_release_notes</x:v>
      </x:c>
      <x:c r="X300" s="52" t="str">
        <x:v>complete</x:v>
      </x:c>
      <x:c r="Y300" s="52" t="str">
        <x:v>high</x:v>
      </x:c>
      <x:c r="Z300" s="52" t="str">
        <x:v>agents_research | pricing_quota | Codex | 2026 | agents-research | codex</x:v>
      </x:c>
      <x:c r="AA300" s="52" t="n">
        <x:v>1</x:v>
      </x:c>
      <x:c r="AB300" s="53" t="b">
        <x:v>0</x:v>
      </x:c>
    </x:row>
    <x:row r="301" ht="42" customHeight="1">
      <x:c r="A301" s="57" t="n">
        <x:v>46175</x:v>
      </x:c>
      <x:c r="B301" s="52" t="str">
        <x:v>evt-20260602-build-and-deploy-websites-with-sites</x:v>
      </x:c>
      <x:c r="C301" s="60" t="n">
        <x:v>2026</x:v>
      </x:c>
      <x:c r="D301" s="52" t="str">
        <x:v>Q2</x:v>
      </x:c>
      <x:c r="E301" s="52" t="str">
        <x:v>Unified Intelligence</x:v>
      </x:c>
      <x:c r="F301" s="52" t="str">
        <x:v>agents_research</x:v>
      </x:c>
      <x:c r="G301" s="52" t="str">
        <x:v>Agentic Frontier</x:v>
      </x:c>
      <x:c r="H301" s="52" t="n">
        <x:v>2</x:v>
      </x:c>
      <x:c r="I301" s="52" t="str">
        <x:v>&gt;</x:v>
      </x:c>
      <x:c r="J301" s="52" t="str">
        <x:v>ChatGPT Sites</x:v>
      </x:c>
      <x:c r="K301" s="52" t="str">
        <x:v>launch</x:v>
      </x:c>
      <x:c r="L301" s="52" t="str">
        <x:v>active</x:v>
      </x:c>
      <x:c r="M301" s="63" t="str">
        <x:v>Build and deploy websites with Sites</x:v>
      </x:c>
      <x:c r="N301" s="63" t="str">
        <x:v>建置並部署 websites with Sites</x:v>
      </x:c>
      <x:c r="O301" s="63" t="str">
        <x:v>Sites is now available in preview in the Codex app. Use the Sites plugin to create, save, deploy, and inspect websites, dashboards, internal tools, web apps, and games hosted by OpenAI. Open Sites in the app sidebar to return to your projects and manage hosted environment variables and secrets. ChatGPT Business workspaces include Sites by default. ChatGPT Enterprise admins can enable Sites for the appropriate roles through role-based…</x:v>
      </x:c>
      <x:c r="P301" s="63" t="str">
        <x:v>Codex Changelog 在 2026-06-02 記錄了Codex 編碼代理、代理與工具調用、企業管理控制相關更新；完整版本與修正內容見官方英文摘要。</x:v>
      </x:c>
      <x:c r="Q301" s="60" t="n">
        <x:v>5</x:v>
      </x:c>
      <x:c r="R301" s="60" t="str">
        <x:v>landmark</x:v>
      </x:c>
      <x:c r="S301" s="60" t="n">
        <x:v>3486</x:v>
      </x:c>
      <x:c r="T301" s="60" t="n">
        <x:v>498</x:v>
      </x:c>
      <x:c r="U301" s="52" t="str">
        <x:v>Codex Changelog</x:v>
      </x:c>
      <x:c r="V301" s="52" t="str">
        <x:v>https://developers.openai.com/codex/changelog/</x:v>
      </x:c>
      <x:c r="W301" s="52" t="str">
        <x:v>developer_changelog</x:v>
      </x:c>
      <x:c r="X301" s="52" t="str">
        <x:v>complete</x:v>
      </x:c>
      <x:c r="Y301" s="52" t="str">
        <x:v>high</x:v>
      </x:c>
      <x:c r="Z301" s="52" t="str">
        <x:v>agents_research | launch | ChatGPT Sites | codex | release-notes</x:v>
      </x:c>
      <x:c r="AA301" s="52" t="n">
        <x:v>1</x:v>
      </x:c>
      <x:c r="AB301" s="53" t="b">
        <x:v>0</x:v>
      </x:c>
    </x:row>
    <x:row r="302" ht="42" customHeight="1">
      <x:c r="A302" s="57" t="n">
        <x:v>46175</x:v>
      </x:c>
      <x:c r="B302" s="52" t="str">
        <x:v>evt-20260602-chatgpt-sites-preview-and-role-specific-codex-plugins</x:v>
      </x:c>
      <x:c r="C302" s="60" t="n">
        <x:v>2026</x:v>
      </x:c>
      <x:c r="D302" s="52" t="str">
        <x:v>Q2</x:v>
      </x:c>
      <x:c r="E302" s="52" t="str">
        <x:v>Unified Intelligence</x:v>
      </x:c>
      <x:c r="F302" s="52" t="str">
        <x:v>enterprise_vertical</x:v>
      </x:c>
      <x:c r="G302" s="52" t="str">
        <x:v>Enterprise Citadel</x:v>
      </x:c>
      <x:c r="H302" s="52" t="n">
        <x:v>7</x:v>
      </x:c>
      <x:c r="I302" s="52" t="str">
        <x:v>H</x:v>
      </x:c>
      <x:c r="J302" s="52" t="str">
        <x:v>ChatGPT Sites</x:v>
      </x:c>
      <x:c r="K302" s="52" t="str">
        <x:v>launch</x:v>
      </x:c>
      <x:c r="L302" s="52" t="str">
        <x:v>research_preview</x:v>
      </x:c>
      <x:c r="M302" s="63" t="str">
        <x:v>ChatGPT Sites preview and role-specific Codex plugins</x:v>
      </x:c>
      <x:c r="N302" s="63" t="str">
        <x:v>ChatGPT Sites 預覽與角色型 Codex Plugins</x:v>
      </x:c>
      <x:c r="O302" s="63" t="str">
        <x:v>Enterprise and Edu received a preview of workspace-internal ChatGPT Sites plus role-specific Codex plugins and a wider plugin catalog under workspace controls.</x:v>
      </x:c>
      <x:c r="P302" s="63" t="str">
        <x:v>Enterprise 與 Edu 獲得工作區內部 ChatGPT Sites 預覽、角色型 Codex plugins 與受控的更大 plugin 目錄。</x:v>
      </x:c>
      <x:c r="Q302" s="60" t="n">
        <x:v>5</x:v>
      </x:c>
      <x:c r="R302" s="60" t="str">
        <x:v>landmark</x:v>
      </x:c>
      <x:c r="S302" s="60" t="n">
        <x:v>3486</x:v>
      </x:c>
      <x:c r="T302" s="60" t="n">
        <x:v>1219</x:v>
      </x:c>
      <x:c r="U302" s="52" t="str">
        <x:v>ChatGPT Enterprise &amp; Edu — Release Notes</x:v>
      </x:c>
      <x:c r="V302" s="52" t="str">
        <x:v>https://help.openai.com/en/articles/10128477-chatgpt-enterprise-edu-release-notes</x:v>
      </x:c>
      <x:c r="W302" s="52" t="str">
        <x:v>help_center_release_notes</x:v>
      </x:c>
      <x:c r="X302" s="52" t="str">
        <x:v>parsed</x:v>
      </x:c>
      <x:c r="Y302" s="52" t="str">
        <x:v>high</x:v>
      </x:c>
      <x:c r="Z302" s="52" t="str">
        <x:v>enterprise_vertical | launch | ChatGPT Sites | enterprise | plugins | sites</x:v>
      </x:c>
      <x:c r="AA302" s="52" t="n">
        <x:v>1</x:v>
      </x:c>
      <x:c r="AB302" s="53" t="b">
        <x:v>0</x:v>
      </x:c>
    </x:row>
    <x:row r="303" ht="42" customHeight="1">
      <x:c r="A303" s="57" t="n">
        <x:v>46176</x:v>
      </x:c>
      <x:c r="B303" s="52" t="str">
        <x:v>evt-20260603-agent-builder-deprecation</x:v>
      </x:c>
      <x:c r="C303" s="60" t="n">
        <x:v>2026</x:v>
      </x:c>
      <x:c r="D303" s="52" t="str">
        <x:v>Q2</x:v>
      </x:c>
      <x:c r="E303" s="52" t="str">
        <x:v>Unified Intelligence</x:v>
      </x:c>
      <x:c r="F303" s="52" t="str">
        <x:v>safety_lifecycle</x:v>
      </x:c>
      <x:c r="G303" s="52" t="str">
        <x:v>Safety Wall</x:v>
      </x:c>
      <x:c r="H303" s="52" t="n">
        <x:v>9</x:v>
      </x:c>
      <x:c r="I303" s="52" t="str">
        <x:v>!</x:v>
      </x:c>
      <x:c r="J303" s="52" t="str">
        <x:v>Agent Platform</x:v>
      </x:c>
      <x:c r="K303" s="52" t="str">
        <x:v>deprecation</x:v>
      </x:c>
      <x:c r="L303" s="52" t="str">
        <x:v>deprecated</x:v>
      </x:c>
      <x:c r="M303" s="63" t="str">
        <x:v>Agent Builder deprecation</x:v>
      </x:c>
      <x:c r="N303" s="63" t="str">
        <x:v>Agent Builder 棄用公告</x:v>
      </x:c>
      <x:c r="O303" s="63" t="str">
        <x:v>On June 3, 2026, we notified developers using Agent Builder that the product is being deprecated. ChatKit remains available. See Migrate from Agent Builder to continue with the Agents SDK or ChatGPT Workspace Agents. Schedule/replacements: Date Update; June 3, 2026 Deprecation announced for Agent Builder.; Nov 30, 2026 Agent Builder is scheduled to shut down.</x:v>
      </x:c>
      <x:c r="P303" s="63" t="str">
        <x:v>OpenAI 於 2026-06-03 公告 Agent Builder 的棄用或下線時程，並列出替代方案與遷移方向。</x:v>
      </x:c>
      <x:c r="Q303" s="60" t="n">
        <x:v>4</x:v>
      </x:c>
      <x:c r="R303" s="60" t="str">
        <x:v>major</x:v>
      </x:c>
      <x:c r="S303" s="60" t="n">
        <x:v>3488</x:v>
      </x:c>
      <x:c r="T303" s="60" t="n">
        <x:v>1496</x:v>
      </x:c>
      <x:c r="U303" s="52" t="str">
        <x:v>OpenAI API Deprecations</x:v>
      </x:c>
      <x:c r="V303" s="52" t="str">
        <x:v>https://developers.openai.com/api/docs/deprecations#2026-06-03-agent-builder</x:v>
      </x:c>
      <x:c r="W303" s="52" t="str">
        <x:v>official_deprecation_registry</x:v>
      </x:c>
      <x:c r="X303" s="52" t="str">
        <x:v>complete</x:v>
      </x:c>
      <x:c r="Y303" s="52" t="str">
        <x:v>high</x:v>
      </x:c>
      <x:c r="Z303" s="52" t="str">
        <x:v>safety_lifecycle | deprecation | Agent Platform | agent-platform | api</x:v>
      </x:c>
      <x:c r="AA303" s="52" t="n">
        <x:v>1</x:v>
      </x:c>
      <x:c r="AB303" s="53" t="b">
        <x:v>0</x:v>
      </x:c>
    </x:row>
    <x:row r="304" ht="42" customHeight="1">
      <x:c r="A304" s="57" t="n">
        <x:v>46177</x:v>
      </x:c>
      <x:c r="B304" s="52" t="str">
        <x:v>evt-20260604-lockdown-mode-is-now-available-to-all-logged-in-users</x:v>
      </x:c>
      <x:c r="C304" s="60" t="n">
        <x:v>2026</x:v>
      </x:c>
      <x:c r="D304" s="52" t="str">
        <x:v>Q2</x:v>
      </x:c>
      <x:c r="E304" s="52" t="str">
        <x:v>Unified Intelligence</x:v>
      </x:c>
      <x:c r="F304" s="52" t="str">
        <x:v>safety_lifecycle</x:v>
      </x:c>
      <x:c r="G304" s="52" t="str">
        <x:v>Safety Wall</x:v>
      </x:c>
      <x:c r="H304" s="52" t="n">
        <x:v>9</x:v>
      </x:c>
      <x:c r="I304" s="52" t="str">
        <x:v>!</x:v>
      </x:c>
      <x:c r="J304" s="52" t="str">
        <x:v>Deep Research</x:v>
      </x:c>
      <x:c r="K304" s="52" t="str">
        <x:v>safety</x:v>
      </x:c>
      <x:c r="L304" s="52" t="str">
        <x:v>active</x:v>
      </x:c>
      <x:c r="M304" s="63" t="str">
        <x:v>Lockdown Mode is now available to all logged-in users</x:v>
      </x:c>
      <x:c r="N304" s="63" t="str">
        <x:v>鎖定模式現已開放給所有登入使用者</x:v>
      </x:c>
      <x:c r="O304" s="63" t="str">
        <x:v>Lockdown Mode is now available to all logged-in users across account types and workspaces. It is an optional opt-in advanced security setting that limits access to the web and external services to help reduce the risk of data exfiltration from prompt injection attacks. When Lockdown Mode is on, ChatGPT restricts network-enabled capabilities such as live web browsing, deep research, agent mode, file downloads, and some web-derived ima…</x:v>
      </x:c>
      <x:c r="P304" s="63" t="str">
        <x:v>鎖定模式 (Lockdown Mode) 現已開放給各類帳號與工作空間的所有登入使用者。這是一項可選用的進階安全設定，會限制對網路與外部服務的存取，以降低提示詞注入攻擊導致資料外洩的風險。</x:v>
      </x:c>
      <x:c r="Q304" s="60" t="n">
        <x:v>4</x:v>
      </x:c>
      <x:c r="R304" s="60" t="str">
        <x:v>major</x:v>
      </x:c>
      <x:c r="S304" s="60" t="n">
        <x:v>3491</x:v>
      </x:c>
      <x:c r="T304" s="60" t="n">
        <x:v>1512</x:v>
      </x:c>
      <x:c r="U304" s="52" t="str">
        <x:v>ChatGPT — Release Notes</x:v>
      </x:c>
      <x:c r="V304" s="52" t="str">
        <x:v>https://help.openai.com/en/articles/6825453-chatgpt-release-notes</x:v>
      </x:c>
      <x:c r="W304" s="52" t="str">
        <x:v>help_center_release_notes</x:v>
      </x:c>
      <x:c r="X304" s="52" t="str">
        <x:v>complete</x:v>
      </x:c>
      <x:c r="Y304" s="52" t="str">
        <x:v>high</x:v>
      </x:c>
      <x:c r="Z304" s="52" t="str">
        <x:v>safety_lifecycle | safety | Deep Research | 2026 | chatgpt | safety-lifecycle</x:v>
      </x:c>
      <x:c r="AA304" s="52" t="n">
        <x:v>1</x:v>
      </x:c>
      <x:c r="AB304" s="53" t="b">
        <x:v>0</x:v>
      </x:c>
    </x:row>
    <x:row r="305" ht="42" customHeight="1">
      <x:c r="A305" s="57" t="n">
        <x:v>46177</x:v>
      </x:c>
      <x:c r="B305" s="52" t="str">
        <x:v>evt-20260604-rolling-out-ads-in-the-uk</x:v>
      </x:c>
      <x:c r="C305" s="60" t="n">
        <x:v>2026</x:v>
      </x:c>
      <x:c r="D305" s="52" t="str">
        <x:v>Q2</x:v>
      </x:c>
      <x:c r="E305" s="52" t="str">
        <x:v>Unified Intelligence</x:v>
      </x:c>
      <x:c r="F305" s="52" t="str">
        <x:v>search_commerce</x:v>
      </x:c>
      <x:c r="G305" s="52" t="str">
        <x:v>Commerce Bazaar</x:v>
      </x:c>
      <x:c r="H305" s="52" t="n">
        <x:v>6</x:v>
      </x:c>
      <x:c r="I305" s="52" t="str">
        <x:v>$</x:v>
      </x:c>
      <x:c r="J305" s="52" t="str">
        <x:v>ChatGPT Enterprise &amp; Edu</x:v>
      </x:c>
      <x:c r="K305" s="52" t="str">
        <x:v>availability</x:v>
      </x:c>
      <x:c r="L305" s="52" t="str">
        <x:v>active</x:v>
      </x:c>
      <x:c r="M305" s="63" t="str">
        <x:v>Rolling out ads in the UK</x:v>
      </x:c>
      <x:c r="N305" s="63" t="str">
        <x:v>於英國推出廣告</x:v>
      </x:c>
      <x:c r="O305" s="63" t="str">
        <x:v>We're beginning to roll out ads for users on Free and Go plans in the UK. Plus, Pro, Business, Enterprise, and Education plans will remain ad-free.</x:v>
      </x:c>
      <x:c r="P305" s="63" t="str">
        <x:v>OpenAI 於 2026-06-04 為 ChatGPT Enterprise &amp; Edu 調整方案、額度或計費；此節點依官方發布記錄整理，完整能力、適用方案與限制請見來源。</x:v>
      </x:c>
      <x:c r="Q305" s="60" t="n">
        <x:v>4</x:v>
      </x:c>
      <x:c r="R305" s="60" t="str">
        <x:v>major</x:v>
      </x:c>
      <x:c r="S305" s="60" t="n">
        <x:v>3491</x:v>
      </x:c>
      <x:c r="T305" s="60" t="n">
        <x:v>1078</x:v>
      </x:c>
      <x:c r="U305" s="52" t="str">
        <x:v>ChatGPT — Release Notes</x:v>
      </x:c>
      <x:c r="V305" s="52" t="str">
        <x:v>https://help.openai.com/en/articles/6825453-chatgpt-release-notes</x:v>
      </x:c>
      <x:c r="W305" s="52" t="str">
        <x:v>help_center_release_notes</x:v>
      </x:c>
      <x:c r="X305" s="52" t="str">
        <x:v>complete</x:v>
      </x:c>
      <x:c r="Y305" s="52" t="str">
        <x:v>high</x:v>
      </x:c>
      <x:c r="Z305" s="52" t="str">
        <x:v>search_commerce | availability | ChatGPT Enterprise &amp; Edu | 2026 | chatgpt | search-commerce</x:v>
      </x:c>
      <x:c r="AA305" s="52" t="n">
        <x:v>1</x:v>
      </x:c>
      <x:c r="AB305" s="53" t="b">
        <x:v>0</x:v>
      </x:c>
    </x:row>
    <x:row r="306" ht="42" customHeight="1">
      <x:c r="A306" s="57" t="n">
        <x:v>46184</x:v>
      </x:c>
      <x:c r="B306" s="52" t="str">
        <x:v>evt-20260611-codex-updates</x:v>
      </x:c>
      <x:c r="C306" s="60" t="n">
        <x:v>2026</x:v>
      </x:c>
      <x:c r="D306" s="52" t="str">
        <x:v>Q2</x:v>
      </x:c>
      <x:c r="E306" s="52" t="str">
        <x:v>Unified Intelligence</x:v>
      </x:c>
      <x:c r="F306" s="52" t="str">
        <x:v>agents_research</x:v>
      </x:c>
      <x:c r="G306" s="52" t="str">
        <x:v>Agentic Frontier</x:v>
      </x:c>
      <x:c r="H306" s="52" t="n">
        <x:v>2</x:v>
      </x:c>
      <x:c r="I306" s="52" t="str">
        <x:v>&gt;</x:v>
      </x:c>
      <x:c r="J306" s="52" t="str">
        <x:v>Codex</x:v>
      </x:c>
      <x:c r="K306" s="52" t="str">
        <x:v>launch</x:v>
      </x:c>
      <x:c r="L306" s="52" t="str">
        <x:v>active</x:v>
      </x:c>
      <x:c r="M306" s="63" t="str">
        <x:v>Codex updates</x:v>
      </x:c>
      <x:c r="N306" s="63" t="str">
        <x:v>推出：Codex updates</x:v>
      </x:c>
      <x:c r="O306" s="63" t="str">
        <x:v>We’ve made several Codex updates, including: Eligible Plus and Pro users now have rate-limit reset banking, including one free reset at launch and the ability to send referral invitations form within the Codex app. When an eligible recipient sends their first Codex message, both people receive a banked rate-limit reset. Banked resets are usable for 30 days after they are granted. Learn more in Invite friends and coworkers and review…</x:v>
      </x:c>
      <x:c r="P306" s="63" t="str">
        <x:v>OpenAI 於 2026-06-11 為 Codex 推出新產品或能力；此節點依官方發布記錄整理，完整能力、適用方案與限制請見來源。</x:v>
      </x:c>
      <x:c r="Q306" s="60" t="n">
        <x:v>4</x:v>
      </x:c>
      <x:c r="R306" s="60" t="str">
        <x:v>major</x:v>
      </x:c>
      <x:c r="S306" s="60" t="n">
        <x:v>3509</x:v>
      </x:c>
      <x:c r="T306" s="60" t="n">
        <x:v>442</x:v>
      </x:c>
      <x:c r="U306" s="52" t="str">
        <x:v>ChatGPT — Release Notes</x:v>
      </x:c>
      <x:c r="V306" s="52" t="str">
        <x:v>https://help.openai.com/en/articles/6825453-chatgpt-release-notes</x:v>
      </x:c>
      <x:c r="W306" s="52" t="str">
        <x:v>help_center_release_notes</x:v>
      </x:c>
      <x:c r="X306" s="52" t="str">
        <x:v>parsed</x:v>
      </x:c>
      <x:c r="Y306" s="52" t="str">
        <x:v>high</x:v>
      </x:c>
      <x:c r="Z306" s="52" t="str">
        <x:v>agents_research | launch | Codex</x:v>
      </x:c>
      <x:c r="AA306" s="52" t="n">
        <x:v>1</x:v>
      </x:c>
      <x:c r="AB306" s="53" t="b">
        <x:v>0</x:v>
      </x:c>
    </x:row>
    <x:row r="307" ht="42" customHeight="1">
      <x:c r="A307" s="57" t="n">
        <x:v>46184</x:v>
      </x:c>
      <x:c r="B307" s="52" t="str">
        <x:v>evt-20260611-gpt-5-and-o3-model-deprecations-deprecation</x:v>
      </x:c>
      <x:c r="C307" s="60" t="n">
        <x:v>2026</x:v>
      </x:c>
      <x:c r="D307" s="52" t="str">
        <x:v>Q2</x:v>
      </x:c>
      <x:c r="E307" s="52" t="str">
        <x:v>Unified Intelligence</x:v>
      </x:c>
      <x:c r="F307" s="52" t="str">
        <x:v>safety_lifecycle</x:v>
      </x:c>
      <x:c r="G307" s="52" t="str">
        <x:v>Safety Wall</x:v>
      </x:c>
      <x:c r="H307" s="52" t="n">
        <x:v>9</x:v>
      </x:c>
      <x:c r="I307" s="52" t="str">
        <x:v>!</x:v>
      </x:c>
      <x:c r="J307" s="52" t="str">
        <x:v>Model Platform</x:v>
      </x:c>
      <x:c r="K307" s="52" t="str">
        <x:v>deprecation</x:v>
      </x:c>
      <x:c r="L307" s="52" t="str">
        <x:v>deprecated</x:v>
      </x:c>
      <x:c r="M307" s="63" t="str">
        <x:v>GPT-5 and o3 model deprecations deprecation</x:v>
      </x:c>
      <x:c r="N307" s="63" t="str">
        <x:v>淘汰通知：GPT-5 and o3 model deprecations</x:v>
      </x:c>
      <x:c r="O307" s="63" t="str">
        <x:v>On June 11, 2026, we notified developers using older GPT-5 and o3 model snapshots of their deprecation and removal from the API on December 11, 2026. Schedule/replacements: Dec 11, 2026 gpt-5-2025-08-07 gpt-5.5; Dec 11, 2026 gpt-5-mini-2025-08-07 gpt-5.4-mini; Dec 11, 2026 gpt-5-nano-2025-08-07 gpt-5.4-nano; Dec 11, 2026 gpt-5-pro-2025-10-06 gpt-5.5-pro; Dec 11, 2026 o3-2025-04-16 gpt-5.5; Dec 11, 2026 o3-pro-2025-06-10 gpt-5.5-pro</x:v>
      </x:c>
      <x:c r="P307" s="63" t="str">
        <x:v>OpenAI 於 2026-06-11 公告 GPT-5 and o3 model deprecations 的棄用或下線時程，並列出替代方案與遷移方向。</x:v>
      </x:c>
      <x:c r="Q307" s="60" t="n">
        <x:v>4</x:v>
      </x:c>
      <x:c r="R307" s="60" t="str">
        <x:v>major</x:v>
      </x:c>
      <x:c r="S307" s="60" t="n">
        <x:v>3509</x:v>
      </x:c>
      <x:c r="T307" s="60" t="n">
        <x:v>1518</x:v>
      </x:c>
      <x:c r="U307" s="52" t="str">
        <x:v>OpenAI API Deprecations</x:v>
      </x:c>
      <x:c r="V307" s="52" t="str">
        <x:v>https://developers.openai.com/api/docs/deprecations#2026-06-11-gpt-5-and-o3-model-deprecations</x:v>
      </x:c>
      <x:c r="W307" s="52" t="str">
        <x:v>official_deprecation_registry</x:v>
      </x:c>
      <x:c r="X307" s="52" t="str">
        <x:v>corroborated</x:v>
      </x:c>
      <x:c r="Y307" s="52" t="str">
        <x:v>high</x:v>
      </x:c>
      <x:c r="Z307" s="52" t="str">
        <x:v>safety_lifecycle | deprecation | Model Platform | api | model-platform</x:v>
      </x:c>
      <x:c r="AA307" s="52" t="n">
        <x:v>2</x:v>
      </x:c>
      <x:c r="AB307" s="53" t="b">
        <x:v>1</x:v>
      </x:c>
    </x:row>
    <x:row r="308" ht="42" customHeight="1">
      <x:c r="A308" s="57" t="n">
        <x:v>46185</x:v>
      </x:c>
      <x:c r="B308" s="52" t="str">
        <x:v>evt-20260612-retiring-gpt-5-2-models</x:v>
      </x:c>
      <x:c r="C308" s="60" t="n">
        <x:v>2026</x:v>
      </x:c>
      <x:c r="D308" s="52" t="str">
        <x:v>Q2</x:v>
      </x:c>
      <x:c r="E308" s="52" t="str">
        <x:v>Unified Intelligence</x:v>
      </x:c>
      <x:c r="F308" s="52" t="str">
        <x:v>models_reasoning</x:v>
      </x:c>
      <x:c r="G308" s="52" t="str">
        <x:v>Model Mountains</x:v>
      </x:c>
      <x:c r="H308" s="52" t="n">
        <x:v>1</x:v>
      </x:c>
      <x:c r="I308" s="52" t="str">
        <x:v>^</x:v>
      </x:c>
      <x:c r="J308" s="52" t="str">
        <x:v>GPT-5.2</x:v>
      </x:c>
      <x:c r="K308" s="52" t="str">
        <x:v>retirement</x:v>
      </x:c>
      <x:c r="L308" s="52" t="str">
        <x:v>retired</x:v>
      </x:c>
      <x:c r="M308" s="63" t="str">
        <x:v>Retiring GPT-5.2 models</x:v>
      </x:c>
      <x:c r="N308" s="63" t="str">
        <x:v>停用 GPT-5.2 模型</x:v>
      </x:c>
      <x:c r="O308" s="63" t="str">
        <x:v>As of June 12, 2026, GPT-5.2 models are no longer available in ChatGPT. This applies to GPT-5.2 Instant, GPT-5.2 Thinking, and GPT-5.2 Pro. Existing conversations that used GPT-5.2 will automatically continue on the corresponding GPT-5.5 model. GPT-5.5 models remain available in ChatGPT. This retirement was previously announced with the release of GPT-5.3 Instant. Models will generally remain available in ChatGPT for 90 days after a…</x:v>
      </x:c>
      <x:c r="P308" s="63" t="str">
        <x:v>自 2026 年 6 月 12 日起，GPT-5.2 模型不再於 ChatGPT 中提供。這適用於 GPT-5.2 Instant、GPT-5.2 Thinking 以及 GPT-5.2 Pro。使用過 GPT-5.2 的現有對話將自動在對應的 GPT-5.5 模型上繼續。GPT-5.5 模型仍可在 ChatGPT 中使用。</x:v>
      </x:c>
      <x:c r="Q308" s="60" t="n">
        <x:v>4</x:v>
      </x:c>
      <x:c r="R308" s="60" t="str">
        <x:v>major</x:v>
      </x:c>
      <x:c r="S308" s="60" t="n">
        <x:v>3511</x:v>
      </x:c>
      <x:c r="T308" s="60" t="n">
        <x:v>282</x:v>
      </x:c>
      <x:c r="U308" s="52" t="str">
        <x:v>ChatGPT — Release Notes</x:v>
      </x:c>
      <x:c r="V308" s="52" t="str">
        <x:v>https://help.openai.com/en/articles/6825453-chatgpt-release-notes</x:v>
      </x:c>
      <x:c r="W308" s="52" t="str">
        <x:v>help_center_release_notes</x:v>
      </x:c>
      <x:c r="X308" s="52" t="str">
        <x:v>complete</x:v>
      </x:c>
      <x:c r="Y308" s="52" t="str">
        <x:v>high</x:v>
      </x:c>
      <x:c r="Z308" s="52" t="str">
        <x:v>models_reasoning | retirement | GPT-5.2 | 2026 | gpt-5.2 | models-reasoning</x:v>
      </x:c>
      <x:c r="AA308" s="52" t="n">
        <x:v>1</x:v>
      </x:c>
      <x:c r="AB308" s="53" t="b">
        <x:v>0</x:v>
      </x:c>
    </x:row>
    <x:row r="309" ht="42" customHeight="1">
      <x:c r="A309" s="57" t="n">
        <x:v>46195</x:v>
      </x:c>
      <x:c r="B309" s="52" t="str">
        <x:v>evt-20260622-daybreak-and-updated-codex-security</x:v>
      </x:c>
      <x:c r="C309" s="60" t="n">
        <x:v>2026</x:v>
      </x:c>
      <x:c r="D309" s="52" t="str">
        <x:v>Q2</x:v>
      </x:c>
      <x:c r="E309" s="52" t="str">
        <x:v>Unified Intelligence</x:v>
      </x:c>
      <x:c r="F309" s="52" t="str">
        <x:v>safety_lifecycle</x:v>
      </x:c>
      <x:c r="G309" s="52" t="str">
        <x:v>Safety Wall</x:v>
      </x:c>
      <x:c r="H309" s="52" t="n">
        <x:v>9</x:v>
      </x:c>
      <x:c r="I309" s="52" t="str">
        <x:v>!</x:v>
      </x:c>
      <x:c r="J309" s="52" t="str">
        <x:v>Daybreak</x:v>
      </x:c>
      <x:c r="K309" s="52" t="str">
        <x:v>launch</x:v>
      </x:c>
      <x:c r="L309" s="52" t="str">
        <x:v>active</x:v>
      </x:c>
      <x:c r="M309" s="63" t="str">
        <x:v>Daybreak and updated Codex Security</x:v>
      </x:c>
      <x:c r="N309" s="63" t="str">
        <x:v>Daybreak 與 Codex Security 更新</x:v>
      </x:c>
      <x:c r="O309" s="63" t="str">
        <x:v>OpenAI announced Daybreak for defensive security and an updated Codex Security plugin aimed at finding, prioritizing, fixing and validating vulnerabilities end to end.</x:v>
      </x:c>
      <x:c r="P309" s="63" t="str">
        <x:v>OpenAI 推出防禦型資安方案 Daybreak，並更新 Codex Security plugin，以端到端發現、排序、修補與驗證漏洞。</x:v>
      </x:c>
      <x:c r="Q309" s="60" t="n">
        <x:v>5</x:v>
      </x:c>
      <x:c r="R309" s="60" t="str">
        <x:v>landmark</x:v>
      </x:c>
      <x:c r="S309" s="60" t="n">
        <x:v>3537</x:v>
      </x:c>
      <x:c r="T309" s="60" t="n">
        <x:v>1490</x:v>
      </x:c>
      <x:c r="U309" s="52" t="str">
        <x:v>Daybreak: Tools for securing every organization in the world</x:v>
      </x:c>
      <x:c r="V309" s="52" t="str">
        <x:v>https://openai.com/index/daybreak-securing-the-world/</x:v>
      </x:c>
      <x:c r="W309" s="52" t="str">
        <x:v>official_security_post</x:v>
      </x:c>
      <x:c r="X309" s="52" t="str">
        <x:v>parsed</x:v>
      </x:c>
      <x:c r="Y309" s="52" t="str">
        <x:v>high</x:v>
      </x:c>
      <x:c r="Z309" s="52" t="str">
        <x:v>safety_lifecycle | launch | Daybreak | codex-security | cybersecurity | daybreak</x:v>
      </x:c>
      <x:c r="AA309" s="52" t="n">
        <x:v>1</x:v>
      </x:c>
      <x:c r="AB309" s="53" t="b">
        <x:v>0</x:v>
      </x:c>
    </x:row>
    <x:row r="310" ht="42" customHeight="1">
      <x:c r="A310" s="57" t="n">
        <x:v>46197</x:v>
      </x:c>
      <x:c r="B310" s="52" t="str">
        <x:v>evt-20260624-updated-the-chat-latest-snapshot</x:v>
      </x:c>
      <x:c r="C310" s="60" t="n">
        <x:v>2026</x:v>
      </x:c>
      <x:c r="D310" s="52" t="str">
        <x:v>Q2</x:v>
      </x:c>
      <x:c r="E310" s="52" t="str">
        <x:v>Unified Intelligence</x:v>
      </x:c>
      <x:c r="F310" s="52" t="str">
        <x:v>models_reasoning</x:v>
      </x:c>
      <x:c r="G310" s="52" t="str">
        <x:v>Model Mountains</x:v>
      </x:c>
      <x:c r="H310" s="52" t="n">
        <x:v>1</x:v>
      </x:c>
      <x:c r="I310" s="52" t="str">
        <x:v>^</x:v>
      </x:c>
      <x:c r="J310" s="52" t="str">
        <x:v>Model Platform</x:v>
      </x:c>
      <x:c r="K310" s="52" t="str">
        <x:v>platform</x:v>
      </x:c>
      <x:c r="L310" s="52" t="str">
        <x:v>active</x:v>
      </x:c>
      <x:c r="M310" s="63" t="str">
        <x:v>Updated the chat-latest snapshot</x:v>
      </x:c>
      <x:c r="N310" s="63" t="str">
        <x:v>平台更新：Model Platform</x:v>
      </x:c>
      <x:c r="O310" s="63" t="str">
        <x:v>Updated the chat-latest snapshot, which points to the latest Instant model currently used in ChatGPT. We recommend leveraging GPT-5.5 for production API usage, but feel free to use this model to test the latest improvements for chat use cases. The underlying model snapshot will be regularly updated. Read more here .</x:v>
      </x:c>
      <x:c r="P310" s="63" t="str">
        <x:v>更新：chat-latest snapshot, which points to latest Instant 模型 currently used in ChatGPT。OpenAI 將此列為 2026-06-24 的更新；重點涉及平台功能與可用性，模型、端點與參數名稱依官方英文保留。</x:v>
      </x:c>
      <x:c r="Q310" s="60" t="n">
        <x:v>4</x:v>
      </x:c>
      <x:c r="R310" s="60" t="str">
        <x:v>major</x:v>
      </x:c>
      <x:c r="S310" s="60" t="n">
        <x:v>3542</x:v>
      </x:c>
      <x:c r="T310" s="60" t="n">
        <x:v>307</x:v>
      </x:c>
      <x:c r="U310" s="52" t="str">
        <x:v>OpenAI API Changelog</x:v>
      </x:c>
      <x:c r="V310" s="52" t="str">
        <x:v>https://developers.openai.com/api/docs/changelog</x:v>
      </x:c>
      <x:c r="W310" s="52" t="str">
        <x:v>official_changelog</x:v>
      </x:c>
      <x:c r="X310" s="52" t="str">
        <x:v>corroborated</x:v>
      </x:c>
      <x:c r="Y310" s="52" t="str">
        <x:v>high</x:v>
      </x:c>
      <x:c r="Z310" s="52" t="str">
        <x:v>models_reasoning | platform | Model Platform | api | models | update</x:v>
      </x:c>
      <x:c r="AA310" s="52" t="n">
        <x:v>2</x:v>
      </x:c>
      <x:c r="AB310" s="53" t="b">
        <x:v>1</x:v>
      </x:c>
    </x:row>
    <x:row r="311" ht="42" customHeight="1">
      <x:c r="A311" s="57" t="n">
        <x:v>46198</x:v>
      </x:c>
      <x:c r="B311" s="52" t="str">
        <x:v>evt-20260625-codex-remote-is-generally-available</x:v>
      </x:c>
      <x:c r="C311" s="60" t="n">
        <x:v>2026</x:v>
      </x:c>
      <x:c r="D311" s="52" t="str">
        <x:v>Q2</x:v>
      </x:c>
      <x:c r="E311" s="52" t="str">
        <x:v>Unified Intelligence</x:v>
      </x:c>
      <x:c r="F311" s="52" t="str">
        <x:v>agents_research</x:v>
      </x:c>
      <x:c r="G311" s="52" t="str">
        <x:v>Agentic Frontier</x:v>
      </x:c>
      <x:c r="H311" s="52" t="n">
        <x:v>2</x:v>
      </x:c>
      <x:c r="I311" s="52" t="str">
        <x:v>&gt;</x:v>
      </x:c>
      <x:c r="J311" s="52" t="str">
        <x:v>Codex</x:v>
      </x:c>
      <x:c r="K311" s="52" t="str">
        <x:v>availability</x:v>
      </x:c>
      <x:c r="L311" s="52" t="str">
        <x:v>general_availability</x:v>
      </x:c>
      <x:c r="M311" s="63" t="str">
        <x:v>Codex Remote is generally available</x:v>
      </x:c>
      <x:c r="N311" s="63" t="str">
        <x:v>Codex Remote 正式推出</x:v>
      </x:c>
      <x:c r="O311" s="63" t="str">
        <x:v>Codex Remote became generally available on all ChatGPT plans, letting mobile users start or continue work on a paired Mac or Windows host and review progress or approve actions from their phone.</x:v>
      </x:c>
      <x:c r="P311" s="63" t="str">
        <x:v>Codex Remote 已於所有 ChatGPT 方案中正式推出，讓行動版使用者能在已配對的 Mac 或 Windows 主機上開始或繼續工作，並透過手機審閱進度或核准操作。</x:v>
      </x:c>
      <x:c r="Q311" s="60" t="n">
        <x:v>4</x:v>
      </x:c>
      <x:c r="R311" s="60" t="str">
        <x:v>major</x:v>
      </x:c>
      <x:c r="S311" s="60" t="n">
        <x:v>3544</x:v>
      </x:c>
      <x:c r="T311" s="60" t="n">
        <x:v>460</x:v>
      </x:c>
      <x:c r="U311" s="52" t="str">
        <x:v>ChatGPT — Release Notes</x:v>
      </x:c>
      <x:c r="V311" s="52" t="str">
        <x:v>https://help.openai.com/en/articles/6825453-chatgpt-release-notes</x:v>
      </x:c>
      <x:c r="W311" s="52" t="str">
        <x:v>help_center_release_notes</x:v>
      </x:c>
      <x:c r="X311" s="52" t="str">
        <x:v>complete</x:v>
      </x:c>
      <x:c r="Y311" s="52" t="str">
        <x:v>high</x:v>
      </x:c>
      <x:c r="Z311" s="52" t="str">
        <x:v>agents_research | availability | Codex | 2026 | agents-research | codex</x:v>
      </x:c>
      <x:c r="AA311" s="52" t="n">
        <x:v>1</x:v>
      </x:c>
      <x:c r="AB311" s="53" t="b">
        <x:v>0</x:v>
      </x:c>
    </x:row>
    <x:row r="312" ht="42" customHeight="1">
      <x:c r="A312" s="57" t="n">
        <x:v>46198</x:v>
      </x:c>
      <x:c r="B312" s="52" t="str">
        <x:v>evt-20260625-digitalocean-droplet-workspace-plugin-for-codex</x:v>
      </x:c>
      <x:c r="C312" s="60" t="n">
        <x:v>2026</x:v>
      </x:c>
      <x:c r="D312" s="52" t="str">
        <x:v>Q2</x:v>
      </x:c>
      <x:c r="E312" s="52" t="str">
        <x:v>Unified Intelligence</x:v>
      </x:c>
      <x:c r="F312" s="52" t="str">
        <x:v>agents_research</x:v>
      </x:c>
      <x:c r="G312" s="52" t="str">
        <x:v>Agentic Frontier</x:v>
      </x:c>
      <x:c r="H312" s="52" t="n">
        <x:v>2</x:v>
      </x:c>
      <x:c r="I312" s="52" t="str">
        <x:v>&gt;</x:v>
      </x:c>
      <x:c r="J312" s="52" t="str">
        <x:v>Codex</x:v>
      </x:c>
      <x:c r="K312" s="52" t="str">
        <x:v>integration</x:v>
      </x:c>
      <x:c r="L312" s="52" t="str">
        <x:v>active</x:v>
      </x:c>
      <x:c r="M312" s="63" t="str">
        <x:v>DigitalOcean Droplet Workspace plugin for Codex</x:v>
      </x:c>
      <x:c r="N312" s="63" t="str">
        <x:v>Codex 的 DigitalOcean Droplet 工作區外掛程式</x:v>
      </x:c>
      <x:c r="O312" s="63" t="str">
        <x:v>A new DigitalOcean Droplet Workspace plugin lets Codex provision a Droplet, configure SSH access, and connect it to the Codex app as a remote workspace.</x:v>
      </x:c>
      <x:c r="P312" s="63" t="str">
        <x:v>新的 DigitalOcean Droplet 工作區外掛程式可讓 Codex 部署 Droplet、設定 SSH 存取權，並將其連接至 Codex 應用程式作為遠端工作區。</x:v>
      </x:c>
      <x:c r="Q312" s="60" t="n">
        <x:v>4</x:v>
      </x:c>
      <x:c r="R312" s="60" t="str">
        <x:v>major</x:v>
      </x:c>
      <x:c r="S312" s="60" t="n">
        <x:v>3544</x:v>
      </x:c>
      <x:c r="T312" s="60" t="n">
        <x:v>496</x:v>
      </x:c>
      <x:c r="U312" s="52" t="str">
        <x:v>ChatGPT — Release Notes</x:v>
      </x:c>
      <x:c r="V312" s="52" t="str">
        <x:v>https://help.openai.com/en/articles/6825453-chatgpt-release-notes</x:v>
      </x:c>
      <x:c r="W312" s="52" t="str">
        <x:v>help_center_release_notes</x:v>
      </x:c>
      <x:c r="X312" s="52" t="str">
        <x:v>complete</x:v>
      </x:c>
      <x:c r="Y312" s="52" t="str">
        <x:v>high</x:v>
      </x:c>
      <x:c r="Z312" s="52" t="str">
        <x:v>agents_research | integration | Codex | 2026 | agents-research | codex</x:v>
      </x:c>
      <x:c r="AA312" s="52" t="n">
        <x:v>1</x:v>
      </x:c>
      <x:c r="AB312" s="53" t="b">
        <x:v>0</x:v>
      </x:c>
    </x:row>
    <x:row r="313" ht="42" customHeight="1">
      <x:c r="A313" s="57" t="n">
        <x:v>46198</x:v>
      </x:c>
      <x:c r="B313" s="52" t="str">
        <x:v>evt-20260625-codex-remote-reaches-general-availability</x:v>
      </x:c>
      <x:c r="C313" s="60" t="n">
        <x:v>2026</x:v>
      </x:c>
      <x:c r="D313" s="52" t="str">
        <x:v>Q2</x:v>
      </x:c>
      <x:c r="E313" s="52" t="str">
        <x:v>Unified Intelligence</x:v>
      </x:c>
      <x:c r="F313" s="52" t="str">
        <x:v>agents_research</x:v>
      </x:c>
      <x:c r="G313" s="52" t="str">
        <x:v>Agentic Frontier</x:v>
      </x:c>
      <x:c r="H313" s="52" t="n">
        <x:v>2</x:v>
      </x:c>
      <x:c r="I313" s="52" t="str">
        <x:v>&gt;</x:v>
      </x:c>
      <x:c r="J313" s="52" t="str">
        <x:v>Codex</x:v>
      </x:c>
      <x:c r="K313" s="52" t="str">
        <x:v>availability</x:v>
      </x:c>
      <x:c r="L313" s="52" t="str">
        <x:v>general_availability</x:v>
      </x:c>
      <x:c r="M313" s="63" t="str">
        <x:v>Codex Remote reaches general availability</x:v>
      </x:c>
      <x:c r="N313" s="63" t="str">
        <x:v>Codex Remote 正式全面推出</x:v>
      </x:c>
      <x:c r="O313" s="63" t="str">
        <x:v>Codex Remote has reached general availability. Use Codex from the ChatGPT mobile app to start or continue work on a connected Mac or Windows host, review progress, and approve actions from your phone. Remote Control now uses authenticated one-to-one QR pairing between each iOS or Android device and each host. Update the ChatGPT mobile app and Codex App to the latest versions before connecting. Connections used since June 8, 2026, rem…</x:v>
      </x:c>
      <x:c r="P313" s="63" t="str">
        <x:v>OpenAI 於 2026-06-25 為 Codex 擴大開放範圍；此節點依官方發布記錄整理，完整能力、適用方案與限制請見來源。</x:v>
      </x:c>
      <x:c r="Q313" s="60" t="n">
        <x:v>4</x:v>
      </x:c>
      <x:c r="R313" s="60" t="str">
        <x:v>major</x:v>
      </x:c>
      <x:c r="S313" s="60" t="n">
        <x:v>3544</x:v>
      </x:c>
      <x:c r="T313" s="60" t="n">
        <x:v>458</x:v>
      </x:c>
      <x:c r="U313" s="52" t="str">
        <x:v>Codex Changelog</x:v>
      </x:c>
      <x:c r="V313" s="52" t="str">
        <x:v>https://developers.openai.com/codex/changelog/</x:v>
      </x:c>
      <x:c r="W313" s="52" t="str">
        <x:v>developer_changelog</x:v>
      </x:c>
      <x:c r="X313" s="52" t="str">
        <x:v>complete</x:v>
      </x:c>
      <x:c r="Y313" s="52" t="str">
        <x:v>high</x:v>
      </x:c>
      <x:c r="Z313" s="52" t="str">
        <x:v>agents_research | availability | Codex | codex | release-notes</x:v>
      </x:c>
      <x:c r="AA313" s="52" t="n">
        <x:v>1</x:v>
      </x:c>
      <x:c r="AB313" s="53" t="b">
        <x:v>0</x:v>
      </x:c>
    </x:row>
    <x:row r="314" ht="42" customHeight="1">
      <x:c r="A314" s="57" t="n">
        <x:v>46199</x:v>
      </x:c>
      <x:c r="B314" s="52" t="str">
        <x:v>evt-20260626-retiring-gpt-4-5</x:v>
      </x:c>
      <x:c r="C314" s="60" t="n">
        <x:v>2026</x:v>
      </x:c>
      <x:c r="D314" s="52" t="str">
        <x:v>Q2</x:v>
      </x:c>
      <x:c r="E314" s="52" t="str">
        <x:v>Unified Intelligence</x:v>
      </x:c>
      <x:c r="F314" s="52" t="str">
        <x:v>models_reasoning</x:v>
      </x:c>
      <x:c r="G314" s="52" t="str">
        <x:v>Model Mountains</x:v>
      </x:c>
      <x:c r="H314" s="52" t="n">
        <x:v>1</x:v>
      </x:c>
      <x:c r="I314" s="52" t="str">
        <x:v>^</x:v>
      </x:c>
      <x:c r="J314" s="52" t="str">
        <x:v>GPT-4.5</x:v>
      </x:c>
      <x:c r="K314" s="52" t="str">
        <x:v>retirement</x:v>
      </x:c>
      <x:c r="L314" s="52" t="str">
        <x:v>retired</x:v>
      </x:c>
      <x:c r="M314" s="63" t="str">
        <x:v>Retiring GPT-4.5</x:v>
      </x:c>
      <x:c r="N314" s="63" t="str">
        <x:v>停用 GPT-4.5</x:v>
      </x:c>
      <x:c r="O314" s="63" t="str">
        <x:v>As of June 26, 2026, GPT-4.5 is no longer available in ChatGPT, including for custom GPTs. Existing conversations that used GPT-4.5 can continue with GPT-5.5. This retirement was previously announced on May 28, 2026. It applies to ChatGPT only; there are no changes to the API.</x:v>
      </x:c>
      <x:c r="P314" s="63" t="str">
        <x:v>自 2026 年 6 月 26 日起，GPT-4.5 不再於 ChatGPT（包含自訂 GPT）中提供。使用過 GPT-4.5 的現有對話可繼續使用 GPT-5.5 進行。此停用通知先前已於 2026 年 5 月 28 日公佈。此變更僅適用於 ChatGPT，API 不受影響。</x:v>
      </x:c>
      <x:c r="Q314" s="60" t="n">
        <x:v>4</x:v>
      </x:c>
      <x:c r="R314" s="60" t="str">
        <x:v>major</x:v>
      </x:c>
      <x:c r="S314" s="60" t="n">
        <x:v>3547</x:v>
      </x:c>
      <x:c r="T314" s="60" t="n">
        <x:v>338</x:v>
      </x:c>
      <x:c r="U314" s="52" t="str">
        <x:v>ChatGPT — Release Notes</x:v>
      </x:c>
      <x:c r="V314" s="52" t="str">
        <x:v>https://help.openai.com/en/articles/6825453-chatgpt-release-notes</x:v>
      </x:c>
      <x:c r="W314" s="52" t="str">
        <x:v>help_center_release_notes</x:v>
      </x:c>
      <x:c r="X314" s="52" t="str">
        <x:v>complete</x:v>
      </x:c>
      <x:c r="Y314" s="52" t="str">
        <x:v>high</x:v>
      </x:c>
      <x:c r="Z314" s="52" t="str">
        <x:v>models_reasoning | retirement | GPT-4.5 | 2026 | gpt-4.5 | models-reasoning</x:v>
      </x:c>
      <x:c r="AA314" s="52" t="n">
        <x:v>1</x:v>
      </x:c>
      <x:c r="AB314" s="53" t="b">
        <x:v>0</x:v>
      </x:c>
    </x:row>
    <x:row r="315" ht="42" customHeight="1">
      <x:c r="A315" s="57" t="n">
        <x:v>46209</x:v>
      </x:c>
      <x:c r="B315" s="52" t="str">
        <x:v>evt-20260706-gpt-5-5-instant-mini-in-chatgpt</x:v>
      </x:c>
      <x:c r="C315" s="60" t="n">
        <x:v>2026</x:v>
      </x:c>
      <x:c r="D315" s="52" t="str">
        <x:v>Q3</x:v>
      </x:c>
      <x:c r="E315" s="52" t="str">
        <x:v>Unified Intelligence</x:v>
      </x:c>
      <x:c r="F315" s="52" t="str">
        <x:v>models_reasoning</x:v>
      </x:c>
      <x:c r="G315" s="52" t="str">
        <x:v>Model Mountains</x:v>
      </x:c>
      <x:c r="H315" s="52" t="n">
        <x:v>1</x:v>
      </x:c>
      <x:c r="I315" s="52" t="str">
        <x:v>^</x:v>
      </x:c>
      <x:c r="J315" s="52" t="str">
        <x:v>GPT-5.5</x:v>
      </x:c>
      <x:c r="K315" s="52" t="str">
        <x:v>model_release</x:v>
      </x:c>
      <x:c r="L315" s="52" t="str">
        <x:v>active</x:v>
      </x:c>
      <x:c r="M315" s="63" t="str">
        <x:v>GPT-5.5 Instant Mini in ChatGPT</x:v>
      </x:c>
      <x:c r="N315" s="63" t="str">
        <x:v>在 ChatGPT 中推出 GPT-5.5 Instant Mini</x:v>
      </x:c>
      <x:c r="O315" s="63" t="str">
        <x:v>We’re rolling out GPT-5.5 Instant Mini in ChatGPT. It replaces GPT-5.3 Instant Mini as the fallback model users reach after hitting their GPT-5.5 Instant or Auto rate limits. Because it serves as a fallback, it won’t appear in the model picker. This update does not affect the API or Codex. Compared with GPT-5.3 Instant Mini, GPT-5.5 Instant Mini better tracks evolving user intent, calibrates tone, and avoids repetitive or overly stru…</x:v>
      </x:c>
      <x:c r="P315" s="63" t="str">
        <x:v>我們在 ChatGPT 中推出 GPT-5.5 Instant Mini。它取代 GPT-5.3 Instant Mini，成為使用者達到 GPT-5.5 Instant 或 Auto 速率限制後的後備模型。由於它作為後備模型，不會出現在模型選擇器中。此更新不影響 API 或 Codex。</x:v>
      </x:c>
      <x:c r="Q315" s="60" t="n">
        <x:v>5</x:v>
      </x:c>
      <x:c r="R315" s="60" t="str">
        <x:v>landmark</x:v>
      </x:c>
      <x:c r="S315" s="60" t="n">
        <x:v>3572</x:v>
      </x:c>
      <x:c r="T315" s="60" t="n">
        <x:v>322</x:v>
      </x:c>
      <x:c r="U315" s="52" t="str">
        <x:v>ChatGPT — Release Notes</x:v>
      </x:c>
      <x:c r="V315" s="52" t="str">
        <x:v>https://help.openai.com/en/articles/6825453-chatgpt-release-notes</x:v>
      </x:c>
      <x:c r="W315" s="52" t="str">
        <x:v>help_center_release_notes</x:v>
      </x:c>
      <x:c r="X315" s="52" t="str">
        <x:v>complete</x:v>
      </x:c>
      <x:c r="Y315" s="52" t="str">
        <x:v>high</x:v>
      </x:c>
      <x:c r="Z315" s="52" t="str">
        <x:v>models_reasoning | model_release | GPT-5.5 | 2026 | gpt-5.5 | models-reasoning</x:v>
      </x:c>
      <x:c r="AA315" s="52" t="n">
        <x:v>1</x:v>
      </x:c>
      <x:c r="AB315" s="53" t="b">
        <x:v>0</x:v>
      </x:c>
    </x:row>
    <x:row r="316" ht="42" customHeight="1">
      <x:c r="A316" s="57" t="n">
        <x:v>46209</x:v>
      </x:c>
      <x:c r="B316" s="52" t="str">
        <x:v>evt-20260706-released-gpt-realtime-2-1</x:v>
      </x:c>
      <x:c r="C316" s="60" t="n">
        <x:v>2026</x:v>
      </x:c>
      <x:c r="D316" s="52" t="str">
        <x:v>Q3</x:v>
      </x:c>
      <x:c r="E316" s="52" t="str">
        <x:v>Unified Intelligence</x:v>
      </x:c>
      <x:c r="F316" s="52" t="str">
        <x:v>multimodal</x:v>
      </x:c>
      <x:c r="G316" s="52" t="str">
        <x:v>Multimodal Coast</x:v>
      </x:c>
      <x:c r="H316" s="52" t="n">
        <x:v>4</x:v>
      </x:c>
      <x:c r="I316" s="52" t="str">
        <x:v>~</x:v>
      </x:c>
      <x:c r="J316" s="52" t="str">
        <x:v>Realtime &amp; Audio API</x:v>
      </x:c>
      <x:c r="K316" s="52" t="str">
        <x:v>model_release</x:v>
      </x:c>
      <x:c r="L316" s="52" t="str">
        <x:v>active</x:v>
      </x:c>
      <x:c r="M316" s="63" t="str">
        <x:v>Released GPT-Realtime-2.1</x:v>
      </x:c>
      <x:c r="N316" s="63" t="str">
        <x:v>推出 GPT‑Realtime‑2.1 與 GPT‑Realtime‑2.1 mini</x:v>
      </x:c>
      <x:c r="O316" s="63" t="str">
        <x:v>gpt-realtime-2.1-mini Released GPT-Realtime-2.1, an updated realtime reasoning model with improved alphanumeric recognition, silence and noise handling, and interruption behavior. Also released GPT-Realtime-2.1 mini, a faster, lower-cost distilled reasoning model for realtime voice applications.</x:v>
      </x:c>
      <x:c r="P316" s="63" t="str">
        <x:v>推出 GPT‑Realtime‑2.1 與 GPT‑Realtime‑2.1 mini。OpenAI 將此列為 2026-07-06 的功能；重點涉及即時語音與音訊、定價與用量，模型、端點與參數名稱依官方英文保留。</x:v>
      </x:c>
      <x:c r="Q316" s="60" t="n">
        <x:v>5</x:v>
      </x:c>
      <x:c r="R316" s="60" t="str">
        <x:v>landmark</x:v>
      </x:c>
      <x:c r="S316" s="60" t="n">
        <x:v>3572</x:v>
      </x:c>
      <x:c r="T316" s="60" t="n">
        <x:v>751</x:v>
      </x:c>
      <x:c r="U316" s="52" t="str">
        <x:v>OpenAI API Changelog</x:v>
      </x:c>
      <x:c r="V316" s="52" t="str">
        <x:v>https://developers.openai.com/api/docs/changelog</x:v>
      </x:c>
      <x:c r="W316" s="52" t="str">
        <x:v>official_changelog</x:v>
      </x:c>
      <x:c r="X316" s="52" t="str">
        <x:v>corroborated</x:v>
      </x:c>
      <x:c r="Y316" s="52" t="str">
        <x:v>high</x:v>
      </x:c>
      <x:c r="Z316" s="52" t="str">
        <x:v>multimodal | model_release | Realtime &amp; Audio API | audio | feature | realtime</x:v>
      </x:c>
      <x:c r="AA316" s="52" t="n">
        <x:v>2</x:v>
      </x:c>
      <x:c r="AB316" s="53" t="b">
        <x:v>1</x:v>
      </x:c>
    </x:row>
    <x:row r="317" ht="42" customHeight="1">
      <x:c r="A317" s="57" t="n">
        <x:v>46211</x:v>
      </x:c>
      <x:c r="B317" s="52" t="str">
        <x:v>evt-20260708-introducing-gpt-live-1-in-chatgpt-voice</x:v>
      </x:c>
      <x:c r="C317" s="60" t="n">
        <x:v>2026</x:v>
      </x:c>
      <x:c r="D317" s="52" t="str">
        <x:v>Q3</x:v>
      </x:c>
      <x:c r="E317" s="52" t="str">
        <x:v>Unified Intelligence</x:v>
      </x:c>
      <x:c r="F317" s="52" t="str">
        <x:v>multimodal</x:v>
      </x:c>
      <x:c r="G317" s="52" t="str">
        <x:v>Multimodal Coast</x:v>
      </x:c>
      <x:c r="H317" s="52" t="n">
        <x:v>4</x:v>
      </x:c>
      <x:c r="I317" s="52" t="str">
        <x:v>~</x:v>
      </x:c>
      <x:c r="J317" s="52" t="str">
        <x:v>ChatGPT Voice</x:v>
      </x:c>
      <x:c r="K317" s="52" t="str">
        <x:v>model_release</x:v>
      </x:c>
      <x:c r="L317" s="52" t="str">
        <x:v>active</x:v>
      </x:c>
      <x:c r="M317" s="63" t="str">
        <x:v>Introducing GPT-Live-1 in ChatGPT Voice</x:v>
      </x:c>
      <x:c r="N317" s="63" t="str">
        <x:v>在 ChatGPT Voice 中推出 GPT-Live-1</x:v>
      </x:c>
      <x:c r="O317" s="63" t="str">
        <x:v>We’re rolling out a new ChatGPT Voice experience. ChatGPT Voice is now powered by GPT-Live-1 for paid users and GPT-Live-1 mini for Free users. Both models can listen and speak at the same time, making turn-taking and interruptions feel more natural. GPT-Live-1 works inside a ChatGPT chat, with spoken responses appearing alongside streamed text. It can use web search and memory, show visual results through supported widgets, and work…</x:v>
      </x:c>
      <x:c r="P317" s="63" t="str">
        <x:v>我們推出全新的 ChatGPT Voice 體驗。ChatGPT Voice 現由付費使用者的 GPT-Live-1 和免費使用者的 GPT-Live-1 mini 驅動。兩種模型皆能同時聽取與發言，使輪流對話和中斷感覺更自然。GPT-Live-1 在 ChatGPT 對話中運作，語音回應會與串流文字同時出現。</x:v>
      </x:c>
      <x:c r="Q317" s="60" t="n">
        <x:v>5</x:v>
      </x:c>
      <x:c r="R317" s="60" t="str">
        <x:v>landmark</x:v>
      </x:c>
      <x:c r="S317" s="60" t="n">
        <x:v>3577</x:v>
      </x:c>
      <x:c r="T317" s="60" t="n">
        <x:v>764</x:v>
      </x:c>
      <x:c r="U317" s="52" t="str">
        <x:v>ChatGPT — Release Notes</x:v>
      </x:c>
      <x:c r="V317" s="52" t="str">
        <x:v>https://help.openai.com/en/articles/6825453-chatgpt-release-notes</x:v>
      </x:c>
      <x:c r="W317" s="52" t="str">
        <x:v>help_center_release_notes</x:v>
      </x:c>
      <x:c r="X317" s="52" t="str">
        <x:v>complete</x:v>
      </x:c>
      <x:c r="Y317" s="52" t="str">
        <x:v>high</x:v>
      </x:c>
      <x:c r="Z317" s="52" t="str">
        <x:v>multimodal | model_release | ChatGPT Voice | 2026 | chatgpt-voice</x:v>
      </x:c>
      <x:c r="AA317" s="52" t="n">
        <x:v>1</x:v>
      </x:c>
      <x:c r="AB317" s="53" t="b">
        <x:v>0</x:v>
      </x:c>
    </x:row>
    <x:row r="318" ht="42" customHeight="1">
      <x:c r="A318" s="57" t="n">
        <x:v>46212</x:v>
      </x:c>
      <x:c r="B318" s="52" t="str">
        <x:v>evt-20260709-introducing-chatgpt-work</x:v>
      </x:c>
      <x:c r="C318" s="60" t="n">
        <x:v>2026</x:v>
      </x:c>
      <x:c r="D318" s="52" t="str">
        <x:v>Q3</x:v>
      </x:c>
      <x:c r="E318" s="52" t="str">
        <x:v>Unified Intelligence</x:v>
      </x:c>
      <x:c r="F318" s="52" t="str">
        <x:v>agents_research</x:v>
      </x:c>
      <x:c r="G318" s="52" t="str">
        <x:v>Agentic Frontier</x:v>
      </x:c>
      <x:c r="H318" s="52" t="n">
        <x:v>2</x:v>
      </x:c>
      <x:c r="I318" s="52" t="str">
        <x:v>&gt;</x:v>
      </x:c>
      <x:c r="J318" s="52" t="str">
        <x:v>ChatGPT Work</x:v>
      </x:c>
      <x:c r="K318" s="52" t="str">
        <x:v>launch</x:v>
      </x:c>
      <x:c r="L318" s="52" t="str">
        <x:v>active</x:v>
      </x:c>
      <x:c r="M318" s="63" t="str">
        <x:v>Introducing ChatGPT Work</x:v>
      </x:c>
      <x:c r="N318" s="63" t="str">
        <x:v>推出 ChatGPT Work</x:v>
      </x:c>
      <x:c r="O318" s="63" t="str">
        <x:v>ChatGPT Work is an agent for longer, more involved tasks. It can research and analyze information, work across connected apps and files, and create finished documents, spreadsheets, presentations, reports, and Sites. You can follow its progress, answer questions, change direction, and approve important actions as it works. Work can also keep projects moving through Scheduled Tasks that run once, repeat on a schedule or trigger, or mo…</x:v>
      </x:c>
      <x:c r="P318" s="63" t="str">
        <x:v>ChatGPT Work 是一款用於處理較長且複雜任務的代理，能夠進行研究、分析已連結的應用程式與檔案，並建立完成的文件、試算表、簡報、報告和 Sites，同時由使用者主導並批准重要動作。</x:v>
      </x:c>
      <x:c r="Q318" s="60" t="n">
        <x:v>5</x:v>
      </x:c>
      <x:c r="R318" s="60" t="str">
        <x:v>landmark</x:v>
      </x:c>
      <x:c r="S318" s="60" t="n">
        <x:v>3580</x:v>
      </x:c>
      <x:c r="T318" s="60" t="n">
        <x:v>476</x:v>
      </x:c>
      <x:c r="U318" s="52" t="str">
        <x:v>ChatGPT — Release Notes</x:v>
      </x:c>
      <x:c r="V318" s="52" t="str">
        <x:v>https://help.openai.com/en/articles/6825453-chatgpt-release-notes</x:v>
      </x:c>
      <x:c r="W318" s="52" t="str">
        <x:v>help_center_release_notes</x:v>
      </x:c>
      <x:c r="X318" s="52" t="str">
        <x:v>complete</x:v>
      </x:c>
      <x:c r="Y318" s="52" t="str">
        <x:v>high</x:v>
      </x:c>
      <x:c r="Z318" s="52" t="str">
        <x:v>agents_research | launch | ChatGPT Work | 2026 | agents-research | chatgpt-work</x:v>
      </x:c>
      <x:c r="AA318" s="52" t="n">
        <x:v>1</x:v>
      </x:c>
      <x:c r="AB318" s="53" t="b">
        <x:v>0</x:v>
      </x:c>
    </x:row>
    <x:row r="319" ht="42" customHeight="1">
      <x:c r="A319" s="57" t="n">
        <x:v>46212</x:v>
      </x:c>
      <x:c r="B319" s="52" t="str">
        <x:v>evt-20260709-introducing-chatgpt-sites-in-public-beta</x:v>
      </x:c>
      <x:c r="C319" s="60" t="n">
        <x:v>2026</x:v>
      </x:c>
      <x:c r="D319" s="52" t="str">
        <x:v>Q3</x:v>
      </x:c>
      <x:c r="E319" s="52" t="str">
        <x:v>Unified Intelligence</x:v>
      </x:c>
      <x:c r="F319" s="52" t="str">
        <x:v>clients_surfaces</x:v>
      </x:c>
      <x:c r="G319" s="52" t="str">
        <x:v>Client Archipelago</x:v>
      </x:c>
      <x:c r="H319" s="52" t="n">
        <x:v>8</x:v>
      </x:c>
      <x:c r="I319" s="52" t="str">
        <x:v>+</x:v>
      </x:c>
      <x:c r="J319" s="52" t="str">
        <x:v>ChatGPT Sites</x:v>
      </x:c>
      <x:c r="K319" s="52" t="str">
        <x:v>launch</x:v>
      </x:c>
      <x:c r="L319" s="52" t="str">
        <x:v>beta</x:v>
      </x:c>
      <x:c r="M319" s="63" t="str">
        <x:v>Introducing ChatGPT Sites in public beta</x:v>
      </x:c>
      <x:c r="N319" s="63" t="str">
        <x:v>推出 ChatGPT Sites 公開測試版</x:v>
      </x:c>
      <x:c r="O319" s="63" t="str">
        <x:v>ChatGPT Sites lets you turn your work or ideas into an interactive website or lightweight app without leaving ChatGPT. You can create dashboards, project trackers, launch calendars, prototypes, internal portals, and reports, then preview and refine the result with ChatGPT before sharing it. Business and Enterprise customers already have access to Sites. Starting today, they can also publish Sites publicly and share them with anyone t…</x:v>
      </x:c>
      <x:c r="P319" s="63" t="str">
        <x:v>ChatGPT Sites 讓您無需離開 ChatGPT，即可將您的工作或想法轉變為互動式網站或輕量級應用程式。您可以建立儀表板、專案追蹤器、發佈行事曆、原型、內部入口網站和報告，並在分享前與 ChatGPT 一起預覽與優化結果。Business 和 Enterprise 客戶已可使用 Sites。</x:v>
      </x:c>
      <x:c r="Q319" s="60" t="n">
        <x:v>5</x:v>
      </x:c>
      <x:c r="R319" s="60" t="str">
        <x:v>landmark</x:v>
      </x:c>
      <x:c r="S319" s="60" t="n">
        <x:v>3580</x:v>
      </x:c>
      <x:c r="T319" s="60" t="n">
        <x:v>1391</x:v>
      </x:c>
      <x:c r="U319" s="52" t="str">
        <x:v>ChatGPT — Release Notes</x:v>
      </x:c>
      <x:c r="V319" s="52" t="str">
        <x:v>https://help.openai.com/en/articles/6825453-chatgpt-release-notes</x:v>
      </x:c>
      <x:c r="W319" s="52" t="str">
        <x:v>help_center_release_notes</x:v>
      </x:c>
      <x:c r="X319" s="52" t="str">
        <x:v>complete</x:v>
      </x:c>
      <x:c r="Y319" s="52" t="str">
        <x:v>high</x:v>
      </x:c>
      <x:c r="Z319" s="52" t="str">
        <x:v>clients_surfaces | launch | ChatGPT Sites | 2026 | chatgpt-sites | clients-surfaces</x:v>
      </x:c>
      <x:c r="AA319" s="52" t="n">
        <x:v>1</x:v>
      </x:c>
      <x:c r="AB319" s="53" t="b">
        <x:v>0</x:v>
      </x:c>
    </x:row>
    <x:row r="320" ht="42" customHeight="1">
      <x:c r="A320" s="57" t="n">
        <x:v>46212</x:v>
      </x:c>
      <x:c r="B320" s="52" t="str">
        <x:v>evt-20260709-introducing-gpt-5-6-sol-in-chatgpt</x:v>
      </x:c>
      <x:c r="C320" s="60" t="n">
        <x:v>2026</x:v>
      </x:c>
      <x:c r="D320" s="52" t="str">
        <x:v>Q3</x:v>
      </x:c>
      <x:c r="E320" s="52" t="str">
        <x:v>Unified Intelligence</x:v>
      </x:c>
      <x:c r="F320" s="52" t="str">
        <x:v>models_reasoning</x:v>
      </x:c>
      <x:c r="G320" s="52" t="str">
        <x:v>Model Mountains</x:v>
      </x:c>
      <x:c r="H320" s="52" t="n">
        <x:v>1</x:v>
      </x:c>
      <x:c r="I320" s="52" t="str">
        <x:v>^</x:v>
      </x:c>
      <x:c r="J320" s="52" t="str">
        <x:v>GPT-5.6 Sol</x:v>
      </x:c>
      <x:c r="K320" s="52" t="str">
        <x:v>model_release</x:v>
      </x:c>
      <x:c r="L320" s="52" t="str">
        <x:v>active</x:v>
      </x:c>
      <x:c r="M320" s="63" t="str">
        <x:v>Introducing GPT-5.6 Sol in ChatGPT</x:v>
      </x:c>
      <x:c r="N320" s="63" t="str">
        <x:v>在 ChatGPT 中推出 GPT-5.6 Sol</x:v>
      </x:c>
      <x:c r="O320" s="63" t="str">
        <x:v>We’re beginning the rollout of GPT-5.6 Sol in ChatGPT, our flagship reasoning model for complex work across coding, research, science, cybersecurity, computer use, and design. GPT-5.6 Sol is rolling out to eligible paid ChatGPT plans. Free, Go, and logged-out users are not included. Availability may vary during rollout, and managed-workspace access can depend on administrator settings. Availability for other GPT-5.6 family models var…</x:v>
      </x:c>
      <x:c r="P320" s="63" t="str">
        <x:v>OpenAI 開始在 ChatGPT 中推出 GPT-5.6 Sol，作為適用付費方案中用於程式編碼、研究、科學、網路安全、電腦使用和設計等複雜工作的旗艦推理模型。</x:v>
      </x:c>
      <x:c r="Q320" s="60" t="n">
        <x:v>5</x:v>
      </x:c>
      <x:c r="R320" s="60" t="str">
        <x:v>landmark</x:v>
      </x:c>
      <x:c r="S320" s="60" t="n">
        <x:v>3580</x:v>
      </x:c>
      <x:c r="T320" s="60" t="n">
        <x:v>286</x:v>
      </x:c>
      <x:c r="U320" s="52" t="str">
        <x:v>Model Release Notes</x:v>
      </x:c>
      <x:c r="V320" s="52" t="str">
        <x:v>https://help.openai.com/en/articles/9624314-model-release-notes</x:v>
      </x:c>
      <x:c r="W320" s="52" t="str">
        <x:v>help_center_release_notes</x:v>
      </x:c>
      <x:c r="X320" s="52" t="str">
        <x:v>complete</x:v>
      </x:c>
      <x:c r="Y320" s="52" t="str">
        <x:v>high</x:v>
      </x:c>
      <x:c r="Z320" s="52" t="str">
        <x:v>models_reasoning | model_release | GPT-5.6 Sol | 2026 | gpt-5.6 | models-reasoning</x:v>
      </x:c>
      <x:c r="AA320" s="52" t="n">
        <x:v>1</x:v>
      </x:c>
      <x:c r="AB320" s="53" t="b">
        <x:v>0</x:v>
      </x:c>
    </x:row>
    <x:row r="321" ht="42" customHeight="1">
      <x:c r="A321" s="57" t="n">
        <x:v>46212</x:v>
      </x:c>
      <x:c r="B321" s="52" t="str">
        <x:v>evt-20260709-codex-joins-the-chatgpt-desktop-app</x:v>
      </x:c>
      <x:c r="C321" s="60" t="n">
        <x:v>2026</x:v>
      </x:c>
      <x:c r="D321" s="52" t="str">
        <x:v>Q3</x:v>
      </x:c>
      <x:c r="E321" s="52" t="str">
        <x:v>Unified Intelligence</x:v>
      </x:c>
      <x:c r="F321" s="52" t="str">
        <x:v>agents_research</x:v>
      </x:c>
      <x:c r="G321" s="52" t="str">
        <x:v>Agentic Frontier</x:v>
      </x:c>
      <x:c r="H321" s="52" t="n">
        <x:v>2</x:v>
      </x:c>
      <x:c r="I321" s="52" t="str">
        <x:v>&gt;</x:v>
      </x:c>
      <x:c r="J321" s="52" t="str">
        <x:v>Codex</x:v>
      </x:c>
      <x:c r="K321" s="52" t="str">
        <x:v>launch</x:v>
      </x:c>
      <x:c r="L321" s="52" t="str">
        <x:v>active</x:v>
      </x:c>
      <x:c r="M321" s="63" t="str">
        <x:v>Codex joins the ChatGPT desktop app</x:v>
      </x:c>
      <x:c r="N321" s="63" t="str">
        <x:v>Codex 加入 ChatGPT 桌面 App</x:v>
      </x:c>
      <x:c r="O321" s="63" t="str">
        <x:v>Codex is now part of the ChatGPT desktop app on macOS and Windows. Existing Codex app users can update as usual and keep their projects, settings, and workflows. You can make Codex the default view and, on macOS, keep the Codex app icon. New features Edit Markdown and code directly in the app, use inline annotations, and ask Codex to revise selected content. Review GitHub pull requests in the sidebar, with reviewer feedback alongside…</x:v>
      </x:c>
      <x:c r="P321" s="63" t="str">
        <x:v>Codex Changelog 在 2026-07-09 記錄了Codex 編碼代理、圖像與影片、可靠性與效能修正相關更新；完整版本與修正內容見官方英文摘要。</x:v>
      </x:c>
      <x:c r="Q321" s="60" t="n">
        <x:v>5</x:v>
      </x:c>
      <x:c r="R321" s="60" t="str">
        <x:v>landmark</x:v>
      </x:c>
      <x:c r="S321" s="60" t="n">
        <x:v>3580</x:v>
      </x:c>
      <x:c r="T321" s="60" t="n">
        <x:v>483</x:v>
      </x:c>
      <x:c r="U321" s="52" t="str">
        <x:v>Codex Changelog</x:v>
      </x:c>
      <x:c r="V321" s="52" t="str">
        <x:v>https://developers.openai.com/codex/changelog/</x:v>
      </x:c>
      <x:c r="W321" s="52" t="str">
        <x:v>developer_changelog</x:v>
      </x:c>
      <x:c r="X321" s="52" t="str">
        <x:v>complete</x:v>
      </x:c>
      <x:c r="Y321" s="52" t="str">
        <x:v>high</x:v>
      </x:c>
      <x:c r="Z321" s="52" t="str">
        <x:v>agents_research | launch | Codex | codex | release-notes</x:v>
      </x:c>
      <x:c r="AA321" s="52" t="n">
        <x:v>1</x:v>
      </x:c>
      <x:c r="AB321" s="53" t="b">
        <x:v>0</x:v>
      </x:c>
    </x:row>
    <x:row r="322" ht="42" customHeight="1">
      <x:c r="A322" s="57" t="n">
        <x:v>46212</x:v>
      </x:c>
      <x:c r="B322" s="52" t="str">
        <x:v>evt-20260709-chatgpt-classic-and-the-new-unified-desktop-app</x:v>
      </x:c>
      <x:c r="C322" s="60" t="n">
        <x:v>2026</x:v>
      </x:c>
      <x:c r="D322" s="52" t="str">
        <x:v>Q3</x:v>
      </x:c>
      <x:c r="E322" s="52" t="str">
        <x:v>Unified Intelligence</x:v>
      </x:c>
      <x:c r="F322" s="52" t="str">
        <x:v>clients_surfaces</x:v>
      </x:c>
      <x:c r="G322" s="52" t="str">
        <x:v>Client Archipelago</x:v>
      </x:c>
      <x:c r="H322" s="52" t="n">
        <x:v>8</x:v>
      </x:c>
      <x:c r="I322" s="52" t="str">
        <x:v>+</x:v>
      </x:c>
      <x:c r="J322" s="52" t="str">
        <x:v>ChatGPT Desktop</x:v>
      </x:c>
      <x:c r="K322" s="52" t="str">
        <x:v>launch</x:v>
      </x:c>
      <x:c r="L322" s="52" t="str">
        <x:v>active</x:v>
      </x:c>
      <x:c r="M322" s="63" t="str">
        <x:v>ChatGPT Classic and the new unified desktop app</x:v>
      </x:c>
      <x:c r="N322" s="63" t="str">
        <x:v>ChatGPT Classic 與新版整合桌面 App</x:v>
      </x:c>
      <x:c r="O322" s="63" t="str">
        <x:v>The previous macOS client was renamed ChatGPT Classic as OpenAI launched a new macOS and Windows desktop app combining Chat, ChatGPT Work, and Codex.</x:v>
      </x:c>
      <x:c r="P322" s="63" t="str">
        <x:v>舊 macOS 客戶端更名為 ChatGPT Classic；新版 macOS/Windows App 整合 Chat、ChatGPT Work 與 Codex。</x:v>
      </x:c>
      <x:c r="Q322" s="60" t="n">
        <x:v>5</x:v>
      </x:c>
      <x:c r="R322" s="60" t="str">
        <x:v>landmark</x:v>
      </x:c>
      <x:c r="S322" s="60" t="n">
        <x:v>3580</x:v>
      </x:c>
      <x:c r="T322" s="60" t="n">
        <x:v>1383</x:v>
      </x:c>
      <x:c r="U322" s="52" t="str">
        <x:v>Moving to the new ChatGPT desktop app</x:v>
      </x:c>
      <x:c r="V322" s="52" t="str">
        <x:v>https://help.openai.com/en/articles/20001276/</x:v>
      </x:c>
      <x:c r="W322" s="52" t="str">
        <x:v>official_help_center</x:v>
      </x:c>
      <x:c r="X322" s="52" t="str">
        <x:v>parsed</x:v>
      </x:c>
      <x:c r="Y322" s="52" t="str">
        <x:v>high</x:v>
      </x:c>
      <x:c r="Z322" s="52" t="str">
        <x:v>clients_surfaces | launch | ChatGPT Desktop | codex | desktop | macos | windows</x:v>
      </x:c>
      <x:c r="AA322" s="52" t="n">
        <x:v>1</x:v>
      </x:c>
      <x:c r="AB322" s="53" t="b">
        <x:v>0</x:v>
      </x:c>
    </x:row>
    <x:row r="323" ht="42" customHeight="1">
      <x:c r="A323" s="57" t="n">
        <x:v>46212</x:v>
      </x:c>
      <x:c r="B323" s="52" t="str">
        <x:v>evt-20260709-introducing-the-gpt-5-6-model-family</x:v>
      </x:c>
      <x:c r="C323" s="60" t="n">
        <x:v>2026</x:v>
      </x:c>
      <x:c r="D323" s="52" t="str">
        <x:v>Q3</x:v>
      </x:c>
      <x:c r="E323" s="52" t="str">
        <x:v>Unified Intelligence</x:v>
      </x:c>
      <x:c r="F323" s="52" t="str">
        <x:v>models_reasoning</x:v>
      </x:c>
      <x:c r="G323" s="52" t="str">
        <x:v>Model Mountains</x:v>
      </x:c>
      <x:c r="H323" s="52" t="n">
        <x:v>1</x:v>
      </x:c>
      <x:c r="I323" s="52" t="str">
        <x:v>^</x:v>
      </x:c>
      <x:c r="J323" s="52" t="str">
        <x:v>GPT-5.6</x:v>
      </x:c>
      <x:c r="K323" s="52" t="str">
        <x:v>model_release</x:v>
      </x:c>
      <x:c r="L323" s="52" t="str">
        <x:v>active</x:v>
      </x:c>
      <x:c r="M323" s="63" t="str">
        <x:v>Introducing the GPT-5.6 model family</x:v>
      </x:c>
      <x:c r="N323" s="63" t="str">
        <x:v>推出 GPT-5.6 模型系列</x:v>
      </x:c>
      <x:c r="O323" s="63" t="str">
        <x:v>Released the GPT-5.6 model family , including GPT-5.6 Sol for frontier capability, GPT-5.6 Terra for a balance of intelligence and cost, and GPT-5.6 Luna for efficient, high-volume workloads. The gpt-5.6 alias routes requests to gpt-5.6-sol . GPT-5.6 adds Programmatic Tool Calling , explicit prompt caching controls , persisted reasoning, max reasoning effort, and Pro mode , and Multi-agent orchestration in beta for the Responses API…</x:v>
      </x:c>
      <x:c r="P323" s="63" t="str">
        <x:v>推出 GPT‑5.6 Sol、Terra 與 Luna 模型家族。OpenAI 將此列為 2026-07-09 的功能；重點涉及代理與工具調用、圖像與影片、定價與用量，模型、端點與參數名稱依官方英文保留。</x:v>
      </x:c>
      <x:c r="Q323" s="60" t="n">
        <x:v>5</x:v>
      </x:c>
      <x:c r="R323" s="60" t="str">
        <x:v>landmark</x:v>
      </x:c>
      <x:c r="S323" s="60" t="n">
        <x:v>3580</x:v>
      </x:c>
      <x:c r="T323" s="60" t="n">
        <x:v>284</x:v>
      </x:c>
      <x:c r="U323" s="52" t="str">
        <x:v>OpenAI product release notes</x:v>
      </x:c>
      <x:c r="V323" s="52" t="str">
        <x:v>https://openai.com/products/release-notes/</x:v>
      </x:c>
      <x:c r="W323" s="52" t="str">
        <x:v>official_release_feed</x:v>
      </x:c>
      <x:c r="X323" s="52" t="str">
        <x:v>corroborated</x:v>
      </x:c>
      <x:c r="Y323" s="52" t="str">
        <x:v>high</x:v>
      </x:c>
      <x:c r="Z323" s="52" t="str">
        <x:v>models_reasoning | model_release | GPT-5.6 | 2026 | gpt-5.6 | models-reasoning</x:v>
      </x:c>
      <x:c r="AA323" s="52" t="n">
        <x:v>2</x:v>
      </x:c>
      <x:c r="AB323" s="53" t="b">
        <x:v>1</x:v>
      </x:c>
    </x:row>
    <x:row r="324" ht="42" customHeight="1">
      <x:c r="A324" s="57" t="n">
        <x:v>46212</x:v>
      </x:c>
      <x:c r="B324" s="52" t="str">
        <x:v>evt-20260709-the-new-chatgpt-desktop-app-brings-chat-work-and-codex-tog</x:v>
      </x:c>
      <x:c r="C324" s="60" t="n">
        <x:v>2026</x:v>
      </x:c>
      <x:c r="D324" s="52" t="str">
        <x:v>Q3</x:v>
      </x:c>
      <x:c r="E324" s="52" t="str">
        <x:v>Unified Intelligence</x:v>
      </x:c>
      <x:c r="F324" s="52" t="str">
        <x:v>clients_surfaces</x:v>
      </x:c>
      <x:c r="G324" s="52" t="str">
        <x:v>Client Archipelago</x:v>
      </x:c>
      <x:c r="H324" s="52" t="n">
        <x:v>8</x:v>
      </x:c>
      <x:c r="I324" s="52" t="str">
        <x:v>+</x:v>
      </x:c>
      <x:c r="J324" s="52" t="str">
        <x:v>ChatGPT desktop app</x:v>
      </x:c>
      <x:c r="K324" s="52" t="str">
        <x:v>platform</x:v>
      </x:c>
      <x:c r="L324" s="52" t="str">
        <x:v>active</x:v>
      </x:c>
      <x:c r="M324" s="63" t="str">
        <x:v>The new ChatGPT desktop app brings Chat, Work, and Codex together</x:v>
      </x:c>
      <x:c r="N324" s="63" t="str">
        <x:v>全新 ChatGPT 桌面應用程式整合 Chat、Work 與 Codex</x:v>
      </x:c>
      <x:c r="O324" s="63" t="str">
        <x:v>The new ChatGPT desktop app is available globally for macOS and Windows. It combines Chat for questions and conversation, Work for research and finished deliverables, and Codex for software development in one app. On desktop, Work can use local files and desktop apps with your permission. The built-in browser lets ChatGPT gather information from websites and work with supported web-based tools and files. Codex also adds inline editin…</x:v>
      </x:c>
      <x:c r="P324" s="63" t="str">
        <x:v>全新 ChatGPT 桌面應用程式已於 macOS 與 Windows 平台全球推出。該應用程式將用於提問與對話的 Chat、用於研究與交付成品的 Work，以及用於軟體開發的 Codex 整合為單一應用程式。在桌面上，經授權後，Work 可使用本機檔案與桌面應用程式……</x:v>
      </x:c>
      <x:c r="Q324" s="60" t="n">
        <x:v>4</x:v>
      </x:c>
      <x:c r="R324" s="60" t="str">
        <x:v>major</x:v>
      </x:c>
      <x:c r="S324" s="60" t="n">
        <x:v>3580</x:v>
      </x:c>
      <x:c r="T324" s="60" t="n">
        <x:v>1373</x:v>
      </x:c>
      <x:c r="U324" s="52" t="str">
        <x:v>ChatGPT — Release Notes</x:v>
      </x:c>
      <x:c r="V324" s="52" t="str">
        <x:v>https://help.openai.com/en/articles/6825453-chatgpt-release-notes</x:v>
      </x:c>
      <x:c r="W324" s="52" t="str">
        <x:v>help_center_release_notes</x:v>
      </x:c>
      <x:c r="X324" s="52" t="str">
        <x:v>complete</x:v>
      </x:c>
      <x:c r="Y324" s="52" t="str">
        <x:v>high</x:v>
      </x:c>
      <x:c r="Z324" s="52" t="str">
        <x:v>clients_surfaces | platform | ChatGPT desktop app | 2026 | chatgpt-desktop-app | clients-surfaces</x:v>
      </x:c>
      <x:c r="AA324" s="52" t="n">
        <x:v>1</x:v>
      </x:c>
      <x:c r="AB324" s="53" t="b">
        <x:v>0</x:v>
      </x:c>
    </x:row>
    <x:row r="325" ht="42" customHeight="1">
      <x:c r="A325" s="57" t="n">
        <x:v>46212</x:v>
      </x:c>
      <x:c r="B325" s="52" t="str">
        <x:v>evt-20260709-retiring-atlas</x:v>
      </x:c>
      <x:c r="C325" s="60" t="n">
        <x:v>2026</x:v>
      </x:c>
      <x:c r="D325" s="52" t="str">
        <x:v>Q3</x:v>
      </x:c>
      <x:c r="E325" s="52" t="str">
        <x:v>Unified Intelligence</x:v>
      </x:c>
      <x:c r="F325" s="52" t="str">
        <x:v>clients_surfaces</x:v>
      </x:c>
      <x:c r="G325" s="52" t="str">
        <x:v>Client Archipelago</x:v>
      </x:c>
      <x:c r="H325" s="52" t="n">
        <x:v>8</x:v>
      </x:c>
      <x:c r="I325" s="52" t="str">
        <x:v>+</x:v>
      </x:c>
      <x:c r="J325" s="52" t="str">
        <x:v>ChatGPT Atlas</x:v>
      </x:c>
      <x:c r="K325" s="52" t="str">
        <x:v>deprecation</x:v>
      </x:c>
      <x:c r="L325" s="52" t="str">
        <x:v>deprecated</x:v>
      </x:c>
      <x:c r="M325" s="63" t="str">
        <x:v>Retiring Atlas</x:v>
      </x:c>
      <x:c r="N325" s="63" t="str">
        <x:v>停用 Atlas</x:v>
      </x:c>
      <x:c r="O325" s="63" t="str">
        <x:v>We’re deprecating Atlas as we bring browser-based agentic capabilities into ChatGPT and Codex. Atlas is scheduled to stop working on August 9, 2026. We want to make this transition as easy as possible. Before then, move any Atlas data you want to keep. Atlas browser data, including bookmarks, open tabs, and browser history, will not transfer automatically. You can export your cookies and passwords to the ChatGPT desktop app and your…</x:v>
      </x:c>
      <x:c r="P325" s="63" t="str">
        <x:v>我們將棄用 Atlas，並將基於瀏覽器的代理能力引入 ChatGPT 和 Codex。Atlas 預定於 2026 年 8 月 9 日停止運作。我們希望使此轉換盡可能順利。在此之前，請移動您希望保留的任何 Atlas 資料。包含書籤、開啟的分頁和瀏覽記錄在內的 Atlas 瀏覽器資料將不會自動傳輸。</x:v>
      </x:c>
      <x:c r="Q325" s="60" t="n">
        <x:v>4</x:v>
      </x:c>
      <x:c r="R325" s="60" t="str">
        <x:v>major</x:v>
      </x:c>
      <x:c r="S325" s="60" t="n">
        <x:v>3580</x:v>
      </x:c>
      <x:c r="T325" s="60" t="n">
        <x:v>1391</x:v>
      </x:c>
      <x:c r="U325" s="52" t="str">
        <x:v>ChatGPT — Release Notes</x:v>
      </x:c>
      <x:c r="V325" s="52" t="str">
        <x:v>https://help.openai.com/en/articles/6825453-chatgpt-release-notes</x:v>
      </x:c>
      <x:c r="W325" s="52" t="str">
        <x:v>help_center_release_notes</x:v>
      </x:c>
      <x:c r="X325" s="52" t="str">
        <x:v>complete</x:v>
      </x:c>
      <x:c r="Y325" s="52" t="str">
        <x:v>high</x:v>
      </x:c>
      <x:c r="Z325" s="52" t="str">
        <x:v>clients_surfaces | deprecation | ChatGPT Atlas | 2026 | chatgpt-atlas | clients-surfaces</x:v>
      </x:c>
      <x:c r="AA325" s="52" t="n">
        <x:v>1</x:v>
      </x:c>
      <x:c r="AB325" s="53" t="b">
        <x:v>0</x:v>
      </x:c>
    </x:row>
    <x:row r="326" ht="42" customHeight="1">
      <x:c r="A326" s="57" t="n">
        <x:v>46212</x:v>
      </x:c>
      <x:c r="B326" s="52" t="str">
        <x:v>evt-20260709-atlas-deprecation-announced</x:v>
      </x:c>
      <x:c r="C326" s="60" t="n">
        <x:v>2026</x:v>
      </x:c>
      <x:c r="D326" s="52" t="str">
        <x:v>Q3</x:v>
      </x:c>
      <x:c r="E326" s="52" t="str">
        <x:v>Unified Intelligence</x:v>
      </x:c>
      <x:c r="F326" s="52" t="str">
        <x:v>safety_lifecycle</x:v>
      </x:c>
      <x:c r="G326" s="52" t="str">
        <x:v>Safety Wall</x:v>
      </x:c>
      <x:c r="H326" s="52" t="n">
        <x:v>9</x:v>
      </x:c>
      <x:c r="I326" s="52" t="str">
        <x:v>!</x:v>
      </x:c>
      <x:c r="J326" s="52" t="str">
        <x:v>ChatGPT Atlas</x:v>
      </x:c>
      <x:c r="K326" s="52" t="str">
        <x:v>deprecation</x:v>
      </x:c>
      <x:c r="L326" s="52" t="str">
        <x:v>deprecated</x:v>
      </x:c>
      <x:c r="M326" s="63" t="str">
        <x:v>Atlas deprecation announced</x:v>
      </x:c>
      <x:c r="N326" s="63" t="str">
        <x:v>Atlas 宣布棄用</x:v>
      </x:c>
      <x:c r="O326" s="63" t="str">
        <x:v>OpenAI announced that Atlas is being deprecated as browser-agent capabilities move into ChatGPT and Codex; Atlas is scheduled to stop working on August 9, 2026.</x:v>
      </x:c>
      <x:c r="P326" s="63" t="str">
        <x:v>OpenAI 宣布棄用 Atlas，將瀏覽器代理能力移入 ChatGPT 與 Codex；Atlas 預計於 2026-08-09 停止運作。</x:v>
      </x:c>
      <x:c r="Q326" s="60" t="n">
        <x:v>4</x:v>
      </x:c>
      <x:c r="R326" s="60" t="str">
        <x:v>major</x:v>
      </x:c>
      <x:c r="S326" s="60" t="n">
        <x:v>3580</x:v>
      </x:c>
      <x:c r="T326" s="60" t="n">
        <x:v>1514</x:v>
      </x:c>
      <x:c r="U326" s="52" t="str">
        <x:v>Evolving Atlas into ChatGPT for browser-based agentic work</x:v>
      </x:c>
      <x:c r="V326" s="52" t="str">
        <x:v>https://help.openai.com/en/articles/20001371-evolving-atlas-into-chatgpt-for-browser-based-agentic-work</x:v>
      </x:c>
      <x:c r="W326" s="52" t="str">
        <x:v>official_help_center</x:v>
      </x:c>
      <x:c r="X326" s="52" t="str">
        <x:v>parsed</x:v>
      </x:c>
      <x:c r="Y326" s="52" t="str">
        <x:v>high</x:v>
      </x:c>
      <x:c r="Z326" s="52" t="str">
        <x:v>safety_lifecycle | deprecation | ChatGPT Atlas | atlas | browser</x:v>
      </x:c>
      <x:c r="AA326" s="52" t="n">
        <x:v>1</x:v>
      </x:c>
      <x:c r="AB326" s="53" t="b">
        <x:v>0</x:v>
      </x:c>
    </x:row>
    <x:row r="327" ht="42" customHeight="1">
      <x:c r="A327" s="58" t="n">
        <x:v>46212</x:v>
      </x:c>
      <x:c r="B327" s="54" t="str">
        <x:v>evt-20260709-plugin-directory-replaces-the-app-directory</x:v>
      </x:c>
      <x:c r="C327" s="61" t="n">
        <x:v>2026</x:v>
      </x:c>
      <x:c r="D327" s="54" t="str">
        <x:v>Q3</x:v>
      </x:c>
      <x:c r="E327" s="54" t="str">
        <x:v>Unified Intelligence</x:v>
      </x:c>
      <x:c r="F327" s="54" t="str">
        <x:v>developer_platform</x:v>
      </x:c>
      <x:c r="G327" s="54" t="str">
        <x:v>Toolsmith Harbor</x:v>
      </x:c>
      <x:c r="H327" s="54" t="n">
        <x:v>3</x:v>
      </x:c>
      <x:c r="I327" s="54" t="str">
        <x:v>#</x:v>
      </x:c>
      <x:c r="J327" s="54" t="str">
        <x:v>Apps &amp; Connectors</x:v>
      </x:c>
      <x:c r="K327" s="54" t="str">
        <x:v>integration</x:v>
      </x:c>
      <x:c r="L327" s="54" t="str">
        <x:v>active</x:v>
      </x:c>
      <x:c r="M327" s="64" t="str">
        <x:v>Plugin Directory replaces the App Directory</x:v>
      </x:c>
      <x:c r="N327" s="64" t="str">
        <x:v>Plugin Directory 取代 App Directory</x:v>
      </x:c>
      <x:c r="O327" s="64" t="str">
        <x:v>OpenAI replaced ChatGPT's App Directory with the Plugin Directory. Existing app connections remain in place, while plugins can package skills, apps, and app templates for ChatGPT Work, Codex, web, and desktop workflows.</x:v>
      </x:c>
      <x:c r="P327" s="64" t="str">
        <x:v>OpenAI 以 Plugin Directory 取代 ChatGPT 的 App Directory。現有的應用程式連結保持不變，而外掛程式可為 ChatGPT Work、Codex、網頁和桌面工作流程封裝技能、應用程式和應用程式模板。</x:v>
      </x:c>
      <x:c r="Q327" s="61" t="n">
        <x:v>4</x:v>
      </x:c>
      <x:c r="R327" s="61" t="str">
        <x:v>major</x:v>
      </x:c>
      <x:c r="S327" s="61" t="n">
        <x:v>3580</x:v>
      </x:c>
      <x:c r="T327" s="61" t="n">
        <x:v>627</x:v>
      </x:c>
      <x:c r="U327" s="54" t="str">
        <x:v>ChatGPT — Release Notes</x:v>
      </x:c>
      <x:c r="V327" s="54" t="str">
        <x:v>https://help.openai.com/en/articles/6825453-chatgpt-release-notes</x:v>
      </x:c>
      <x:c r="W327" s="54" t="str">
        <x:v>help_center_release_notes</x:v>
      </x:c>
      <x:c r="X327" s="54" t="str">
        <x:v>complete</x:v>
      </x:c>
      <x:c r="Y327" s="54" t="str">
        <x:v>high</x:v>
      </x:c>
      <x:c r="Z327" s="54" t="str">
        <x:v>developer_platform | integration | Apps &amp; Connectors | 2026 | apps-connectors | developer-platform</x:v>
      </x:c>
      <x:c r="AA327" s="54" t="n">
        <x:v>1</x:v>
      </x:c>
      <x:c r="AB327" s="55" t="b">
        <x:v>0</x:v>
      </x:c>
    </x:row>
  </x:sheetData>
  <x:pageMargins left="0.7" right="0.7" top="0.75" bottom="0.75" header="0.3" footer="0.3"/>
  <x:tableParts count="1">
    <x:tablePart xmlns:r="http://schemas.openxmlformats.org/officeDocument/2006/relationships" r:id="R68552caa1ee94b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8" hidden="0" customWidth="1"/>
    <x:col min="4" max="4" width="24" hidden="0" customWidth="1"/>
    <x:col min="5" max="5" width="20" hidden="0" customWidth="1"/>
    <x:col min="6" max="6" width="18" hidden="0" customWidth="1"/>
    <x:col min="7" max="7" width="20" hidden="0" customWidth="1"/>
    <x:col min="8" max="8" width="42" hidden="0" customWidth="1"/>
    <x:col min="9" max="9" width="34" hidden="0" customWidth="1"/>
    <x:col min="10" max="10" width="55" hidden="0" customWidth="1"/>
    <x:col min="11" max="11" width="10" hidden="0" customWidth="1"/>
    <x:col min="12" max="12" width="18" hidden="0" customWidth="1"/>
    <x:col min="13" max="13" width="27" hidden="0" customWidth="1"/>
    <x:col min="14" max="14" width="55" hidden="0" customWidth="1"/>
    <x:col min="15" max="15" width="12" hidden="0" customWidth="1"/>
    <x:col min="16" max="16" width="12" hidden="0" customWidth="1"/>
  </x:cols>
  <x:sheetData>
    <x:row r="1" ht="30" customHeight="1">
      <x:c r="A1" s="20" t="str">
        <x:v>date</x:v>
      </x:c>
      <x:c r="B1" s="20" t="str">
        <x:v>event_id</x:v>
      </x:c>
      <x:c r="C1" s="20" t="str">
        <x:v>glyph</x:v>
      </x:c>
      <x:c r="D1" s="20" t="str">
        <x:v>map_region</x:v>
      </x:c>
      <x:c r="E1" s="20" t="str">
        <x:v>product</x:v>
      </x:c>
      <x:c r="F1" s="20" t="str">
        <x:v>event_type</x:v>
      </x:c>
      <x:c r="G1" s="20" t="str">
        <x:v>lifecycle</x:v>
      </x:c>
      <x:c r="H1" s="20" t="str">
        <x:v>title_en</x:v>
      </x:c>
      <x:c r="I1" s="20" t="str">
        <x:v>title_zh</x:v>
      </x:c>
      <x:c r="J1" s="20" t="str">
        <x:v>summary_zh</x:v>
      </x:c>
      <x:c r="K1" s="20" t="str">
        <x:v>importance</x:v>
      </x:c>
      <x:c r="L1" s="20" t="str">
        <x:v>era</x:v>
      </x:c>
      <x:c r="M1" s="20" t="str">
        <x:v>source_name</x:v>
      </x:c>
      <x:c r="N1" s="20" t="str">
        <x:v>source_url</x:v>
      </x:c>
      <x:c r="O1" s="20" t="str">
        <x:v>confidence</x:v>
      </x:c>
      <x:c r="P1" s="20" t="str">
        <x:v>source_count</x:v>
      </x:c>
    </x:row>
    <x:row r="2" ht="42" customHeight="1">
      <x:c r="A2" s="56" t="n">
        <x:v>44895</x:v>
      </x:c>
      <x:c r="B2" s="50" t="str">
        <x:v>evt-20221130-introducing-chatgpt</x:v>
      </x:c>
      <x:c r="C2" s="50" t="str">
        <x:v>@</x:v>
      </x:c>
      <x:c r="D2" s="50" t="str">
        <x:v>Origin Plaza</x:v>
      </x:c>
      <x:c r="E2" s="50" t="str">
        <x:v>ChatGPT</x:v>
      </x:c>
      <x:c r="F2" s="50" t="str">
        <x:v>launch</x:v>
      </x:c>
      <x:c r="G2" s="50" t="str">
        <x:v>research_preview</x:v>
      </x:c>
      <x:c r="H2" s="62" t="str">
        <x:v>Introducing ChatGPT</x:v>
      </x:c>
      <x:c r="I2" s="62" t="str">
        <x:v>ChatGPT 正式誕生</x:v>
      </x:c>
      <x:c r="J2" s="62" t="str">
        <x:v>OpenAI 以免費研究預覽形式推出 ChatGPT；其對話介面能回答追問、承認錯誤、質疑不實前提並拒絕不當要求。</x:v>
      </x:c>
      <x:c r="K2" s="59" t="n">
        <x:v>5</x:v>
      </x:c>
      <x:c r="L2" s="50" t="str">
        <x:v>Research Preview</x:v>
      </x:c>
      <x:c r="M2" s="50" t="str">
        <x:v>Introducing ChatGPT</x:v>
      </x:c>
      <x:c r="N2" s="50" t="str">
        <x:v>https://openai.com/index/chatgpt/</x:v>
      </x:c>
      <x:c r="O2" s="50" t="str">
        <x:v>high</x:v>
      </x:c>
      <x:c r="P2" s="50" t="n">
        <x:v>1</x:v>
      </x:c>
    </x:row>
    <x:row r="3" ht="42" customHeight="1">
      <x:c r="A3" s="57" t="n">
        <x:v>44958</x:v>
      </x:c>
      <x:c r="B3" s="52" t="str">
        <x:v>evt-20230201-introducing-chatgpt-plus</x:v>
      </x:c>
      <x:c r="C3" s="52" t="str">
        <x:v>@</x:v>
      </x:c>
      <x:c r="D3" s="52" t="str">
        <x:v>Origin Plaza</x:v>
      </x:c>
      <x:c r="E3" s="52" t="str">
        <x:v>ChatGPT Plus</x:v>
      </x:c>
      <x:c r="F3" s="52" t="str">
        <x:v>launch</x:v>
      </x:c>
      <x:c r="G3" s="52" t="str">
        <x:v>active</x:v>
      </x:c>
      <x:c r="H3" s="63" t="str">
        <x:v>Introducing ChatGPT Plus</x:v>
      </x:c>
      <x:c r="I3" s="63" t="str">
        <x:v>推出 ChatGPT Plus</x:v>
      </x:c>
      <x:c r="J3" s="63" t="str">
        <x:v>OpenAI 宣布每月 20 美元的 ChatGPT 方案，提供尖峰時段存取、更快回覆與新功能優先使用權。</x:v>
      </x:c>
      <x:c r="K3" s="60" t="n">
        <x:v>5</x:v>
      </x:c>
      <x:c r="L3" s="52" t="str">
        <x:v>Research Preview</x:v>
      </x:c>
      <x:c r="M3" s="52" t="str">
        <x:v>Introducing ChatGPT Plus</x:v>
      </x:c>
      <x:c r="N3" s="52" t="str">
        <x:v>https://openai.com/index/chatgpt-plus/</x:v>
      </x:c>
      <x:c r="O3" s="52" t="str">
        <x:v>high</x:v>
      </x:c>
      <x:c r="P3" s="52" t="n">
        <x:v>1</x:v>
      </x:c>
    </x:row>
    <x:row r="4" ht="42" customHeight="1">
      <x:c r="A4" s="57" t="n">
        <x:v>44999</x:v>
      </x:c>
      <x:c r="B4" s="52" t="str">
        <x:v>evt-20230314-gpt-4-launches-in-chatgpt-plus</x:v>
      </x:c>
      <x:c r="C4" s="52" t="str">
        <x:v>^</x:v>
      </x:c>
      <x:c r="D4" s="52" t="str">
        <x:v>Model Mountains</x:v>
      </x:c>
      <x:c r="E4" s="52" t="str">
        <x:v>GPT-4</x:v>
      </x:c>
      <x:c r="F4" s="52" t="str">
        <x:v>model_release</x:v>
      </x:c>
      <x:c r="G4" s="52" t="str">
        <x:v>active</x:v>
      </x:c>
      <x:c r="H4" s="63" t="str">
        <x:v>GPT-4 launches in ChatGPT Plus</x:v>
      </x:c>
      <x:c r="I4" s="63" t="str">
        <x:v>GPT-4 登陸 ChatGPT Plus</x:v>
      </x:c>
      <x:c r="J4" s="63" t="str">
        <x:v>OpenAI 發布具更強推理與指令遵循能力的大型多模態模型 GPT-4，並向 ChatGPT Plus 訂閱者開放。</x:v>
      </x:c>
      <x:c r="K4" s="60" t="n">
        <x:v>5</x:v>
      </x:c>
      <x:c r="L4" s="52" t="str">
        <x:v>Platform Expansion</x:v>
      </x:c>
      <x:c r="M4" s="52" t="str">
        <x:v>GPT-4</x:v>
      </x:c>
      <x:c r="N4" s="52" t="str">
        <x:v>https://openai.com/index/gpt-4-research/</x:v>
      </x:c>
      <x:c r="O4" s="52" t="str">
        <x:v>high</x:v>
      </x:c>
      <x:c r="P4" s="52" t="n">
        <x:v>2</x:v>
      </x:c>
    </x:row>
    <x:row r="5" ht="42" customHeight="1">
      <x:c r="A5" s="57" t="n">
        <x:v>45166</x:v>
      </x:c>
      <x:c r="B5" s="52" t="str">
        <x:v>evt-20230828-introducing-chatgpt-enterprise</x:v>
      </x:c>
      <x:c r="C5" s="52" t="str">
        <x:v>H</x:v>
      </x:c>
      <x:c r="D5" s="52" t="str">
        <x:v>Enterprise Citadel</x:v>
      </x:c>
      <x:c r="E5" s="52" t="str">
        <x:v>ChatGPT Enterprise</x:v>
      </x:c>
      <x:c r="F5" s="52" t="str">
        <x:v>launch</x:v>
      </x:c>
      <x:c r="G5" s="52" t="str">
        <x:v>active</x:v>
      </x:c>
      <x:c r="H5" s="63" t="str">
        <x:v>Introducing ChatGPT Enterprise</x:v>
      </x:c>
      <x:c r="I5" s="63" t="str">
        <x:v>推出 ChatGPT Enterprise</x:v>
      </x:c>
      <x:c r="J5" s="63" t="str">
        <x:v>OpenAI 推出 ChatGPT Enterprise，提供企業級隱私與安全、無上限高速 GPT-4、32K 上下文、進階資料分析與管理控制。</x:v>
      </x:c>
      <x:c r="K5" s="60" t="n">
        <x:v>5</x:v>
      </x:c>
      <x:c r="L5" s="52" t="str">
        <x:v>Platform Expansion</x:v>
      </x:c>
      <x:c r="M5" s="52" t="str">
        <x:v>Introducing ChatGPT Enterprise</x:v>
      </x:c>
      <x:c r="N5" s="52" t="str">
        <x:v>https://openai.com/index/introducing-chatgpt-enterprise/</x:v>
      </x:c>
      <x:c r="O5" s="52" t="str">
        <x:v>high</x:v>
      </x:c>
      <x:c r="P5" s="52" t="n">
        <x:v>1</x:v>
      </x:c>
    </x:row>
    <x:row r="6" ht="42" customHeight="1">
      <x:c r="A6" s="57" t="n">
        <x:v>45236</x:v>
      </x:c>
      <x:c r="B6" s="52" t="str">
        <x:v>evt-20231106-introducing-gpts</x:v>
      </x:c>
      <x:c r="C6" s="52" t="str">
        <x:v>&amp;</x:v>
      </x:c>
      <x:c r="D6" s="52" t="str">
        <x:v>Memory Forest</x:v>
      </x:c>
      <x:c r="E6" s="52" t="str">
        <x:v>ChatGPT</x:v>
      </x:c>
      <x:c r="F6" s="52" t="str">
        <x:v>launch</x:v>
      </x:c>
      <x:c r="G6" s="52" t="str">
        <x:v>active</x:v>
      </x:c>
      <x:c r="H6" s="63" t="str">
        <x:v>Introducing GPTs</x:v>
      </x:c>
      <x:c r="I6" s="63" t="str">
        <x:v>推出GPTs</x:v>
      </x:c>
      <x:c r="J6" s="63" t="str">
        <x:v>OpenAI 於 2023-11-06 為 ChatGPT 推出新產品或能力；此節點依官方發布記錄整理，完整能力、適用方案與限制請見來源。</x:v>
      </x:c>
      <x:c r="K6" s="60" t="n">
        <x:v>5</x:v>
      </x:c>
      <x:c r="L6" s="52" t="str">
        <x:v>Platform Expansion</x:v>
      </x:c>
      <x:c r="M6" s="52" t="str">
        <x:v>ChatGPT — Release Notes</x:v>
      </x:c>
      <x:c r="N6" s="52" t="str">
        <x:v>https://help.openai.com/en/articles/6825453-chatgpt-release-notes</x:v>
      </x:c>
      <x:c r="O6" s="52" t="str">
        <x:v>high</x:v>
      </x:c>
      <x:c r="P6" s="52" t="n">
        <x:v>1</x:v>
      </x:c>
    </x:row>
    <x:row r="7" ht="42" customHeight="1">
      <x:c r="A7" s="57" t="n">
        <x:v>45236</x:v>
      </x:c>
      <x:c r="B7" s="52" t="str">
        <x:v>evt-20231106-gpt-4-turbo-preview</x:v>
      </x:c>
      <x:c r="C7" s="52" t="str">
        <x:v>^</x:v>
      </x:c>
      <x:c r="D7" s="52" t="str">
        <x:v>Model Mountains</x:v>
      </x:c>
      <x:c r="E7" s="52" t="str">
        <x:v>GPT-4 Turbo</x:v>
      </x:c>
      <x:c r="F7" s="52" t="str">
        <x:v>model_release</x:v>
      </x:c>
      <x:c r="G7" s="52" t="str">
        <x:v>research_preview</x:v>
      </x:c>
      <x:c r="H7" s="63" t="str">
        <x:v>GPT-4 Turbo preview</x:v>
      </x:c>
      <x:c r="I7" s="63" t="str">
        <x:v>GPT-4 Turbo 預覽</x:v>
      </x:c>
      <x:c r="J7" s="63" t="str">
        <x:v>OpenAI 推出 GPT-4 Turbo 預覽，知識更新至 2023 年 4 月，具 128K 上下文、更強能力與更低 API 價格。</x:v>
      </x:c>
      <x:c r="K7" s="60" t="n">
        <x:v>5</x:v>
      </x:c>
      <x:c r="L7" s="52" t="str">
        <x:v>Platform Expansion</x:v>
      </x:c>
      <x:c r="M7" s="52" t="str">
        <x:v>New models and developer products announced at DevDay</x:v>
      </x:c>
      <x:c r="N7" s="52" t="str">
        <x:v>https://openai.com/index/new-models-and-developer-products-announced-at-devday/</x:v>
      </x:c>
      <x:c r="O7" s="52" t="str">
        <x:v>high</x:v>
      </x:c>
      <x:c r="P7" s="52" t="n">
        <x:v>1</x:v>
      </x:c>
    </x:row>
    <x:row r="8" ht="42" customHeight="1">
      <x:c r="A8" s="57" t="n">
        <x:v>45301</x:v>
      </x:c>
      <x:c r="B8" s="52" t="str">
        <x:v>evt-20240110-introducing-chatgpt-team</x:v>
      </x:c>
      <x:c r="C8" s="52" t="str">
        <x:v>H</x:v>
      </x:c>
      <x:c r="D8" s="52" t="str">
        <x:v>Enterprise Citadel</x:v>
      </x:c>
      <x:c r="E8" s="52" t="str">
        <x:v>ChatGPT Team</x:v>
      </x:c>
      <x:c r="F8" s="52" t="str">
        <x:v>launch</x:v>
      </x:c>
      <x:c r="G8" s="52" t="str">
        <x:v>active</x:v>
      </x:c>
      <x:c r="H8" s="63" t="str">
        <x:v>Introducing ChatGPT Team</x:v>
      </x:c>
      <x:c r="I8" s="63" t="str">
        <x:v>推出 ChatGPT Team</x:v>
      </x:c>
      <x:c r="J8" s="63" t="str">
        <x:v>OpenAI 推出自助式 ChatGPT Team，提供協作工作區、管理工具、更高模型額度，且預設不以商業資料訓練。</x:v>
      </x:c>
      <x:c r="K8" s="60" t="n">
        <x:v>5</x:v>
      </x:c>
      <x:c r="L8" s="52" t="str">
        <x:v>Platform Expansion</x:v>
      </x:c>
      <x:c r="M8" s="52" t="str">
        <x:v>Introducing ChatGPT Team</x:v>
      </x:c>
      <x:c r="N8" s="52" t="str">
        <x:v>https://openai.com/index/introducing-chatgpt-team/</x:v>
      </x:c>
      <x:c r="O8" s="52" t="str">
        <x:v>high</x:v>
      </x:c>
      <x:c r="P8" s="52" t="n">
        <x:v>1</x:v>
      </x:c>
    </x:row>
    <x:row r="9" ht="42" customHeight="1">
      <x:c r="A9" s="57" t="n">
        <x:v>45337</x:v>
      </x:c>
      <x:c r="B9" s="52" t="str">
        <x:v>evt-20240215-sora-research-preview</x:v>
      </x:c>
      <x:c r="C9" s="52" t="str">
        <x:v>~</x:v>
      </x:c>
      <x:c r="D9" s="52" t="str">
        <x:v>Multimodal Coast</x:v>
      </x:c>
      <x:c r="E9" s="52" t="str">
        <x:v>Sora</x:v>
      </x:c>
      <x:c r="F9" s="52" t="str">
        <x:v>model_release</x:v>
      </x:c>
      <x:c r="G9" s="52" t="str">
        <x:v>research_preview</x:v>
      </x:c>
      <x:c r="H9" s="63" t="str">
        <x:v>Sora research preview</x:v>
      </x:c>
      <x:c r="I9" s="63" t="str">
        <x:v>Sora 研究預覽</x:v>
      </x:c>
      <x:c r="J9" s="63" t="str">
        <x:v>OpenAI 公布文字條件式影片生成模型 Sora，可生成最長一分鐘的高擬真影片；當時屬研究進展而非公開產品。</x:v>
      </x:c>
      <x:c r="K9" s="60" t="n">
        <x:v>5</x:v>
      </x:c>
      <x:c r="L9" s="52" t="str">
        <x:v>Platform Expansion</x:v>
      </x:c>
      <x:c r="M9" s="52" t="str">
        <x:v>Video generation models as world simulators</x:v>
      </x:c>
      <x:c r="N9" s="52" t="str">
        <x:v>https://openai.com/index/video-generation-models-as-world-simulators/</x:v>
      </x:c>
      <x:c r="O9" s="52" t="str">
        <x:v>high</x:v>
      </x:c>
      <x:c r="P9" s="52" t="n">
        <x:v>1</x:v>
      </x:c>
    </x:row>
    <x:row r="10" ht="42" customHeight="1">
      <x:c r="A10" s="57" t="n">
        <x:v>45425</x:v>
      </x:c>
      <x:c r="B10" s="52" t="str">
        <x:v>evt-20240513-chatgpt-desktop-app-for-macos</x:v>
      </x:c>
      <x:c r="C10" s="52" t="str">
        <x:v>+</x:v>
      </x:c>
      <x:c r="D10" s="52" t="str">
        <x:v>Client Archipelago</x:v>
      </x:c>
      <x:c r="E10" s="52" t="str">
        <x:v>ChatGPT macOS</x:v>
      </x:c>
      <x:c r="F10" s="52" t="str">
        <x:v>launch</x:v>
      </x:c>
      <x:c r="G10" s="52" t="str">
        <x:v>active</x:v>
      </x:c>
      <x:c r="H10" s="63" t="str">
        <x:v>ChatGPT desktop app for macOS</x:v>
      </x:c>
      <x:c r="I10" s="63" t="str">
        <x:v>ChatGPT macOS 桌面 App</x:v>
      </x:c>
      <x:c r="J10" s="63" t="str">
        <x:v>OpenAI 開始向 Plus 使用者推出 macOS 桌面 App，支援 Option-Space 快速喚起、截圖討論與語音對話，之後再擴大開放。</x:v>
      </x:c>
      <x:c r="K10" s="60" t="n">
        <x:v>5</x:v>
      </x:c>
      <x:c r="L10" s="52" t="str">
        <x:v>Omni &amp; Reasoning</x:v>
      </x:c>
      <x:c r="M10" s="52" t="str">
        <x:v>Hello GPT-4o</x:v>
      </x:c>
      <x:c r="N10" s="52" t="str">
        <x:v>https://openai.com/index/hello-gpt-4o/</x:v>
      </x:c>
      <x:c r="O10" s="52" t="str">
        <x:v>high</x:v>
      </x:c>
      <x:c r="P10" s="52" t="n">
        <x:v>2</x:v>
      </x:c>
    </x:row>
    <x:row r="11" ht="42" customHeight="1">
      <x:c r="A11" s="57" t="n">
        <x:v>45425</x:v>
      </x:c>
      <x:c r="B11" s="52" t="str">
        <x:v>evt-20240513-hello-gpt-4o</x:v>
      </x:c>
      <x:c r="C11" s="52" t="str">
        <x:v>^</x:v>
      </x:c>
      <x:c r="D11" s="52" t="str">
        <x:v>Model Mountains</x:v>
      </x:c>
      <x:c r="E11" s="52" t="str">
        <x:v>GPT-4o</x:v>
      </x:c>
      <x:c r="F11" s="52" t="str">
        <x:v>model_release</x:v>
      </x:c>
      <x:c r="G11" s="52" t="str">
        <x:v>active</x:v>
      </x:c>
      <x:c r="H11" s="63" t="str">
        <x:v>Hello GPT-4o</x:v>
      </x:c>
      <x:c r="I11" s="63" t="str">
        <x:v>GPT-4o 正式亮相</x:v>
      </x:c>
      <x:c r="J11" s="63" t="str">
        <x:v>OpenAI 發布可即時跨音訊、視覺與文字推理的全模態旗艦模型 GPT-4o，首波開放文字與圖像輸入、文字輸出。</x:v>
      </x:c>
      <x:c r="K11" s="60" t="n">
        <x:v>5</x:v>
      </x:c>
      <x:c r="L11" s="52" t="str">
        <x:v>Omni &amp; Reasoning</x:v>
      </x:c>
      <x:c r="M11" s="52" t="str">
        <x:v>Hello GPT-4o</x:v>
      </x:c>
      <x:c r="N11" s="52" t="str">
        <x:v>https://openai.com/index/hello-gpt-4o/</x:v>
      </x:c>
      <x:c r="O11" s="52" t="str">
        <x:v>high</x:v>
      </x:c>
      <x:c r="P11" s="52" t="n">
        <x:v>1</x:v>
      </x:c>
    </x:row>
    <x:row r="12" ht="42" customHeight="1">
      <x:c r="A12" s="57" t="n">
        <x:v>45442</x:v>
      </x:c>
      <x:c r="B12" s="52" t="str">
        <x:v>evt-20240530-introducing-chatgpt-edu</x:v>
      </x:c>
      <x:c r="C12" s="52" t="str">
        <x:v>H</x:v>
      </x:c>
      <x:c r="D12" s="52" t="str">
        <x:v>Enterprise Citadel</x:v>
      </x:c>
      <x:c r="E12" s="52" t="str">
        <x:v>ChatGPT Edu</x:v>
      </x:c>
      <x:c r="F12" s="52" t="str">
        <x:v>launch</x:v>
      </x:c>
      <x:c r="G12" s="52" t="str">
        <x:v>active</x:v>
      </x:c>
      <x:c r="H12" s="63" t="str">
        <x:v>Introducing ChatGPT Edu</x:v>
      </x:c>
      <x:c r="I12" s="63" t="str">
        <x:v>推出 ChatGPT Edu</x:v>
      </x:c>
      <x:c r="J12" s="63" t="str">
        <x:v>OpenAI 為大學推出 ChatGPT Edu，包含 GPT‑4o、進階工具、自訂 GPT 分享、企業安全、SSO、SCIM 與管理控制。</x:v>
      </x:c>
      <x:c r="K12" s="60" t="n">
        <x:v>5</x:v>
      </x:c>
      <x:c r="L12" s="52" t="str">
        <x:v>Omni &amp; Reasoning</x:v>
      </x:c>
      <x:c r="M12" s="52" t="str">
        <x:v>Introducing ChatGPT Edu</x:v>
      </x:c>
      <x:c r="N12" s="52" t="str">
        <x:v>https://openai.com/index/introducing-chatgpt-edu/</x:v>
      </x:c>
      <x:c r="O12" s="52" t="str">
        <x:v>high</x:v>
      </x:c>
      <x:c r="P12" s="52" t="n">
        <x:v>1</x:v>
      </x:c>
    </x:row>
    <x:row r="13" ht="42" customHeight="1">
      <x:c r="A13" s="57" t="n">
        <x:v>45547</x:v>
      </x:c>
      <x:c r="B13" s="52" t="str">
        <x:v>evt-20240912-introducing-openai-o1-mini</x:v>
      </x:c>
      <x:c r="C13" s="52" t="str">
        <x:v>^</x:v>
      </x:c>
      <x:c r="D13" s="52" t="str">
        <x:v>Model Mountains</x:v>
      </x:c>
      <x:c r="E13" s="52" t="str">
        <x:v>OpenAI o1-mini</x:v>
      </x:c>
      <x:c r="F13" s="52" t="str">
        <x:v>model_release</x:v>
      </x:c>
      <x:c r="G13" s="52" t="str">
        <x:v>research_preview</x:v>
      </x:c>
      <x:c r="H13" s="63" t="str">
        <x:v>Introducing OpenAI o1-mini</x:v>
      </x:c>
      <x:c r="I13" s="63" t="str">
        <x:v>推出 OpenAI o1-mini</x:v>
      </x:c>
      <x:c r="J13" s="63" t="str">
        <x:v>OpenAI 發布速度更快、成本更低且特別聚焦程式工作的推理模型 o1-mini，首波與 o1-preview 一同向 ChatGPT Plus 與 Team 開放。</x:v>
      </x:c>
      <x:c r="K13" s="60" t="n">
        <x:v>5</x:v>
      </x:c>
      <x:c r="L13" s="52" t="str">
        <x:v>Omni &amp; Reasoning</x:v>
      </x:c>
      <x:c r="M13" s="52" t="str">
        <x:v>Introducing OpenAI o1-preview</x:v>
      </x:c>
      <x:c r="N13" s="52" t="str">
        <x:v>https://openai.com/index/introducing-openai-o1-preview/</x:v>
      </x:c>
      <x:c r="O13" s="52" t="str">
        <x:v>high</x:v>
      </x:c>
      <x:c r="P13" s="52" t="n">
        <x:v>1</x:v>
      </x:c>
    </x:row>
    <x:row r="14" ht="42" customHeight="1">
      <x:c r="A14" s="57" t="n">
        <x:v>45582</x:v>
      </x:c>
      <x:c r="B14" s="52" t="str">
        <x:v>evt-20241017-early-chatgpt-windows-app</x:v>
      </x:c>
      <x:c r="C14" s="52" t="str">
        <x:v>+</x:v>
      </x:c>
      <x:c r="D14" s="52" t="str">
        <x:v>Client Archipelago</x:v>
      </x:c>
      <x:c r="E14" s="52" t="str">
        <x:v>ChatGPT Windows</x:v>
      </x:c>
      <x:c r="F14" s="52" t="str">
        <x:v>launch</x:v>
      </x:c>
      <x:c r="G14" s="52" t="str">
        <x:v>research_preview</x:v>
      </x:c>
      <x:c r="H14" s="63" t="str">
        <x:v>Early ChatGPT Windows app</x:v>
      </x:c>
      <x:c r="I14" s="63" t="str">
        <x:v>ChatGPT Windows App 早期版本</x:v>
      </x:c>
      <x:c r="J14" s="63" t="str">
        <x:v>OpenAI 向 Plus、Team、Enterprise 與 Edu 推出 Windows App 搶先版，包含 Alt-Space Companion Window。</x:v>
      </x:c>
      <x:c r="K14" s="60" t="n">
        <x:v>5</x:v>
      </x:c>
      <x:c r="L14" s="52" t="str">
        <x:v>Omni &amp; Reasoning</x:v>
      </x:c>
      <x:c r="M14" s="52" t="str">
        <x:v>Windows App — Release Notes</x:v>
      </x:c>
      <x:c r="N14" s="52" t="str">
        <x:v>https://help.openai.com/en/articles/10003026-windows-app-release-notes</x:v>
      </x:c>
      <x:c r="O14" s="52" t="str">
        <x:v>high</x:v>
      </x:c>
      <x:c r="P14" s="52" t="n">
        <x:v>1</x:v>
      </x:c>
    </x:row>
    <x:row r="15" ht="42" customHeight="1">
      <x:c r="A15" s="57" t="n">
        <x:v>45596</x:v>
      </x:c>
      <x:c r="B15" s="52" t="str">
        <x:v>evt-20241031-introducing-chatgpt-search</x:v>
      </x:c>
      <x:c r="C15" s="52" t="str">
        <x:v>$</x:v>
      </x:c>
      <x:c r="D15" s="52" t="str">
        <x:v>Commerce Bazaar</x:v>
      </x:c>
      <x:c r="E15" s="52" t="str">
        <x:v>ChatGPT Search</x:v>
      </x:c>
      <x:c r="F15" s="52" t="str">
        <x:v>launch</x:v>
      </x:c>
      <x:c r="G15" s="52" t="str">
        <x:v>active</x:v>
      </x:c>
      <x:c r="H15" s="63" t="str">
        <x:v>Introducing ChatGPT search</x:v>
      </x:c>
      <x:c r="I15" s="63" t="str">
        <x:v>推出 ChatGPT Search</x:v>
      </x:c>
      <x:c r="J15" s="63" t="str">
        <x:v>OpenAI 將網路搜尋整合進 ChatGPT，可自動或手動啟動，提供即時答案、來源連結，以及天氣、股票、運動、新聞與地圖的新視覺呈現。</x:v>
      </x:c>
      <x:c r="K15" s="60" t="n">
        <x:v>5</x:v>
      </x:c>
      <x:c r="L15" s="52" t="str">
        <x:v>Omni &amp; Reasoning</x:v>
      </x:c>
      <x:c r="M15" s="52" t="str">
        <x:v>Introducing ChatGPT search</x:v>
      </x:c>
      <x:c r="N15" s="52" t="str">
        <x:v>https://openai.com/index/introducing-chatgpt-search/</x:v>
      </x:c>
      <x:c r="O15" s="52" t="str">
        <x:v>high</x:v>
      </x:c>
      <x:c r="P15" s="52" t="n">
        <x:v>1</x:v>
      </x:c>
    </x:row>
    <x:row r="16" ht="42" customHeight="1">
      <x:c r="A16" s="57" t="n">
        <x:v>45631</x:v>
      </x:c>
      <x:c r="B16" s="52" t="str">
        <x:v>evt-20241205-introducing-chatgpt-pro</x:v>
      </x:c>
      <x:c r="C16" s="52" t="str">
        <x:v>@</x:v>
      </x:c>
      <x:c r="D16" s="52" t="str">
        <x:v>Origin Plaza</x:v>
      </x:c>
      <x:c r="E16" s="52" t="str">
        <x:v>ChatGPT Pro</x:v>
      </x:c>
      <x:c r="F16" s="52" t="str">
        <x:v>launch</x:v>
      </x:c>
      <x:c r="G16" s="52" t="str">
        <x:v>active</x:v>
      </x:c>
      <x:c r="H16" s="63" t="str">
        <x:v>Introducing ChatGPT Pro</x:v>
      </x:c>
      <x:c r="I16" s="63" t="str">
        <x:v>推出 ChatGPT Pro</x:v>
      </x:c>
      <x:c r="J16" s="63" t="str">
        <x:v>OpenAI 推出每月 200 美元的方案，提供 o1、o1-mini、GPT-4o 與 Advanced Voice 無上限使用，以及 o1 pro mode。</x:v>
      </x:c>
      <x:c r="K16" s="60" t="n">
        <x:v>5</x:v>
      </x:c>
      <x:c r="L16" s="52" t="str">
        <x:v>Omni &amp; Reasoning</x:v>
      </x:c>
      <x:c r="M16" s="52" t="str">
        <x:v>Introducing ChatGPT Pro</x:v>
      </x:c>
      <x:c r="N16" s="52" t="str">
        <x:v>https://openai.com/index/introducing-chatgpt-pro/</x:v>
      </x:c>
      <x:c r="O16" s="52" t="str">
        <x:v>high</x:v>
      </x:c>
      <x:c r="P16" s="52" t="n">
        <x:v>1</x:v>
      </x:c>
    </x:row>
    <x:row r="17" ht="42" customHeight="1">
      <x:c r="A17" s="57" t="n">
        <x:v>45635</x:v>
      </x:c>
      <x:c r="B17" s="52" t="str">
        <x:v>evt-20241209-sora-is-here</x:v>
      </x:c>
      <x:c r="C17" s="52" t="str">
        <x:v>~</x:v>
      </x:c>
      <x:c r="D17" s="52" t="str">
        <x:v>Multimodal Coast</x:v>
      </x:c>
      <x:c r="E17" s="52" t="str">
        <x:v>Sora Turbo</x:v>
      </x:c>
      <x:c r="F17" s="52" t="str">
        <x:v>launch</x:v>
      </x:c>
      <x:c r="G17" s="52" t="str">
        <x:v>general_availability</x:v>
      </x:c>
      <x:c r="H17" s="63" t="str">
        <x:v>Sora is here</x:v>
      </x:c>
      <x:c r="I17" s="63" t="str">
        <x:v>Sora 正式上線</x:v>
      </x:c>
      <x:c r="J17" s="63" t="str">
        <x:v>OpenAI 將 Sora 移出研究預覽，向 Plus 與 Pro 推出更快的獨立產品 Sora Turbo，具 Storyboard、Remix、Blend 與最高 1080p、20 秒輸出。</x:v>
      </x:c>
      <x:c r="K17" s="60" t="n">
        <x:v>5</x:v>
      </x:c>
      <x:c r="L17" s="52" t="str">
        <x:v>Omni &amp; Reasoning</x:v>
      </x:c>
      <x:c r="M17" s="52" t="str">
        <x:v>Sora is here</x:v>
      </x:c>
      <x:c r="N17" s="52" t="str">
        <x:v>https://openai.com/index/sora-is-here/</x:v>
      </x:c>
      <x:c r="O17" s="52" t="str">
        <x:v>high</x:v>
      </x:c>
      <x:c r="P17" s="52" t="n">
        <x:v>1</x:v>
      </x:c>
    </x:row>
    <x:row r="18" ht="42" customHeight="1">
      <x:c r="A18" s="57" t="n">
        <x:v>45639</x:v>
      </x:c>
      <x:c r="B18" s="52" t="str">
        <x:v>evt-20241213-projects-in-chatgpt</x:v>
      </x:c>
      <x:c r="C18" s="52" t="str">
        <x:v>&amp;</x:v>
      </x:c>
      <x:c r="D18" s="52" t="str">
        <x:v>Memory Forest</x:v>
      </x:c>
      <x:c r="E18" s="52" t="str">
        <x:v>ChatGPT Projects</x:v>
      </x:c>
      <x:c r="F18" s="52" t="str">
        <x:v>launch</x:v>
      </x:c>
      <x:c r="G18" s="52" t="str">
        <x:v>general_availability</x:v>
      </x:c>
      <x:c r="H18" s="63" t="str">
        <x:v>Projects in ChatGPT</x:v>
      </x:c>
      <x:c r="I18" s="63" t="str">
        <x:v>推出：ChatGPT Projects</x:v>
      </x:c>
      <x:c r="J18" s="63" t="str">
        <x:v>OpenAI 向 Plus、Team 與 Pro 推出 Projects，可將檔案、聊天與自訂指示集中並共享專案上下文，支援 Canvas、資料分析、DALL-E 與 Search。</x:v>
      </x:c>
      <x:c r="K18" s="60" t="n">
        <x:v>5</x:v>
      </x:c>
      <x:c r="L18" s="52" t="str">
        <x:v>Omni &amp; Reasoning</x:v>
      </x:c>
      <x:c r="M18" s="52" t="str">
        <x:v>ChatGPT — Release Notes</x:v>
      </x:c>
      <x:c r="N18" s="52" t="str">
        <x:v>https://help.openai.com/en/articles/6825453-chatgpt-release-notes</x:v>
      </x:c>
      <x:c r="O18" s="52" t="str">
        <x:v>high</x:v>
      </x:c>
      <x:c r="P18" s="52" t="n">
        <x:v>1</x:v>
      </x:c>
    </x:row>
    <x:row r="19" ht="42" customHeight="1">
      <x:c r="A19" s="57" t="n">
        <x:v>45680</x:v>
      </x:c>
      <x:c r="B19" s="52" t="str">
        <x:v>evt-20250123-introducing-operator</x:v>
      </x:c>
      <x:c r="C19" s="52" t="str">
        <x:v>&gt;</x:v>
      </x:c>
      <x:c r="D19" s="52" t="str">
        <x:v>Agentic Frontier</x:v>
      </x:c>
      <x:c r="E19" s="52" t="str">
        <x:v>Operator</x:v>
      </x:c>
      <x:c r="F19" s="52" t="str">
        <x:v>launch</x:v>
      </x:c>
      <x:c r="G19" s="52" t="str">
        <x:v>research_preview</x:v>
      </x:c>
      <x:c r="H19" s="63" t="str">
        <x:v>Introducing Operator</x:v>
      </x:c>
      <x:c r="I19" s="63" t="str">
        <x:v>推出 Operator</x:v>
      </x:c>
      <x:c r="J19" s="63" t="str">
        <x:v>OpenAI 針對 ChatGPT Pro 在美國推出 Operator 研究預覽版。這是一個由「電腦使用代理模型」(Computer-Using Agent model) 驅動的代理，能在使用者控制下，利用自身瀏覽器進行輸入、點擊、捲動及執行網路任務。</x:v>
      </x:c>
      <x:c r="K19" s="60" t="n">
        <x:v>5</x:v>
      </x:c>
      <x:c r="L19" s="52" t="str">
        <x:v>Agentic Shift</x:v>
      </x:c>
      <x:c r="M19" s="52" t="str">
        <x:v>Introducing Operator</x:v>
      </x:c>
      <x:c r="N19" s="52" t="str">
        <x:v>https://openai.com/index/introducing-operator/</x:v>
      </x:c>
      <x:c r="O19" s="52" t="str">
        <x:v>high</x:v>
      </x:c>
      <x:c r="P19" s="52" t="n">
        <x:v>1</x:v>
      </x:c>
    </x:row>
    <x:row r="20" ht="42" customHeight="1">
      <x:c r="A20" s="57" t="n">
        <x:v>45690</x:v>
      </x:c>
      <x:c r="B20" s="52" t="str">
        <x:v>evt-20250202-introducing-deep-research</x:v>
      </x:c>
      <x:c r="C20" s="52" t="str">
        <x:v>&gt;</x:v>
      </x:c>
      <x:c r="D20" s="52" t="str">
        <x:v>Agentic Frontier</x:v>
      </x:c>
      <x:c r="E20" s="52" t="str">
        <x:v>deep research</x:v>
      </x:c>
      <x:c r="F20" s="52" t="str">
        <x:v>launch</x:v>
      </x:c>
      <x:c r="G20" s="52" t="str">
        <x:v>active</x:v>
      </x:c>
      <x:c r="H20" s="63" t="str">
        <x:v>Introducing deep research</x:v>
      </x:c>
      <x:c r="I20" s="63" t="str">
        <x:v>推出 Deep Research</x:v>
      </x:c>
      <x:c r="J20" s="63" t="str">
        <x:v>OpenAI 在 ChatGPT 中推出 Deep Research，用於進行多步驟網路研究，能搜尋、分析並整合多項線上來源，彙整成附註引用的報告；初期先向 Pro 使用者開放。</x:v>
      </x:c>
      <x:c r="K20" s="60" t="n">
        <x:v>5</x:v>
      </x:c>
      <x:c r="L20" s="52" t="str">
        <x:v>Agentic Shift</x:v>
      </x:c>
      <x:c r="M20" s="52" t="str">
        <x:v>Introducing deep research</x:v>
      </x:c>
      <x:c r="N20" s="52" t="str">
        <x:v>https://openai.com/index/introducing-deep-research/</x:v>
      </x:c>
      <x:c r="O20" s="52" t="str">
        <x:v>high</x:v>
      </x:c>
      <x:c r="P20" s="52" t="n">
        <x:v>1</x:v>
      </x:c>
    </x:row>
    <x:row r="21" ht="42" customHeight="1">
      <x:c r="A21" s="57" t="n">
        <x:v>45741</x:v>
      </x:c>
      <x:c r="B21" s="52" t="str">
        <x:v>evt-20250325-introducing-4o-image-generation</x:v>
      </x:c>
      <x:c r="C21" s="52" t="str">
        <x:v>~</x:v>
      </x:c>
      <x:c r="D21" s="52" t="str">
        <x:v>Multimodal Coast</x:v>
      </x:c>
      <x:c r="E21" s="52" t="str">
        <x:v>GPT-4o</x:v>
      </x:c>
      <x:c r="F21" s="52" t="str">
        <x:v>model_release</x:v>
      </x:c>
      <x:c r="G21" s="52" t="str">
        <x:v>active</x:v>
      </x:c>
      <x:c r="H21" s="63" t="str">
        <x:v>Introducing 4o Image Generation</x:v>
      </x:c>
      <x:c r="I21" s="63" t="str">
        <x:v>推出 4o 影像生成功能</x:v>
      </x:c>
      <x:c r="J21" s="63" t="str">
        <x:v>OpenAI 將原生影像生成整合至 GPT-4o，在 ChatGPT 中增加了更強的文字渲染、細緻的指令遵循、上下文影像編輯以及多輪修正功能。</x:v>
      </x:c>
      <x:c r="K21" s="60" t="n">
        <x:v>5</x:v>
      </x:c>
      <x:c r="L21" s="52" t="str">
        <x:v>Agentic Shift</x:v>
      </x:c>
      <x:c r="M21" s="52" t="str">
        <x:v>Introducing 4o Image Generation</x:v>
      </x:c>
      <x:c r="N21" s="52" t="str">
        <x:v>https://openai.com/index/introducing-4o-image-generation/</x:v>
      </x:c>
      <x:c r="O21" s="52" t="str">
        <x:v>high</x:v>
      </x:c>
      <x:c r="P21" s="52" t="n">
        <x:v>1</x:v>
      </x:c>
    </x:row>
    <x:row r="22" ht="42" customHeight="1">
      <x:c r="A22" s="57" t="n">
        <x:v>45791</x:v>
      </x:c>
      <x:c r="B22" s="52" t="str">
        <x:v>evt-20250514-releasing-gpt-4-1-in-chatgpt-for-all-paid-users</x:v>
      </x:c>
      <x:c r="C22" s="52" t="str">
        <x:v>^</x:v>
      </x:c>
      <x:c r="D22" s="52" t="str">
        <x:v>Model Mountains</x:v>
      </x:c>
      <x:c r="E22" s="52" t="str">
        <x:v>GPT-4.1</x:v>
      </x:c>
      <x:c r="F22" s="52" t="str">
        <x:v>model_release</x:v>
      </x:c>
      <x:c r="G22" s="52" t="str">
        <x:v>active</x:v>
      </x:c>
      <x:c r="H22" s="63" t="str">
        <x:v>Releasing GPT-4.1 in ChatGPT for all paid users</x:v>
      </x:c>
      <x:c r="I22" s="63" t="str">
        <x:v>在 ChatGPT 中為所有付費用戶推出 GPT-4.1</x:v>
      </x:c>
      <x:c r="J22" s="63" t="str">
        <x:v>自四月於 API 推出以來，GPT-4.1 深受開發者喜愛，應廣大需求，我們現已將其直接導入 ChatGPT。GPT-4.1 是一款擅長程式編寫任務的專業模型……</x:v>
      </x:c>
      <x:c r="K22" s="60" t="n">
        <x:v>5</x:v>
      </x:c>
      <x:c r="L22" s="52" t="str">
        <x:v>Agentic Shift</x:v>
      </x:c>
      <x:c r="M22" s="52" t="str">
        <x:v>ChatGPT — Release Notes</x:v>
      </x:c>
      <x:c r="N22" s="52" t="str">
        <x:v>https://help.openai.com/en/articles/6825453-chatgpt-release-notes</x:v>
      </x:c>
      <x:c r="O22" s="52" t="str">
        <x:v>high</x:v>
      </x:c>
      <x:c r="P22" s="52" t="n">
        <x:v>2</x:v>
      </x:c>
    </x:row>
    <x:row r="23" ht="42" customHeight="1">
      <x:c r="A23" s="57" t="n">
        <x:v>45791</x:v>
      </x:c>
      <x:c r="B23" s="52" t="str">
        <x:v>evt-20250514-introducing-gpt-4-1-mini-replacing-gpt-4o-mini-in-chatgpt-</x:v>
      </x:c>
      <x:c r="C23" s="52" t="str">
        <x:v>^</x:v>
      </x:c>
      <x:c r="D23" s="52" t="str">
        <x:v>Model Mountains</x:v>
      </x:c>
      <x:c r="E23" s="52" t="str">
        <x:v>GPT-4.1</x:v>
      </x:c>
      <x:c r="F23" s="52" t="str">
        <x:v>model_release</x:v>
      </x:c>
      <x:c r="G23" s="52" t="str">
        <x:v>active</x:v>
      </x:c>
      <x:c r="H23" s="63" t="str">
        <x:v>Introducing GPT-4.1 mini, replacing GPT-4o mini, in ChatGPT for all users</x:v>
      </x:c>
      <x:c r="I23" s="63" t="str">
        <x:v>推出 GPT-4.1 mini，取代 ChatGPT 中所有用戶的 GPT-4o mini</x:v>
      </x:c>
      <x:c r="J23" s="63" t="str">
        <x:v>GPT-4.1 mini 是一款快速、強大且高效的小型模型，相較於 GPT-4o mini 在指令遵循、程式編寫及整體智慧能力上有顯著提升……</x:v>
      </x:c>
      <x:c r="K23" s="60" t="n">
        <x:v>5</x:v>
      </x:c>
      <x:c r="L23" s="52" t="str">
        <x:v>Agentic Shift</x:v>
      </x:c>
      <x:c r="M23" s="52" t="str">
        <x:v>ChatGPT — Release Notes</x:v>
      </x:c>
      <x:c r="N23" s="52" t="str">
        <x:v>https://help.openai.com/en/articles/6825453-chatgpt-release-notes</x:v>
      </x:c>
      <x:c r="O23" s="52" t="str">
        <x:v>high</x:v>
      </x:c>
      <x:c r="P23" s="52" t="n">
        <x:v>2</x:v>
      </x:c>
    </x:row>
    <x:row r="24" ht="42" customHeight="1">
      <x:c r="A24" s="57" t="n">
        <x:v>45793</x:v>
      </x:c>
      <x:c r="B24" s="52" t="str">
        <x:v>evt-20250516-introducing-codex</x:v>
      </x:c>
      <x:c r="C24" s="52" t="str">
        <x:v>&gt;</x:v>
      </x:c>
      <x:c r="D24" s="52" t="str">
        <x:v>Agentic Frontier</x:v>
      </x:c>
      <x:c r="E24" s="52" t="str">
        <x:v>Codex</x:v>
      </x:c>
      <x:c r="F24" s="52" t="str">
        <x:v>launch</x:v>
      </x:c>
      <x:c r="G24" s="52" t="str">
        <x:v>research_preview</x:v>
      </x:c>
      <x:c r="H24" s="63" t="str">
        <x:v>Introducing Codex</x:v>
      </x:c>
      <x:c r="I24" s="63" t="str">
        <x:v>推出 Codex</x:v>
      </x:c>
      <x:c r="J24" s="63" t="str">
        <x:v>OpenAI 推出 Codex 雲端軟體工程代理的研究預覽版；它由 codex-1 驅動，可在隔離的雲端沙盒中同時處理多項任務。</x:v>
      </x:c>
      <x:c r="K24" s="60" t="n">
        <x:v>5</x:v>
      </x:c>
      <x:c r="L24" s="52" t="str">
        <x:v>Agentic Shift</x:v>
      </x:c>
      <x:c r="M24" s="52" t="str">
        <x:v>Introducing Codex</x:v>
      </x:c>
      <x:c r="N24" s="52" t="str">
        <x:v>https://openai.com/index/introducing-codex/</x:v>
      </x:c>
      <x:c r="O24" s="52" t="str">
        <x:v>high</x:v>
      </x:c>
      <x:c r="P24" s="52" t="n">
        <x:v>1</x:v>
      </x:c>
    </x:row>
    <x:row r="25" ht="42" customHeight="1">
      <x:c r="A25" s="57" t="n">
        <x:v>45824</x:v>
      </x:c>
      <x:c r="B25" s="52" t="str">
        <x:v>evt-20250616-expanded-model-support-for-custom-gpts</x:v>
      </x:c>
      <x:c r="C25" s="52" t="str">
        <x:v>H</x:v>
      </x:c>
      <x:c r="D25" s="52" t="str">
        <x:v>Enterprise Citadel</x:v>
      </x:c>
      <x:c r="E25" s="52" t="str">
        <x:v>Custom GPTs</x:v>
      </x:c>
      <x:c r="F25" s="52" t="str">
        <x:v>model_release</x:v>
      </x:c>
      <x:c r="G25" s="52" t="str">
        <x:v>active</x:v>
      </x:c>
      <x:c r="H25" s="63" t="str">
        <x:v>Expanded Model Support for Custom GPTs</x:v>
      </x:c>
      <x:c r="I25" s="63" t="str">
        <x:v>模型發布：Expanded Model Support for Custom GPTs</x:v>
      </x:c>
      <x:c r="J25" s="63" t="str">
        <x:v>Enterprise 和 Edu 使用者現在在建立 Custom GPTs 時，也能從完整的 ChatGPT 模型集合（GPT-4o、o3、o4-mini 等）中進行選擇。此功能已於本月初對 Plus、Pro 和 Team 使用者推出。關鍵細節：沒有 Custom Actions 的 GPTs 可以使用模型選擇器，從使用者可用的所有模型中進行選擇……</x:v>
      </x:c>
      <x:c r="K25" s="60" t="n">
        <x:v>5</x:v>
      </x:c>
      <x:c r="L25" s="52" t="str">
        <x:v>Agentic Shift</x:v>
      </x:c>
      <x:c r="M25" s="52" t="str">
        <x:v>ChatGPT — Release Notes</x:v>
      </x:c>
      <x:c r="N25" s="52" t="str">
        <x:v>https://help.openai.com/en/articles/6825453-chatgpt-release-notes</x:v>
      </x:c>
      <x:c r="O25" s="52" t="str">
        <x:v>high</x:v>
      </x:c>
      <x:c r="P25" s="52" t="n">
        <x:v>1</x:v>
      </x:c>
    </x:row>
    <x:row r="26" ht="42" customHeight="1">
      <x:c r="A26" s="57" t="n">
        <x:v>45826</x:v>
      </x:c>
      <x:c r="B26" s="52" t="str">
        <x:v>evt-20250618-chatgpt-record-mode</x:v>
      </x:c>
      <x:c r="C26" s="52" t="str">
        <x:v>~</x:v>
      </x:c>
      <x:c r="D26" s="52" t="str">
        <x:v>Multimodal Coast</x:v>
      </x:c>
      <x:c r="E26" s="52" t="str">
        <x:v>ChatGPT Voice</x:v>
      </x:c>
      <x:c r="F26" s="52" t="str">
        <x:v>launch</x:v>
      </x:c>
      <x:c r="G26" s="52" t="str">
        <x:v>active</x:v>
      </x:c>
      <x:c r="H26" s="63" t="str">
        <x:v>ChatGPT record mode</x:v>
      </x:c>
      <x:c r="I26" s="63" t="str">
        <x:v>ChatGPT 錄音模式</x:v>
      </x:c>
      <x:c r="J26" s="63" t="str">
        <x:v>捕捉會議、腦力激盪或語音筆記。即日起對 Pro、Enterprise 和 Edu 使用者推出。先前已於 2025 年 6 月 4 日對 Team 使用者推出。ChatGPT 將對其進行轉錄、摘要，並將其轉化為有用的產出，例如後續行動、計畫，甚至是程式碼。僅適用於 macOS 桌面應用程式。深入了解 ChatGPT Record。</x:v>
      </x:c>
      <x:c r="K26" s="60" t="n">
        <x:v>5</x:v>
      </x:c>
      <x:c r="L26" s="52" t="str">
        <x:v>Agentic Shift</x:v>
      </x:c>
      <x:c r="M26" s="52" t="str">
        <x:v>ChatGPT — Release Notes</x:v>
      </x:c>
      <x:c r="N26" s="52" t="str">
        <x:v>https://help.openai.com/en/articles/6825453-chatgpt-release-notes</x:v>
      </x:c>
      <x:c r="O26" s="52" t="str">
        <x:v>high</x:v>
      </x:c>
      <x:c r="P26" s="52" t="n">
        <x:v>1</x:v>
      </x:c>
    </x:row>
    <x:row r="27" ht="42" customHeight="1">
      <x:c r="A27" s="57" t="n">
        <x:v>45855</x:v>
      </x:c>
      <x:c r="B27" s="52" t="str">
        <x:v>evt-20250717-introducing-chatgpt-agent</x:v>
      </x:c>
      <x:c r="C27" s="52" t="str">
        <x:v>&gt;</x:v>
      </x:c>
      <x:c r="D27" s="52" t="str">
        <x:v>Agentic Frontier</x:v>
      </x:c>
      <x:c r="E27" s="52" t="str">
        <x:v>ChatGPT Agent</x:v>
      </x:c>
      <x:c r="F27" s="52" t="str">
        <x:v>launch</x:v>
      </x:c>
      <x:c r="G27" s="52" t="str">
        <x:v>active</x:v>
      </x:c>
      <x:c r="H27" s="63" t="str">
        <x:v>Introducing ChatGPT agent</x:v>
      </x:c>
      <x:c r="I27" s="63" t="str">
        <x:v>推出 ChatGPT Agent</x:v>
      </x:c>
      <x:c r="J27" s="63" t="str">
        <x:v>OpenAI 為 Pro、Plus 和 Team 使用者推出 ChatGPT agent，結合網頁互動、深度研究、已連結來源、終端機使用以及可編輯的產出物，並在使用者監督的虛擬電腦中運作。</x:v>
      </x:c>
      <x:c r="K27" s="60" t="n">
        <x:v>5</x:v>
      </x:c>
      <x:c r="L27" s="52" t="str">
        <x:v>Agentic Shift</x:v>
      </x:c>
      <x:c r="M27" s="52" t="str">
        <x:v>ChatGPT agent — Release Notes</x:v>
      </x:c>
      <x:c r="N27" s="52" t="str">
        <x:v>https://help.openai.com/en/articles/11794368-chatgpt-agent-release-notes</x:v>
      </x:c>
      <x:c r="O27" s="52" t="str">
        <x:v>high</x:v>
      </x:c>
      <x:c r="P27" s="52" t="n">
        <x:v>2</x:v>
      </x:c>
    </x:row>
    <x:row r="28" ht="42" customHeight="1">
      <x:c r="A28" s="57" t="n">
        <x:v>45867</x:v>
      </x:c>
      <x:c r="B28" s="52" t="str">
        <x:v>evt-20250729-study-mode</x:v>
      </x:c>
      <x:c r="C28" s="52" t="str">
        <x:v>H</x:v>
      </x:c>
      <x:c r="D28" s="52" t="str">
        <x:v>Enterprise Citadel</x:v>
      </x:c>
      <x:c r="E28" s="52" t="str">
        <x:v>ChatGPT Enterprise &amp; Edu</x:v>
      </x:c>
      <x:c r="F28" s="52" t="str">
        <x:v>launch</x:v>
      </x:c>
      <x:c r="G28" s="52" t="str">
        <x:v>active</x:v>
      </x:c>
      <x:c r="H28" s="63" t="str">
        <x:v>Study Mode</x:v>
      </x:c>
      <x:c r="I28" s="63" t="str">
        <x:v>學習模式</x:v>
      </x:c>
      <x:c r="J28" s="63" t="str">
        <x:v>學習模式目前向全球 Free、Plus、Pro 及 Teams 方案的用戶開放，並將於未來幾週內擴展至 Edu 方案。學習模式適用於 ChatGPT 在 iOS、Android、網頁及桌面版上提供的任何模型。學習模式是 ChatGPT 中的一項新學習體驗，旨在協助您對任何主題建立更深刻的理解。</x:v>
      </x:c>
      <x:c r="K28" s="60" t="n">
        <x:v>5</x:v>
      </x:c>
      <x:c r="L28" s="52" t="str">
        <x:v>Agentic Shift</x:v>
      </x:c>
      <x:c r="M28" s="52" t="str">
        <x:v>ChatGPT — Release Notes</x:v>
      </x:c>
      <x:c r="N28" s="52" t="str">
        <x:v>https://help.openai.com/en/articles/6825453-chatgpt-release-notes</x:v>
      </x:c>
      <x:c r="O28" s="52" t="str">
        <x:v>high</x:v>
      </x:c>
      <x:c r="P28" s="52" t="n">
        <x:v>1</x:v>
      </x:c>
    </x:row>
    <x:row r="29" ht="42" customHeight="1">
      <x:c r="A29" s="57" t="n">
        <x:v>45876</x:v>
      </x:c>
      <x:c r="B29" s="52" t="str">
        <x:v>evt-20250807-gpt-5</x:v>
      </x:c>
      <x:c r="C29" s="52" t="str">
        <x:v>^</x:v>
      </x:c>
      <x:c r="D29" s="52" t="str">
        <x:v>Model Mountains</x:v>
      </x:c>
      <x:c r="E29" s="52" t="str">
        <x:v>GPT-5</x:v>
      </x:c>
      <x:c r="F29" s="52" t="str">
        <x:v>model_release</x:v>
      </x:c>
      <x:c r="G29" s="52" t="str">
        <x:v>active</x:v>
      </x:c>
      <x:c r="H29" s="63" t="str">
        <x:v>GPT-5</x:v>
      </x:c>
      <x:c r="I29" s="63" t="str">
        <x:v>模型發布：GPT-5</x:v>
      </x:c>
      <x:c r="J29" s="63" t="str">
        <x:v>GPT-5 正逐步向全球網頁、行動裝置及桌面版 ChatGPT Plus、Pro、Team 及 Free 方案的所有用戶推出。GPT-5 將於近期向 ChatGPT Enterprise 及 Edu 方案提供。ChatGPT 中的 GPT-5 是我們的新一代旗艦模型，也是所有已登入用戶的新預設模型。</x:v>
      </x:c>
      <x:c r="K29" s="60" t="n">
        <x:v>5</x:v>
      </x:c>
      <x:c r="L29" s="52" t="str">
        <x:v>Unified Intelligence</x:v>
      </x:c>
      <x:c r="M29" s="52" t="str">
        <x:v>ChatGPT — Release Notes</x:v>
      </x:c>
      <x:c r="N29" s="52" t="str">
        <x:v>https://help.openai.com/en/articles/6825453-chatgpt-release-notes</x:v>
      </x:c>
      <x:c r="O29" s="52" t="str">
        <x:v>high</x:v>
      </x:c>
      <x:c r="P29" s="52" t="n">
        <x:v>1</x:v>
      </x:c>
    </x:row>
    <x:row r="30" ht="42" customHeight="1">
      <x:c r="A30" s="57" t="n">
        <x:v>45876</x:v>
      </x:c>
      <x:c r="B30" s="52" t="str">
        <x:v>evt-20250807-released-gpt-5-family-of-models-in-the-api</x:v>
      </x:c>
      <x:c r="C30" s="52" t="str">
        <x:v>^</x:v>
      </x:c>
      <x:c r="D30" s="52" t="str">
        <x:v>Model Mountains</x:v>
      </x:c>
      <x:c r="E30" s="52" t="str">
        <x:v>Model Platform</x:v>
      </x:c>
      <x:c r="F30" s="52" t="str">
        <x:v>model_release</x:v>
      </x:c>
      <x:c r="G30" s="52" t="str">
        <x:v>active</x:v>
      </x:c>
      <x:c r="H30" s="63" t="str">
        <x:v>Released GPT-5 family of models in the API</x:v>
      </x:c>
      <x:c r="I30" s="63" t="str">
        <x:v>API 推出 GPT‑5、GPT‑5 mini 與 GPT‑5 nano</x:v>
      </x:c>
      <x:c r="J30" s="63" t="str">
        <x:v>API 推出 GPT‑5、GPT‑5 mini 與 GPT‑5 nano。OpenAI 將此列為 2025-08-07 的功能；重點涉及代理與工具調用，模型、端點與參數名稱依官方英文保留。</x:v>
      </x:c>
      <x:c r="K30" s="60" t="n">
        <x:v>5</x:v>
      </x:c>
      <x:c r="L30" s="52" t="str">
        <x:v>Unified Intelligence</x:v>
      </x:c>
      <x:c r="M30" s="52" t="str">
        <x:v>OpenAI API Changelog</x:v>
      </x:c>
      <x:c r="N30" s="52" t="str">
        <x:v>https://developers.openai.com/api/docs/changelog</x:v>
      </x:c>
      <x:c r="O30" s="52" t="str">
        <x:v>high</x:v>
      </x:c>
      <x:c r="P30" s="52" t="n">
        <x:v>2</x:v>
      </x:c>
    </x:row>
    <x:row r="31" ht="42" customHeight="1">
      <x:c r="A31" s="57" t="n">
        <x:v>45887</x:v>
      </x:c>
      <x:c r="B31" s="52" t="str">
        <x:v>evt-20250818-introducing-chatgpt-go</x:v>
      </x:c>
      <x:c r="C31" s="52" t="str">
        <x:v>@</x:v>
      </x:c>
      <x:c r="D31" s="52" t="str">
        <x:v>Origin Plaza</x:v>
      </x:c>
      <x:c r="E31" s="52" t="str">
        <x:v>ChatGPT Go</x:v>
      </x:c>
      <x:c r="F31" s="52" t="str">
        <x:v>launch</x:v>
      </x:c>
      <x:c r="G31" s="52" t="str">
        <x:v>active</x:v>
      </x:c>
      <x:c r="H31" s="63" t="str">
        <x:v>Introducing ChatGPT Go</x:v>
      </x:c>
      <x:c r="I31" s="63" t="str">
        <x:v>推出 ChatGPT Go</x:v>
      </x:c>
      <x:c r="J31" s="63" t="str">
        <x:v>我們推出了一項新的低成本訂閱方案 ChatGPT Go。此方案初期僅開放給印度使用者。ChatGPT Go 每月收費 ₹399（含 GST），提供免費版方案中的所有功能，並包含：更多訊息、更大的檔案上傳限制、更廣泛的影像生成功能、進階數據分析存取權，以及更長的記憶空間以提供更個人化的回應……</x:v>
      </x:c>
      <x:c r="K31" s="60" t="n">
        <x:v>5</x:v>
      </x:c>
      <x:c r="L31" s="52" t="str">
        <x:v>Unified Intelligence</x:v>
      </x:c>
      <x:c r="M31" s="52" t="str">
        <x:v>ChatGPT — Release Notes</x:v>
      </x:c>
      <x:c r="N31" s="52" t="str">
        <x:v>https://help.openai.com/en/articles/6825453-chatgpt-release-notes</x:v>
      </x:c>
      <x:c r="O31" s="52" t="str">
        <x:v>high</x:v>
      </x:c>
      <x:c r="P31" s="52" t="n">
        <x:v>1</x:v>
      </x:c>
    </x:row>
    <x:row r="32" ht="42" customHeight="1">
      <x:c r="A32" s="57" t="n">
        <x:v>45896</x:v>
      </x:c>
      <x:c r="B32" s="52" t="str">
        <x:v>evt-20250827-updates-to-codex-plus-pro</x:v>
      </x:c>
      <x:c r="C32" s="52" t="str">
        <x:v>+</x:v>
      </x:c>
      <x:c r="D32" s="52" t="str">
        <x:v>Client Archipelago</x:v>
      </x:c>
      <x:c r="E32" s="52" t="str">
        <x:v>Codex</x:v>
      </x:c>
      <x:c r="F32" s="52" t="str">
        <x:v>launch</x:v>
      </x:c>
      <x:c r="G32" s="52" t="str">
        <x:v>active</x:v>
      </x:c>
      <x:c r="H32" s="63" t="str">
        <x:v>Updates to Codex (Plus/Pro)</x:v>
      </x:c>
      <x:c r="I32" s="63" t="str">
        <x:v>更新：Codex (Plus/Pro)</x:v>
      </x:c>
      <x:c r="J32" s="63" t="str">
        <x:v>即日起，Codex 可在您建構的任何地方運作，包括終端機、IDE、網頁、GitHub，甚至是 ChatGPT iOS App。您的 ChatGPT 帳號將所有服務串聯起來，讓您能在本機環境與 Codex 雲端之間無縫工作，且不會遺失狀態。</x:v>
      </x:c>
      <x:c r="K32" s="60" t="n">
        <x:v>5</x:v>
      </x:c>
      <x:c r="L32" s="52" t="str">
        <x:v>Unified Intelligence</x:v>
      </x:c>
      <x:c r="M32" s="52" t="str">
        <x:v>ChatGPT — Release Notes</x:v>
      </x:c>
      <x:c r="N32" s="52" t="str">
        <x:v>https://help.openai.com/en/articles/6825453-chatgpt-release-notes</x:v>
      </x:c>
      <x:c r="O32" s="52" t="str">
        <x:v>high</x:v>
      </x:c>
      <x:c r="P32" s="52" t="n">
        <x:v>1</x:v>
      </x:c>
    </x:row>
    <x:row r="33" ht="42" customHeight="1">
      <x:c r="A33" s="57" t="n">
        <x:v>45915</x:v>
      </x:c>
      <x:c r="B33" s="52" t="str">
        <x:v>evt-20250915-updates-to-codex-plus-pro-introducing-gpt-5-codex</x:v>
      </x:c>
      <x:c r="C33" s="52" t="str">
        <x:v>&gt;</x:v>
      </x:c>
      <x:c r="D33" s="52" t="str">
        <x:v>Agentic Frontier</x:v>
      </x:c>
      <x:c r="E33" s="52" t="str">
        <x:v>GPT-5-Codex</x:v>
      </x:c>
      <x:c r="F33" s="52" t="str">
        <x:v>model_release</x:v>
      </x:c>
      <x:c r="G33" s="52" t="str">
        <x:v>active</x:v>
      </x:c>
      <x:c r="H33" s="63" t="str">
        <x:v>Updates to Codex (Plus/Pro) - Introducing GPT-5-Codex</x:v>
      </x:c>
      <x:c r="I33" s="63" t="str">
        <x:v>Codex 更新 (Plus/Pro) - 推出 GPT-5-Codex</x:v>
      </x:c>
      <x:c r="J33" s="63" t="str">
        <x:v>我們加入了 GPT-5-Codex，這是為 Codex 中的代理式程式開發所優化的 GPT-5 變體。它可用於您使用 Codex 的所有地方：雲端任務與程式碼審查的預設選項，並可透過 Codex CLI 與 IDE 擴充功能在本地工作流程中選用。請在 Codex 或類 Codex 環境中使用 GPT-5-Codex 進行程式開發相關工作，並使用 GPT-5 處理一般的非程式設計任務。</x:v>
      </x:c>
      <x:c r="K33" s="60" t="n">
        <x:v>5</x:v>
      </x:c>
      <x:c r="L33" s="52" t="str">
        <x:v>Unified Intelligence</x:v>
      </x:c>
      <x:c r="M33" s="52" t="str">
        <x:v>ChatGPT — Release Notes</x:v>
      </x:c>
      <x:c r="N33" s="52" t="str">
        <x:v>https://help.openai.com/en/articles/6825453-chatgpt-release-notes</x:v>
      </x:c>
      <x:c r="O33" s="52" t="str">
        <x:v>high</x:v>
      </x:c>
      <x:c r="P33" s="52" t="n">
        <x:v>1</x:v>
      </x:c>
    </x:row>
    <x:row r="34" ht="42" customHeight="1">
      <x:c r="A34" s="57" t="n">
        <x:v>45915</x:v>
      </x:c>
      <x:c r="B34" s="52" t="str">
        <x:v>evt-20250915-introducing-gpt-5-codex</x:v>
      </x:c>
      <x:c r="C34" s="52" t="str">
        <x:v>&gt;</x:v>
      </x:c>
      <x:c r="D34" s="52" t="str">
        <x:v>Agentic Frontier</x:v>
      </x:c>
      <x:c r="E34" s="52" t="str">
        <x:v>Codex</x:v>
      </x:c>
      <x:c r="F34" s="52" t="str">
        <x:v>launch</x:v>
      </x:c>
      <x:c r="G34" s="52" t="str">
        <x:v>active</x:v>
      </x:c>
      <x:c r="H34" s="63" t="str">
        <x:v>Introducing GPT-5-Codex</x:v>
      </x:c>
      <x:c r="I34" s="63" t="str">
        <x:v>推出 GPT-5-Codex</x:v>
      </x:c>
      <x:c r="J34" s="63" t="str">
        <x:v>Codex Changelog 在 2025-09-15 記錄了Codex 編碼代理、代理與工具調用、圖像與影片相關更新；完整版本與修正內容見官方英文摘要。</x:v>
      </x:c>
      <x:c r="K34" s="60" t="n">
        <x:v>5</x:v>
      </x:c>
      <x:c r="L34" s="52" t="str">
        <x:v>Unified Intelligence</x:v>
      </x:c>
      <x:c r="M34" s="52" t="str">
        <x:v>Codex Changelog</x:v>
      </x:c>
      <x:c r="N34" s="52" t="str">
        <x:v>https://developers.openai.com/codex/changelog/</x:v>
      </x:c>
      <x:c r="O34" s="52" t="str">
        <x:v>high</x:v>
      </x:c>
      <x:c r="P34" s="52" t="n">
        <x:v>1</x:v>
      </x:c>
    </x:row>
    <x:row r="35" ht="42" customHeight="1">
      <x:c r="A35" s="57" t="n">
        <x:v>45925</x:v>
      </x:c>
      <x:c r="B35" s="52" t="str">
        <x:v>evt-20250925-introducing-chatgpt-pulse-for-pro-users</x:v>
      </x:c>
      <x:c r="C35" s="52" t="str">
        <x:v>&gt;</x:v>
      </x:c>
      <x:c r="D35" s="52" t="str">
        <x:v>Agentic Frontier</x:v>
      </x:c>
      <x:c r="E35" s="52" t="str">
        <x:v>ChatGPT Memory</x:v>
      </x:c>
      <x:c r="F35" s="52" t="str">
        <x:v>launch</x:v>
      </x:c>
      <x:c r="G35" s="52" t="str">
        <x:v>active</x:v>
      </x:c>
      <x:c r="H35" s="63" t="str">
        <x:v>Introducing ChatGPT Pulse for Pro users</x:v>
      </x:c>
      <x:c r="I35" s="63" t="str">
        <x:v>推出適用於 Pro 用戶的 ChatGPT Pulse</x:v>
      </x:c>
      <x:c r="J35" s="63" t="str">
        <x:v>我們正在 iOS 和 Android 上推出適用於 Pro 用戶的 ChatGPT Pulse 搶先預覽版。這是一項新的體驗，ChatGPT 現在可以每天主動為您提供個人化、精準的更新。…</x:v>
      </x:c>
      <x:c r="K35" s="60" t="n">
        <x:v>5</x:v>
      </x:c>
      <x:c r="L35" s="52" t="str">
        <x:v>Unified Intelligence</x:v>
      </x:c>
      <x:c r="M35" s="52" t="str">
        <x:v>ChatGPT — Release Notes</x:v>
      </x:c>
      <x:c r="N35" s="52" t="str">
        <x:v>https://help.openai.com/en/articles/6825453-chatgpt-release-notes</x:v>
      </x:c>
      <x:c r="O35" s="52" t="str">
        <x:v>high</x:v>
      </x:c>
      <x:c r="P35" s="52" t="n">
        <x:v>1</x:v>
      </x:c>
    </x:row>
    <x:row r="36" ht="42" customHeight="1">
      <x:c r="A36" s="57" t="n">
        <x:v>45930</x:v>
      </x:c>
      <x:c r="B36" s="52" t="str">
        <x:v>evt-20250930-sora-2-and-the-sora-app-launch</x:v>
      </x:c>
      <x:c r="C36" s="52" t="str">
        <x:v>~</x:v>
      </x:c>
      <x:c r="D36" s="52" t="str">
        <x:v>Multimodal Coast</x:v>
      </x:c>
      <x:c r="E36" s="52" t="str">
        <x:v>Sora</x:v>
      </x:c>
      <x:c r="F36" s="52" t="str">
        <x:v>launch</x:v>
      </x:c>
      <x:c r="G36" s="52" t="str">
        <x:v>active</x:v>
      </x:c>
      <x:c r="H36" s="63" t="str">
        <x:v>Sora 2 and the Sora app launch</x:v>
      </x:c>
      <x:c r="I36" s="63" t="str">
        <x:v>Sora 2 和 Sora 應用程式推出</x:v>
      </x:c>
      <x:c r="J36" s="63" t="str">
        <x:v>OpenAI 推出 Sora 2，具有更準確的物理效果、更高的真實感與控制力、同步的對話和音效，並透過全新的 iOS Sora 應用程式和 sora.com 在美國和加拿大進行初步推廣。</x:v>
      </x:c>
      <x:c r="K36" s="60" t="n">
        <x:v>5</x:v>
      </x:c>
      <x:c r="L36" s="52" t="str">
        <x:v>Unified Intelligence</x:v>
      </x:c>
      <x:c r="M36" s="52" t="str">
        <x:v>Sora 2 is here</x:v>
      </x:c>
      <x:c r="N36" s="52" t="str">
        <x:v>https://openai.com/index/sora-2/</x:v>
      </x:c>
      <x:c r="O36" s="52" t="str">
        <x:v>high</x:v>
      </x:c>
      <x:c r="P36" s="52" t="n">
        <x:v>1</x:v>
      </x:c>
    </x:row>
    <x:row r="37" ht="42" customHeight="1">
      <x:c r="A37" s="57" t="n">
        <x:v>45951</x:v>
      </x:c>
      <x:c r="B37" s="52" t="str">
        <x:v>evt-20251021-introducing-chatgpt-atlas</x:v>
      </x:c>
      <x:c r="C37" s="52" t="str">
        <x:v>+</x:v>
      </x:c>
      <x:c r="D37" s="52" t="str">
        <x:v>Client Archipelago</x:v>
      </x:c>
      <x:c r="E37" s="52" t="str">
        <x:v>ChatGPT Atlas</x:v>
      </x:c>
      <x:c r="F37" s="52" t="str">
        <x:v>launch</x:v>
      </x:c>
      <x:c r="G37" s="52" t="str">
        <x:v>active</x:v>
      </x:c>
      <x:c r="H37" s="63" t="str">
        <x:v>Introducing ChatGPT Atlas</x:v>
      </x:c>
      <x:c r="I37" s="63" t="str">
        <x:v>推出 ChatGPT Atlas</x:v>
      </x:c>
      <x:c r="J37" s="63" t="str">
        <x:v>OpenAI 推出 ChatGPT Atlas，這是一款具備 ChatGPT、選用瀏覽器記憶功能、詢問 ChatGPT 側邊欄以及代理模式預覽功能的 macOS 瀏覽器，適用於符合資格的付費使用者。</x:v>
      </x:c>
      <x:c r="K37" s="60" t="n">
        <x:v>5</x:v>
      </x:c>
      <x:c r="L37" s="52" t="str">
        <x:v>Unified Intelligence</x:v>
      </x:c>
      <x:c r="M37" s="52" t="str">
        <x:v>Introducing ChatGPT Atlas</x:v>
      </x:c>
      <x:c r="N37" s="52" t="str">
        <x:v>https://openai.com/index/introducing-chatgpt-atlas/</x:v>
      </x:c>
      <x:c r="O37" s="52" t="str">
        <x:v>high</x:v>
      </x:c>
      <x:c r="P37" s="52" t="n">
        <x:v>1</x:v>
      </x:c>
    </x:row>
    <x:row r="38" ht="42" customHeight="1">
      <x:c r="A38" s="57" t="n">
        <x:v>45966</x:v>
      </x:c>
      <x:c r="B38" s="52" t="str">
        <x:v>evt-20251105-sora-for-android-launches</x:v>
      </x:c>
      <x:c r="C38" s="52" t="str">
        <x:v>~</x:v>
      </x:c>
      <x:c r="D38" s="52" t="str">
        <x:v>Multimodal Coast</x:v>
      </x:c>
      <x:c r="E38" s="52" t="str">
        <x:v>Sora</x:v>
      </x:c>
      <x:c r="F38" s="52" t="str">
        <x:v>launch</x:v>
      </x:c>
      <x:c r="G38" s="52" t="str">
        <x:v>active</x:v>
      </x:c>
      <x:c r="H38" s="63" t="str">
        <x:v>Sora for Android launches</x:v>
      </x:c>
      <x:c r="I38" s="63" t="str">
        <x:v>Sora Android 版推出</x:v>
      </x:c>
      <x:c r="J38" s="63" t="str">
        <x:v>OpenAI 在經歷 28 天的開發後，全球同步推出 Sora Android 應用程式，將基於提示詞的影片創作功能帶到 Android 裝置上。</x:v>
      </x:c>
      <x:c r="K38" s="60" t="n">
        <x:v>5</x:v>
      </x:c>
      <x:c r="L38" s="52" t="str">
        <x:v>Unified Intelligence</x:v>
      </x:c>
      <x:c r="M38" s="52" t="str">
        <x:v>How we used Codex to build Sora for Android in 28 days</x:v>
      </x:c>
      <x:c r="N38" s="52" t="str">
        <x:v>https://openai.com/index/shipping-sora-for-android-with-codex/</x:v>
      </x:c>
      <x:c r="O38" s="52" t="str">
        <x:v>high</x:v>
      </x:c>
      <x:c r="P38" s="52" t="n">
        <x:v>1</x:v>
      </x:c>
    </x:row>
    <x:row r="39" ht="42" customHeight="1">
      <x:c r="A39" s="57" t="n">
        <x:v>45968</x:v>
      </x:c>
      <x:c r="B39" s="52" t="str">
        <x:v>evt-20251107-introducing-gpt-5-codex-mini</x:v>
      </x:c>
      <x:c r="C39" s="52" t="str">
        <x:v>&gt;</x:v>
      </x:c>
      <x:c r="D39" s="52" t="str">
        <x:v>Agentic Frontier</x:v>
      </x:c>
      <x:c r="E39" s="52" t="str">
        <x:v>Codex</x:v>
      </x:c>
      <x:c r="F39" s="52" t="str">
        <x:v>launch</x:v>
      </x:c>
      <x:c r="G39" s="52" t="str">
        <x:v>active</x:v>
      </x:c>
      <x:c r="H39" s="63" t="str">
        <x:v>Introducing GPT-5-Codex-Mini</x:v>
      </x:c>
      <x:c r="I39" s="63" t="str">
        <x:v>推出 GPT-5-Codex-Mini</x:v>
      </x:c>
      <x:c r="J39" s="63" t="str">
        <x:v>Codex Changelog 在 2025-11-07 記錄了Codex 編碼代理、定價與用量相關更新；完整版本與修正內容見官方英文摘要。</x:v>
      </x:c>
      <x:c r="K39" s="60" t="n">
        <x:v>5</x:v>
      </x:c>
      <x:c r="L39" s="52" t="str">
        <x:v>Unified Intelligence</x:v>
      </x:c>
      <x:c r="M39" s="52" t="str">
        <x:v>Codex Changelog</x:v>
      </x:c>
      <x:c r="N39" s="52" t="str">
        <x:v>https://developers.openai.com/codex/changelog/</x:v>
      </x:c>
      <x:c r="O39" s="52" t="str">
        <x:v>high</x:v>
      </x:c>
      <x:c r="P39" s="52" t="n">
        <x:v>1</x:v>
      </x:c>
    </x:row>
    <x:row r="40" ht="42" customHeight="1">
      <x:c r="A40" s="57" t="n">
        <x:v>45973</x:v>
      </x:c>
      <x:c r="B40" s="52" t="str">
        <x:v>evt-20251112-gpt-5-1-in-chatgpt</x:v>
      </x:c>
      <x:c r="C40" s="52" t="str">
        <x:v>^</x:v>
      </x:c>
      <x:c r="D40" s="52" t="str">
        <x:v>Model Mountains</x:v>
      </x:c>
      <x:c r="E40" s="52" t="str">
        <x:v>GPT-5.1</x:v>
      </x:c>
      <x:c r="F40" s="52" t="str">
        <x:v>model_release</x:v>
      </x:c>
      <x:c r="G40" s="52" t="str">
        <x:v>active</x:v>
      </x:c>
      <x:c r="H40" s="63" t="str">
        <x:v>GPT-5.1 in ChatGPT</x:v>
      </x:c>
      <x:c r="I40" s="63" t="str">
        <x:v>GPT-5.1 在 ChatGPT</x:v>
      </x:c>
      <x:c r="J40" s="63" t="str">
        <x:v>我們將 GPT-5 更新為 GPT-5.1 Instant 和 GPT-5.1 Thinking，使回答更聰明且更具對話感。GPT-5.1 Instant 針對較難的問題採用輕量級自適應推理，同時保持快速；GPT-5.1 Thinking 則能更精確地調整思考時間，以處理複雜任務，並提供更清晰、較少技術術語的回答。</x:v>
      </x:c>
      <x:c r="K40" s="60" t="n">
        <x:v>5</x:v>
      </x:c>
      <x:c r="L40" s="52" t="str">
        <x:v>Unified Intelligence</x:v>
      </x:c>
      <x:c r="M40" s="52" t="str">
        <x:v>ChatGPT — Release Notes</x:v>
      </x:c>
      <x:c r="N40" s="52" t="str">
        <x:v>https://help.openai.com/en/articles/6825453-chatgpt-release-notes</x:v>
      </x:c>
      <x:c r="O40" s="52" t="str">
        <x:v>high</x:v>
      </x:c>
      <x:c r="P40" s="52" t="n">
        <x:v>1</x:v>
      </x:c>
    </x:row>
    <x:row r="41" ht="42" customHeight="1">
      <x:c r="A41" s="57" t="n">
        <x:v>45974</x:v>
      </x:c>
      <x:c r="B41" s="52" t="str">
        <x:v>evt-20251113-group-chats-in-chatgpt</x:v>
      </x:c>
      <x:c r="C41" s="52" t="str">
        <x:v>@</x:v>
      </x:c>
      <x:c r="D41" s="52" t="str">
        <x:v>Origin Plaza</x:v>
      </x:c>
      <x:c r="E41" s="52" t="str">
        <x:v>ChatGPT Search</x:v>
      </x:c>
      <x:c r="F41" s="52" t="str">
        <x:v>launch</x:v>
      </x:c>
      <x:c r="G41" s="52" t="str">
        <x:v>active</x:v>
      </x:c>
      <x:c r="H41" s="63" t="str">
        <x:v>Group chats in ChatGPT</x:v>
      </x:c>
      <x:c r="I41" s="63" t="str">
        <x:v>ChatGPT 中的群組聊天</x:v>
      </x:c>
      <x:c r="J41" s="63" t="str">
        <x:v>我們正在試行群組聊天，讓您可以將人員和 ChatGPT 帶入同一個對話中。您可以一起規劃旅行、做出決定並協作專案，同時由 ChatGPT 協助搜尋、總結、生成內容並讓所有人保持同步。</x:v>
      </x:c>
      <x:c r="K41" s="60" t="n">
        <x:v>5</x:v>
      </x:c>
      <x:c r="L41" s="52" t="str">
        <x:v>Unified Intelligence</x:v>
      </x:c>
      <x:c r="M41" s="52" t="str">
        <x:v>ChatGPT — Release Notes</x:v>
      </x:c>
      <x:c r="N41" s="52" t="str">
        <x:v>https://help.openai.com/en/articles/6825453-chatgpt-release-notes</x:v>
      </x:c>
      <x:c r="O41" s="52" t="str">
        <x:v>high</x:v>
      </x:c>
      <x:c r="P41" s="52" t="n">
        <x:v>1</x:v>
      </x:c>
    </x:row>
    <x:row r="42" ht="42" customHeight="1">
      <x:c r="A42" s="57" t="n">
        <x:v>45974</x:v>
      </x:c>
      <x:c r="B42" s="52" t="str">
        <x:v>evt-20251113-introducing-gpt-5-1-codex-and-gpt-5-1-codex-mini</x:v>
      </x:c>
      <x:c r="C42" s="52" t="str">
        <x:v>&gt;</x:v>
      </x:c>
      <x:c r="D42" s="52" t="str">
        <x:v>Agentic Frontier</x:v>
      </x:c>
      <x:c r="E42" s="52" t="str">
        <x:v>GPT-5.1</x:v>
      </x:c>
      <x:c r="F42" s="52" t="str">
        <x:v>launch</x:v>
      </x:c>
      <x:c r="G42" s="52" t="str">
        <x:v>active</x:v>
      </x:c>
      <x:c r="H42" s="63" t="str">
        <x:v>Introducing GPT-5.1-Codex and GPT-5.1-Codex-Mini</x:v>
      </x:c>
      <x:c r="I42" s="63" t="str">
        <x:v>推出 GPT-5.1-Codex and GPT-5.1-Codex-Mini</x:v>
      </x:c>
      <x:c r="J42" s="63" t="str">
        <x:v>Codex Changelog 在 2025-11-13 記錄了Codex 編碼代理、代理與工具調用相關更新；完整版本與修正內容見官方英文摘要。</x:v>
      </x:c>
      <x:c r="K42" s="60" t="n">
        <x:v>5</x:v>
      </x:c>
      <x:c r="L42" s="52" t="str">
        <x:v>Unified Intelligence</x:v>
      </x:c>
      <x:c r="M42" s="52" t="str">
        <x:v>Codex Changelog</x:v>
      </x:c>
      <x:c r="N42" s="52" t="str">
        <x:v>https://developers.openai.com/codex/changelog/</x:v>
      </x:c>
      <x:c r="O42" s="52" t="str">
        <x:v>high</x:v>
      </x:c>
      <x:c r="P42" s="52" t="n">
        <x:v>2</x:v>
      </x:c>
    </x:row>
    <x:row r="43" ht="42" customHeight="1">
      <x:c r="A43" s="57" t="n">
        <x:v>45979</x:v>
      </x:c>
      <x:c r="B43" s="52" t="str">
        <x:v>evt-20251118-introducing-gpt-5-1-codex-max</x:v>
      </x:c>
      <x:c r="C43" s="52" t="str">
        <x:v>&gt;</x:v>
      </x:c>
      <x:c r="D43" s="52" t="str">
        <x:v>Agentic Frontier</x:v>
      </x:c>
      <x:c r="E43" s="52" t="str">
        <x:v>GPT-5.1</x:v>
      </x:c>
      <x:c r="F43" s="52" t="str">
        <x:v>launch</x:v>
      </x:c>
      <x:c r="G43" s="52" t="str">
        <x:v>active</x:v>
      </x:c>
      <x:c r="H43" s="63" t="str">
        <x:v>Introducing GPT-5.1-Codex-Max</x:v>
      </x:c>
      <x:c r="I43" s="63" t="str">
        <x:v>推出 GPT-5.1-Codex-Max</x:v>
      </x:c>
      <x:c r="J43" s="63" t="str">
        <x:v>Codex Changelog 在 2025-11-18 記錄了Codex 編碼代理、代理與工具調用相關更新；完整版本與修正內容見官方英文摘要。</x:v>
      </x:c>
      <x:c r="K43" s="60" t="n">
        <x:v>5</x:v>
      </x:c>
      <x:c r="L43" s="52" t="str">
        <x:v>Unified Intelligence</x:v>
      </x:c>
      <x:c r="M43" s="52" t="str">
        <x:v>Codex Changelog</x:v>
      </x:c>
      <x:c r="N43" s="52" t="str">
        <x:v>https://developers.openai.com/codex/changelog/</x:v>
      </x:c>
      <x:c r="O43" s="52" t="str">
        <x:v>high</x:v>
      </x:c>
      <x:c r="P43" s="52" t="n">
        <x:v>1</x:v>
      </x:c>
    </x:row>
    <x:row r="44" ht="42" customHeight="1">
      <x:c r="A44" s="57" t="n">
        <x:v>45980</x:v>
      </x:c>
      <x:c r="B44" s="52" t="str">
        <x:v>evt-20251119-gpt-5-1-pro-clearer-more-capable-answers-for-complex-work</x:v>
      </x:c>
      <x:c r="C44" s="52" t="str">
        <x:v>^</x:v>
      </x:c>
      <x:c r="D44" s="52" t="str">
        <x:v>Model Mountains</x:v>
      </x:c>
      <x:c r="E44" s="52" t="str">
        <x:v>GPT-5.1</x:v>
      </x:c>
      <x:c r="F44" s="52" t="str">
        <x:v>model_release</x:v>
      </x:c>
      <x:c r="G44" s="52" t="str">
        <x:v>active</x:v>
      </x:c>
      <x:c r="H44" s="63" t="str">
        <x:v>GPT-5.1 Pro: Clearer, more capable answers for complex work</x:v>
      </x:c>
      <x:c r="I44" s="63" t="str">
        <x:v>GPT-5.1 Pro：針對複雜工作提供更清晰、更有能力的回答</x:v>
      </x:c>
      <x:c r="J44" s="63" t="str">
        <x:v>今天我們將 GPT-5 Pro 更新為 GPT-5.1 Pro。在早期測試中，使用者一致偏好 GPT-5.1 Pro 勝過 GPT-5 Pro，並在寫作協助、數據科學和商業問題方面給予極高評價。測試人員強調了該模型在回應時具有更佳的清晰度、相關性和結構。</x:v>
      </x:c>
      <x:c r="K44" s="60" t="n">
        <x:v>5</x:v>
      </x:c>
      <x:c r="L44" s="52" t="str">
        <x:v>Unified Intelligence</x:v>
      </x:c>
      <x:c r="M44" s="52" t="str">
        <x:v>ChatGPT — Release Notes</x:v>
      </x:c>
      <x:c r="N44" s="52" t="str">
        <x:v>https://help.openai.com/en/articles/6825453-chatgpt-release-notes</x:v>
      </x:c>
      <x:c r="O44" s="52" t="str">
        <x:v>high</x:v>
      </x:c>
      <x:c r="P44" s="52" t="n">
        <x:v>1</x:v>
      </x:c>
    </x:row>
    <x:row r="45" ht="42" customHeight="1">
      <x:c r="A45" s="57" t="n">
        <x:v>45980</x:v>
      </x:c>
      <x:c r="B45" s="52" t="str">
        <x:v>evt-20251119-introducing-gpt-5-1-codex-max</x:v>
      </x:c>
      <x:c r="C45" s="52" t="str">
        <x:v>&gt;</x:v>
      </x:c>
      <x:c r="D45" s="52" t="str">
        <x:v>Agentic Frontier</x:v>
      </x:c>
      <x:c r="E45" s="52" t="str">
        <x:v>GPT-5.1-Codex-Max</x:v>
      </x:c>
      <x:c r="F45" s="52" t="str">
        <x:v>model_release</x:v>
      </x:c>
      <x:c r="G45" s="52" t="str">
        <x:v>active</x:v>
      </x:c>
      <x:c r="H45" s="63" t="str">
        <x:v>Introducing GPT-5.1-Codex-Max</x:v>
      </x:c>
      <x:c r="I45" s="63" t="str">
        <x:v>推出 GPT-5.1-Codex-Max</x:v>
      </x:c>
      <x:c r="J45" s="63" t="str">
        <x:v>OpenAI 在 Codex 介面中推出了 GPT-5.1-Codex-Max，用於進行長運作、專案規模的代理式程式開發，並支援跨多個上下文視窗的原生上下文壓縮。</x:v>
      </x:c>
      <x:c r="K45" s="60" t="n">
        <x:v>5</x:v>
      </x:c>
      <x:c r="L45" s="52" t="str">
        <x:v>Unified Intelligence</x:v>
      </x:c>
      <x:c r="M45" s="52" t="str">
        <x:v>Building more with GPT-5.1-Codex-Max</x:v>
      </x:c>
      <x:c r="N45" s="52" t="str">
        <x:v>https://openai.com/index/gpt-5-1-codex-max/</x:v>
      </x:c>
      <x:c r="O45" s="52" t="str">
        <x:v>high</x:v>
      </x:c>
      <x:c r="P45" s="52" t="n">
        <x:v>1</x:v>
      </x:c>
    </x:row>
    <x:row r="46" ht="42" customHeight="1">
      <x:c r="A46" s="57" t="n">
        <x:v>45995</x:v>
      </x:c>
      <x:c r="B46" s="52" t="str">
        <x:v>evt-20251204-introducing-codex-for-linear</x:v>
      </x:c>
      <x:c r="C46" s="52" t="str">
        <x:v>&gt;</x:v>
      </x:c>
      <x:c r="D46" s="52" t="str">
        <x:v>Agentic Frontier</x:v>
      </x:c>
      <x:c r="E46" s="52" t="str">
        <x:v>Codex</x:v>
      </x:c>
      <x:c r="F46" s="52" t="str">
        <x:v>launch</x:v>
      </x:c>
      <x:c r="G46" s="52" t="str">
        <x:v>active</x:v>
      </x:c>
      <x:c r="H46" s="63" t="str">
        <x:v>Introducing Codex for Linear</x:v>
      </x:c>
      <x:c r="I46" s="63" t="str">
        <x:v>推出 Codex for Linear</x:v>
      </x:c>
      <x:c r="J46" s="63" t="str">
        <x:v>OpenAI 於 2025-12-04 為 Codex 推出新產品或能力；此節點依官方發布記錄整理，完整能力、適用方案與限制請見來源。</x:v>
      </x:c>
      <x:c r="K46" s="60" t="n">
        <x:v>5</x:v>
      </x:c>
      <x:c r="L46" s="52" t="str">
        <x:v>Unified Intelligence</x:v>
      </x:c>
      <x:c r="M46" s="52" t="str">
        <x:v>Codex Changelog</x:v>
      </x:c>
      <x:c r="N46" s="52" t="str">
        <x:v>https://developers.openai.com/codex/changelog/</x:v>
      </x:c>
      <x:c r="O46" s="52" t="str">
        <x:v>high</x:v>
      </x:c>
      <x:c r="P46" s="52" t="n">
        <x:v>1</x:v>
      </x:c>
    </x:row>
    <x:row r="47" ht="42" customHeight="1">
      <x:c r="A47" s="57" t="n">
        <x:v>46002</x:v>
      </x:c>
      <x:c r="B47" s="52" t="str">
        <x:v>evt-20251211-introducing-gpt-5-2</x:v>
      </x:c>
      <x:c r="C47" s="52" t="str">
        <x:v>^</x:v>
      </x:c>
      <x:c r="D47" s="52" t="str">
        <x:v>Model Mountains</x:v>
      </x:c>
      <x:c r="E47" s="52" t="str">
        <x:v>GPT-5.2</x:v>
      </x:c>
      <x:c r="F47" s="52" t="str">
        <x:v>model_release</x:v>
      </x:c>
      <x:c r="G47" s="52" t="str">
        <x:v>active</x:v>
      </x:c>
      <x:c r="H47" s="63" t="str">
        <x:v>Introducing GPT-5.2</x:v>
      </x:c>
      <x:c r="I47" s="63" t="str">
        <x:v>推出 GPT-5.2</x:v>
      </x:c>
      <x:c r="J47" s="63" t="str">
        <x:v>OpenAI 在 ChatGPT 中推出了 GPT-5.2 Instant、Thinking 和 Pro，針對專業知識工作、長上下文、代理式工具使用、視覺、程式設計、試算表和簡報功能進行了改進。</x:v>
      </x:c>
      <x:c r="K47" s="60" t="n">
        <x:v>5</x:v>
      </x:c>
      <x:c r="L47" s="52" t="str">
        <x:v>Unified Intelligence</x:v>
      </x:c>
      <x:c r="M47" s="52" t="str">
        <x:v>Introducing GPT-5.2</x:v>
      </x:c>
      <x:c r="N47" s="52" t="str">
        <x:v>https://openai.com/index/introducing-gpt-5-2/</x:v>
      </x:c>
      <x:c r="O47" s="52" t="str">
        <x:v>high</x:v>
      </x:c>
      <x:c r="P47" s="52" t="n">
        <x:v>1</x:v>
      </x:c>
    </x:row>
    <x:row r="48" ht="42" customHeight="1">
      <x:c r="A48" s="57" t="n">
        <x:v>46009</x:v>
      </x:c>
      <x:c r="B48" s="52" t="str">
        <x:v>evt-20251218-introducing-gpt-5-2-codex</x:v>
      </x:c>
      <x:c r="C48" s="52" t="str">
        <x:v>&gt;</x:v>
      </x:c>
      <x:c r="D48" s="52" t="str">
        <x:v>Agentic Frontier</x:v>
      </x:c>
      <x:c r="E48" s="52" t="str">
        <x:v>GPT-5.2</x:v>
      </x:c>
      <x:c r="F48" s="52" t="str">
        <x:v>launch</x:v>
      </x:c>
      <x:c r="G48" s="52" t="str">
        <x:v>active</x:v>
      </x:c>
      <x:c r="H48" s="63" t="str">
        <x:v>Introducing GPT-5.2-Codex</x:v>
      </x:c>
      <x:c r="I48" s="63" t="str">
        <x:v>推出 GPT-5.2-Codex</x:v>
      </x:c>
      <x:c r="J48" s="63" t="str">
        <x:v>OpenAI 已在付費 Codex 介面中推出 GPT-5.2-Codex，具備更強大的長視角軟體工程、上下文壓縮、Windows 效能、視覺及網路安全能力。</x:v>
      </x:c>
      <x:c r="K48" s="60" t="n">
        <x:v>5</x:v>
      </x:c>
      <x:c r="L48" s="52" t="str">
        <x:v>Unified Intelligence</x:v>
      </x:c>
      <x:c r="M48" s="52" t="str">
        <x:v>Codex Changelog</x:v>
      </x:c>
      <x:c r="N48" s="52" t="str">
        <x:v>https://developers.openai.com/codex/changelog/</x:v>
      </x:c>
      <x:c r="O48" s="52" t="str">
        <x:v>high</x:v>
      </x:c>
      <x:c r="P48" s="52" t="n">
        <x:v>2</x:v>
      </x:c>
    </x:row>
    <x:row r="49" ht="42" customHeight="1">
      <x:c r="A49" s="57" t="n">
        <x:v>46009</x:v>
      </x:c>
      <x:c r="B49" s="52" t="str">
        <x:v>evt-20251218-app-directory-in-chatgpt-with-enterprise-controls</x:v>
      </x:c>
      <x:c r="C49" s="52" t="str">
        <x:v>#</x:v>
      </x:c>
      <x:c r="D49" s="52" t="str">
        <x:v>Toolsmith Harbor</x:v>
      </x:c>
      <x:c r="E49" s="52" t="str">
        <x:v>ChatGPT Apps</x:v>
      </x:c>
      <x:c r="F49" s="52" t="str">
        <x:v>launch</x:v>
      </x:c>
      <x:c r="G49" s="52" t="str">
        <x:v>active</x:v>
      </x:c>
      <x:c r="H49" s="63" t="str">
        <x:v>App directory in ChatGPT with enterprise controls</x:v>
      </x:c>
      <x:c r="I49" s="63" t="str">
        <x:v>ChatGPT App 目錄與企業控制</x:v>
      </x:c>
      <x:c r="J49" s="63" t="str">
        <x:v>ChatGPT 新增 App 目錄並將 connectors 統整為 apps；Enterprise/Edu 管理員可用 RBAC 與動作控制，開發者可提交 Apps SDK App 審核。</x:v>
      </x:c>
      <x:c r="K49" s="60" t="n">
        <x:v>5</x:v>
      </x:c>
      <x:c r="L49" s="52" t="str">
        <x:v>Unified Intelligence</x:v>
      </x:c>
      <x:c r="M49" s="52" t="str">
        <x:v>ChatGPT Enterprise &amp; Edu — Release Notes</x:v>
      </x:c>
      <x:c r="N49" s="52" t="str">
        <x:v>https://help.openai.com/en/articles/10128477-chatgpt-enterprise-edu-release-notes</x:v>
      </x:c>
      <x:c r="O49" s="52" t="str">
        <x:v>high</x:v>
      </x:c>
      <x:c r="P49" s="52" t="n">
        <x:v>1</x:v>
      </x:c>
    </x:row>
    <x:row r="50" ht="42" customHeight="1">
      <x:c r="A50" s="57" t="n">
        <x:v>46029</x:v>
      </x:c>
      <x:c r="B50" s="52" t="str">
        <x:v>evt-20260107-health-in-chatgpt</x:v>
      </x:c>
      <x:c r="C50" s="52" t="str">
        <x:v>H</x:v>
      </x:c>
      <x:c r="D50" s="52" t="str">
        <x:v>Enterprise Citadel</x:v>
      </x:c>
      <x:c r="E50" s="52" t="str">
        <x:v>ChatGPT Health</x:v>
      </x:c>
      <x:c r="F50" s="52" t="str">
        <x:v>launch</x:v>
      </x:c>
      <x:c r="G50" s="52" t="str">
        <x:v>active</x:v>
      </x:c>
      <x:c r="H50" s="63" t="str">
        <x:v>Health in ChatGPT</x:v>
      </x:c>
      <x:c r="I50" s="63" t="str">
        <x:v>ChatGPT 健康功能</x:v>
      </x:c>
      <x:c r="J50" s="63" t="str">
        <x:v>我們開始推出「健康」功能，這是 ChatGPT 中專為健康與保健對話設計的空間。您可以安全地連結醫療記錄、Apple Health 及受支援的保健應用程式，讓 AI 回覆能基於您的個人資料。此功能旨在協助您了解醫療護理，而非取代醫療服務。</x:v>
      </x:c>
      <x:c r="K50" s="60" t="n">
        <x:v>5</x:v>
      </x:c>
      <x:c r="L50" s="52" t="str">
        <x:v>Unified Intelligence</x:v>
      </x:c>
      <x:c r="M50" s="52" t="str">
        <x:v>ChatGPT — Release Notes</x:v>
      </x:c>
      <x:c r="N50" s="52" t="str">
        <x:v>https://help.openai.com/en/articles/6825453-chatgpt-release-notes</x:v>
      </x:c>
      <x:c r="O50" s="52" t="str">
        <x:v>high</x:v>
      </x:c>
      <x:c r="P50" s="52" t="n">
        <x:v>1</x:v>
      </x:c>
    </x:row>
    <x:row r="51" ht="42" customHeight="1">
      <x:c r="A51" s="57" t="n">
        <x:v>46055</x:v>
      </x:c>
      <x:c r="B51" s="52" t="str">
        <x:v>evt-20260202-introducing-the-codex-app</x:v>
      </x:c>
      <x:c r="C51" s="52" t="str">
        <x:v>&gt;</x:v>
      </x:c>
      <x:c r="D51" s="52" t="str">
        <x:v>Agentic Frontier</x:v>
      </x:c>
      <x:c r="E51" s="52" t="str">
        <x:v>Codex</x:v>
      </x:c>
      <x:c r="F51" s="52" t="str">
        <x:v>launch</x:v>
      </x:c>
      <x:c r="G51" s="52" t="str">
        <x:v>active</x:v>
      </x:c>
      <x:c r="H51" s="63" t="str">
        <x:v>Introducing the Codex app</x:v>
      </x:c>
      <x:c r="I51" s="63" t="str">
        <x:v>推出 Codex 應用程式</x:v>
      </x:c>
      <x:c r="J51" s="63" t="str">
        <x:v>今天我們推出適用於 MacOS 的 Codex 應用程式，這是一個用於並行管理多個程式開發代理的指揮中心。該應用程式讓您能夠執行長週期與後台任務、檢視隔離工作樹中清晰的差異、查看代理的進度與決策，並執行可重複使用的技能與自動化流程。</x:v>
      </x:c>
      <x:c r="K51" s="60" t="n">
        <x:v>5</x:v>
      </x:c>
      <x:c r="L51" s="52" t="str">
        <x:v>Unified Intelligence</x:v>
      </x:c>
      <x:c r="M51" s="52" t="str">
        <x:v>ChatGPT — Release Notes</x:v>
      </x:c>
      <x:c r="N51" s="52" t="str">
        <x:v>https://help.openai.com/en/articles/6825453-chatgpt-release-notes</x:v>
      </x:c>
      <x:c r="O51" s="52" t="str">
        <x:v>high</x:v>
      </x:c>
      <x:c r="P51" s="52" t="n">
        <x:v>2</x:v>
      </x:c>
    </x:row>
    <x:row r="52" ht="42" customHeight="1">
      <x:c r="A52" s="57" t="n">
        <x:v>46057</x:v>
      </x:c>
      <x:c r="B52" s="52" t="str">
        <x:v>evt-20260204-update-on-thinking-time-settings-for-gpt-5-2-thinking-in-c</x:v>
      </x:c>
      <x:c r="C52" s="52" t="str">
        <x:v>^</x:v>
      </x:c>
      <x:c r="D52" s="52" t="str">
        <x:v>Model Mountains</x:v>
      </x:c>
      <x:c r="E52" s="52" t="str">
        <x:v>GPT-5.2</x:v>
      </x:c>
      <x:c r="F52" s="52" t="str">
        <x:v>model_release</x:v>
      </x:c>
      <x:c r="G52" s="52" t="str">
        <x:v>active</x:v>
      </x:c>
      <x:c r="H52" s="63" t="str">
        <x:v>Update on thinking time settings for GPT-5.2 Thinking in ChatGPT</x:v>
      </x:c>
      <x:c r="I52" s="63" t="str">
        <x:v>更新 ChatGPT 中 GPT-5.2 Thinking 的思考時間設定</x:v>
      </x:c>
      <x:c r="J52" s="63" t="str">
        <x:v>2026 年 1 月 10 日：我們降低了「標準」與「輕量」思考時間，因為我們觀察到用戶偏好更快速的回應。作為此更新的一部分，GPT-5.2 的「延長」思考設定被無意間調低，我們現已修正。2026 年 2 月 3 日：根據測試，我們再次小幅縮減了「標準」思考時間。</x:v>
      </x:c>
      <x:c r="K52" s="60" t="n">
        <x:v>5</x:v>
      </x:c>
      <x:c r="L52" s="52" t="str">
        <x:v>Unified Intelligence</x:v>
      </x:c>
      <x:c r="M52" s="52" t="str">
        <x:v>ChatGPT — Release Notes</x:v>
      </x:c>
      <x:c r="N52" s="52" t="str">
        <x:v>https://help.openai.com/en/articles/6825453-chatgpt-release-notes</x:v>
      </x:c>
      <x:c r="O52" s="52" t="str">
        <x:v>high</x:v>
      </x:c>
      <x:c r="P52" s="52" t="n">
        <x:v>2</x:v>
      </x:c>
    </x:row>
    <x:row r="53" ht="42" customHeight="1">
      <x:c r="A53" s="57" t="n">
        <x:v>46065</x:v>
      </x:c>
      <x:c r="B53" s="52" t="str">
        <x:v>evt-20260212-introducing-gpt-5-3-codex-spark</x:v>
      </x:c>
      <x:c r="C53" s="52" t="str">
        <x:v>&gt;</x:v>
      </x:c>
      <x:c r="D53" s="52" t="str">
        <x:v>Agentic Frontier</x:v>
      </x:c>
      <x:c r="E53" s="52" t="str">
        <x:v>GPT-5.3-Codex-Spark</x:v>
      </x:c>
      <x:c r="F53" s="52" t="str">
        <x:v>launch</x:v>
      </x:c>
      <x:c r="G53" s="52" t="str">
        <x:v>active</x:v>
      </x:c>
      <x:c r="H53" s="63" t="str">
        <x:v>Introducing GPT-5.3-Codex-Spark</x:v>
      </x:c>
      <x:c r="I53" s="63" t="str">
        <x:v>推出 GPT-5.3-Codex-Spark</x:v>
      </x:c>
      <x:c r="J53" s="63" t="str">
        <x:v>OpenAI 推出 GPT-5.3-Codex-Spark 作為 Pro 研究預覽版：這是一個較小型的即時程式碼模型，於 Cerebras 硬體上執行，速度超過每秒 1,000 個 token。</x:v>
      </x:c>
      <x:c r="K53" s="60" t="n">
        <x:v>5</x:v>
      </x:c>
      <x:c r="L53" s="52" t="str">
        <x:v>Unified Intelligence</x:v>
      </x:c>
      <x:c r="M53" s="52" t="str">
        <x:v>Codex Changelog</x:v>
      </x:c>
      <x:c r="N53" s="52" t="str">
        <x:v>https://developers.openai.com/codex/changelog/</x:v>
      </x:c>
      <x:c r="O53" s="52" t="str">
        <x:v>high</x:v>
      </x:c>
      <x:c r="P53" s="52" t="n">
        <x:v>2</x:v>
      </x:c>
    </x:row>
    <x:row r="54" ht="42" customHeight="1">
      <x:c r="A54" s="57" t="n">
        <x:v>46086</x:v>
      </x:c>
      <x:c r="B54" s="52" t="str">
        <x:v>evt-20260305-gpt-5-4-thinking-in-chatgpt</x:v>
      </x:c>
      <x:c r="C54" s="52" t="str">
        <x:v>^</x:v>
      </x:c>
      <x:c r="D54" s="52" t="str">
        <x:v>Model Mountains</x:v>
      </x:c>
      <x:c r="E54" s="52" t="str">
        <x:v>GPT-5.4</x:v>
      </x:c>
      <x:c r="F54" s="52" t="str">
        <x:v>model_release</x:v>
      </x:c>
      <x:c r="G54" s="52" t="str">
        <x:v>active</x:v>
      </x:c>
      <x:c r="H54" s="63" t="str">
        <x:v>GPT-5.4 Thinking in ChatGPT</x:v>
      </x:c>
      <x:c r="I54" s="63" t="str">
        <x:v>ChatGPT 中的 GPT-5.4 Thinking</x:v>
      </x:c>
      <x:c r="J54" s="63" t="str">
        <x:v>GPT-5.4 將我們在推理、程式設計和代理式程式開發工作流程方面的最新進展集結至單一前沿模型中。它整合了 GPT-5.3-Codex 業界領先的程式設計能力，同時改善了模型在工具、軟體環境以及涉及試算表、簡報和文件的專業任務中的運作方式……</x:v>
      </x:c>
      <x:c r="K54" s="60" t="n">
        <x:v>5</x:v>
      </x:c>
      <x:c r="L54" s="52" t="str">
        <x:v>Unified Intelligence</x:v>
      </x:c>
      <x:c r="M54" s="52" t="str">
        <x:v>ChatGPT — Release Notes</x:v>
      </x:c>
      <x:c r="N54" s="52" t="str">
        <x:v>https://help.openai.com/en/articles/6825453-chatgpt-release-notes</x:v>
      </x:c>
      <x:c r="O54" s="52" t="str">
        <x:v>high</x:v>
      </x:c>
      <x:c r="P54" s="52" t="n">
        <x:v>4</x:v>
      </x:c>
    </x:row>
    <x:row r="55" ht="42" customHeight="1">
      <x:c r="A55" s="57" t="n">
        <x:v>46086</x:v>
      </x:c>
      <x:c r="B55" s="52" t="str">
        <x:v>evt-20260305-introducing-gpt-5-4-in-codex</x:v>
      </x:c>
      <x:c r="C55" s="52" t="str">
        <x:v>&gt;</x:v>
      </x:c>
      <x:c r="D55" s="52" t="str">
        <x:v>Agentic Frontier</x:v>
      </x:c>
      <x:c r="E55" s="52" t="str">
        <x:v>GPT-5.4</x:v>
      </x:c>
      <x:c r="F55" s="52" t="str">
        <x:v>launch</x:v>
      </x:c>
      <x:c r="G55" s="52" t="str">
        <x:v>active</x:v>
      </x:c>
      <x:c r="H55" s="63" t="str">
        <x:v>Introducing GPT-5.4 in Codex</x:v>
      </x:c>
      <x:c r="I55" s="63" t="str">
        <x:v>推出 GPT-5.4 in Codex</x:v>
      </x:c>
      <x:c r="J55" s="63" t="str">
        <x:v>Codex Changelog 在 2026-03-05 記錄了Codex 編碼代理、代理與工具調用相關更新；完整版本與修正內容見官方英文摘要。</x:v>
      </x:c>
      <x:c r="K55" s="60" t="n">
        <x:v>5</x:v>
      </x:c>
      <x:c r="L55" s="52" t="str">
        <x:v>Unified Intelligence</x:v>
      </x:c>
      <x:c r="M55" s="52" t="str">
        <x:v>Codex Changelog</x:v>
      </x:c>
      <x:c r="N55" s="52" t="str">
        <x:v>https://developers.openai.com/codex/changelog/</x:v>
      </x:c>
      <x:c r="O55" s="52" t="str">
        <x:v>high</x:v>
      </x:c>
      <x:c r="P55" s="52" t="n">
        <x:v>1</x:v>
      </x:c>
    </x:row>
    <x:row r="56" ht="42" customHeight="1">
      <x:c r="A56" s="57" t="n">
        <x:v>46098</x:v>
      </x:c>
      <x:c r="B56" s="52" t="str">
        <x:v>evt-20260317-introducing-gpt-5-4-mini-in-codex</x:v>
      </x:c>
      <x:c r="C56" s="52" t="str">
        <x:v>&gt;</x:v>
      </x:c>
      <x:c r="D56" s="52" t="str">
        <x:v>Agentic Frontier</x:v>
      </x:c>
      <x:c r="E56" s="52" t="str">
        <x:v>GPT-5.4</x:v>
      </x:c>
      <x:c r="F56" s="52" t="str">
        <x:v>launch</x:v>
      </x:c>
      <x:c r="G56" s="52" t="str">
        <x:v>active</x:v>
      </x:c>
      <x:c r="H56" s="63" t="str">
        <x:v>Introducing GPT-5.4 mini in Codex</x:v>
      </x:c>
      <x:c r="I56" s="63" t="str">
        <x:v>推出 GPT-5.4 mini in Codex</x:v>
      </x:c>
      <x:c r="J56" s="63" t="str">
        <x:v>Codex Changelog 在 2026-03-17 記錄了Codex 編碼代理、代理與工具調用、圖像與影片相關更新；完整版本與修正內容見官方英文摘要。</x:v>
      </x:c>
      <x:c r="K56" s="60" t="n">
        <x:v>5</x:v>
      </x:c>
      <x:c r="L56" s="52" t="str">
        <x:v>Unified Intelligence</x:v>
      </x:c>
      <x:c r="M56" s="52" t="str">
        <x:v>Codex Changelog</x:v>
      </x:c>
      <x:c r="N56" s="52" t="str">
        <x:v>https://developers.openai.com/codex/changelog/</x:v>
      </x:c>
      <x:c r="O56" s="52" t="str">
        <x:v>high</x:v>
      </x:c>
      <x:c r="P56" s="52" t="n">
        <x:v>1</x:v>
      </x:c>
    </x:row>
    <x:row r="57" ht="42" customHeight="1">
      <x:c r="A57" s="57" t="n">
        <x:v>46098</x:v>
      </x:c>
      <x:c r="B57" s="52" t="str">
        <x:v>evt-20260317-introducing-gpt-5-4-mini-and-nano</x:v>
      </x:c>
      <x:c r="C57" s="52" t="str">
        <x:v>^</x:v>
      </x:c>
      <x:c r="D57" s="52" t="str">
        <x:v>Model Mountains</x:v>
      </x:c>
      <x:c r="E57" s="52" t="str">
        <x:v>GPT-5.4</x:v>
      </x:c>
      <x:c r="F57" s="52" t="str">
        <x:v>model_release</x:v>
      </x:c>
      <x:c r="G57" s="52" t="str">
        <x:v>active</x:v>
      </x:c>
      <x:c r="H57" s="63" t="str">
        <x:v>Introducing GPT-5.4 mini and nano</x:v>
      </x:c>
      <x:c r="I57" s="63" t="str">
        <x:v>推出 GPT-5.4 mini 和 nano</x:v>
      </x:c>
      <x:c r="J57" s="63" t="str">
        <x:v>OpenAI 推出 GPT-5.4 mini 和 nano，作為針對大量程式開發、電腦使用、工具使用和子代理工作負載更快速、高效的模型；mini 也已在 ChatGPT 中提供。</x:v>
      </x:c>
      <x:c r="K57" s="60" t="n">
        <x:v>5</x:v>
      </x:c>
      <x:c r="L57" s="52" t="str">
        <x:v>Unified Intelligence</x:v>
      </x:c>
      <x:c r="M57" s="52" t="str">
        <x:v>Introducing GPT-5.4 mini and nano</x:v>
      </x:c>
      <x:c r="N57" s="52" t="str">
        <x:v>https://openai.com/index/introducing-gpt-5-4-mini-and-nano/</x:v>
      </x:c>
      <x:c r="O57" s="52" t="str">
        <x:v>high</x:v>
      </x:c>
      <x:c r="P57" s="52" t="n">
        <x:v>1</x:v>
      </x:c>
    </x:row>
    <x:row r="58" ht="42" customHeight="1">
      <x:c r="A58" s="57" t="n">
        <x:v>46099</x:v>
      </x:c>
      <x:c r="B58" s="52" t="str">
        <x:v>evt-20260318-gpt-5-4-mini-in-chatgpt</x:v>
      </x:c>
      <x:c r="C58" s="52" t="str">
        <x:v>^</x:v>
      </x:c>
      <x:c r="D58" s="52" t="str">
        <x:v>Model Mountains</x:v>
      </x:c>
      <x:c r="E58" s="52" t="str">
        <x:v>GPT-5.4</x:v>
      </x:c>
      <x:c r="F58" s="52" t="str">
        <x:v>model_release</x:v>
      </x:c>
      <x:c r="G58" s="52" t="str">
        <x:v>active</x:v>
      </x:c>
      <x:c r="H58" s="63" t="str">
        <x:v>GPT-5.4 mini in ChatGPT</x:v>
      </x:c>
      <x:c r="I58" s="63" t="str">
        <x:v>ChatGPT 中的 GPT-5.4 mini</x:v>
      </x:c>
      <x:c r="J58" s="63" t="str">
        <x:v>我們正在 ChatGPT 中推出 GPT-5.4 mini。Free 和 Go 使用者可透過 + 選單中的「Thinking」功能使用 GPT-5.4 mini。對於所有其他使用者，GPT-5.4 mini 可作為 GPT-5.4 Thinking 的速率限制備援選項……</x:v>
      </x:c>
      <x:c r="K58" s="60" t="n">
        <x:v>5</x:v>
      </x:c>
      <x:c r="L58" s="52" t="str">
        <x:v>Unified Intelligence</x:v>
      </x:c>
      <x:c r="M58" s="52" t="str">
        <x:v>ChatGPT — Release Notes</x:v>
      </x:c>
      <x:c r="N58" s="52" t="str">
        <x:v>https://help.openai.com/en/articles/6825453-chatgpt-release-notes</x:v>
      </x:c>
      <x:c r="O58" s="52" t="str">
        <x:v>high</x:v>
      </x:c>
      <x:c r="P58" s="52" t="n">
        <x:v>2</x:v>
      </x:c>
    </x:row>
    <x:row r="59" ht="42" customHeight="1">
      <x:c r="A59" s="57" t="n">
        <x:v>46101</x:v>
      </x:c>
      <x:c r="B59" s="52" t="str">
        <x:v>evt-20260320-codex-for-students</x:v>
      </x:c>
      <x:c r="C59" s="52" t="str">
        <x:v>&gt;</x:v>
      </x:c>
      <x:c r="D59" s="52" t="str">
        <x:v>Agentic Frontier</x:v>
      </x:c>
      <x:c r="E59" s="52" t="str">
        <x:v>Codex</x:v>
      </x:c>
      <x:c r="F59" s="52" t="str">
        <x:v>launch</x:v>
      </x:c>
      <x:c r="G59" s="52" t="str">
        <x:v>active</x:v>
      </x:c>
      <x:c r="H59" s="63" t="str">
        <x:v>Codex for Students</x:v>
      </x:c>
      <x:c r="I59" s="63" t="str">
        <x:v>學生版 Codex</x:v>
      </x:c>
      <x:c r="J59" s="63" t="str">
        <x:v>學生版 Codex 現已開放給美國和加拿大的已驗證大學生使用。符合資格的學生可領取 100 美元的 ChatGPT 點數（或 2,500 點），以擴展超出 ChatGPT Free、Go、Plus 和 Pro 所包含限制的 Codex 使用量……</x:v>
      </x:c>
      <x:c r="K59" s="60" t="n">
        <x:v>5</x:v>
      </x:c>
      <x:c r="L59" s="52" t="str">
        <x:v>Unified Intelligence</x:v>
      </x:c>
      <x:c r="M59" s="52" t="str">
        <x:v>ChatGPT — Release Notes</x:v>
      </x:c>
      <x:c r="N59" s="52" t="str">
        <x:v>https://help.openai.com/en/articles/6825453-chatgpt-release-notes</x:v>
      </x:c>
      <x:c r="O59" s="52" t="str">
        <x:v>high</x:v>
      </x:c>
      <x:c r="P59" s="52" t="n">
        <x:v>1</x:v>
      </x:c>
    </x:row>
    <x:row r="60" ht="42" customHeight="1">
      <x:c r="A60" s="57" t="n">
        <x:v>46114</x:v>
      </x:c>
      <x:c r="B60" s="52" t="str">
        <x:v>evt-20260402-codex-seats-for-chatgpt-enterprise</x:v>
      </x:c>
      <x:c r="C60" s="52" t="str">
        <x:v>H</x:v>
      </x:c>
      <x:c r="D60" s="52" t="str">
        <x:v>Enterprise Citadel</x:v>
      </x:c>
      <x:c r="E60" s="52" t="str">
        <x:v>Codex Enterprise</x:v>
      </x:c>
      <x:c r="F60" s="52" t="str">
        <x:v>launch</x:v>
      </x:c>
      <x:c r="G60" s="52" t="str">
        <x:v>active</x:v>
      </x:c>
      <x:c r="H60" s="63" t="str">
        <x:v>Codex seats for ChatGPT Enterprise</x:v>
      </x:c>
      <x:c r="I60" s="63" t="str">
        <x:v>ChatGPT Enterprise 新增 Codex 席次</x:v>
      </x:c>
      <x:c r="J60" s="63" t="str">
        <x:v>OpenAI 為 ChatGPT Enterprise 推出按用量計費的 Codex-only 席次，與標準 ChatGPT 工作區席次分開。</x:v>
      </x:c>
      <x:c r="K60" s="60" t="n">
        <x:v>5</x:v>
      </x:c>
      <x:c r="L60" s="52" t="str">
        <x:v>Unified Intelligence</x:v>
      </x:c>
      <x:c r="M60" s="52" t="str">
        <x:v>ChatGPT Enterprise &amp; Edu — Release Notes</x:v>
      </x:c>
      <x:c r="N60" s="52" t="str">
        <x:v>https://help.openai.com/en/articles/10128477-chatgpt-enterprise-edu-release-notes</x:v>
      </x:c>
      <x:c r="O60" s="52" t="str">
        <x:v>high</x:v>
      </x:c>
      <x:c r="P60" s="52" t="n">
        <x:v>1</x:v>
      </x:c>
    </x:row>
    <x:row r="61" ht="42" customHeight="1">
      <x:c r="A61" s="57" t="n">
        <x:v>46121</x:v>
      </x:c>
      <x:c r="B61" s="52" t="str">
        <x:v>evt-20260409-gpt-5-3-instant-mini-in-chatgpt</x:v>
      </x:c>
      <x:c r="C61" s="52" t="str">
        <x:v>^</x:v>
      </x:c>
      <x:c r="D61" s="52" t="str">
        <x:v>Model Mountains</x:v>
      </x:c>
      <x:c r="E61" s="52" t="str">
        <x:v>GPT-5.3</x:v>
      </x:c>
      <x:c r="F61" s="52" t="str">
        <x:v>model_release</x:v>
      </x:c>
      <x:c r="G61" s="52" t="str">
        <x:v>active</x:v>
      </x:c>
      <x:c r="H61" s="63" t="str">
        <x:v>GPT-5.3 Instant mini in ChatGPT</x:v>
      </x:c>
      <x:c r="I61" s="63" t="str">
        <x:v>ChatGPT 中的 GPT-5.3 Instant Mini</x:v>
      </x:c>
      <x:c r="J61" s="63" t="str">
        <x:v>今日，我們在 ChatGPT 中推出 GPT-5.3 Instant Mini。它取代了 GPT-5 Instant Mini，成為使用者在達到 GPT-5.3 Instant 的速率限制後會觸發的備用模型。由於它是作為備用模型，因此不會出現在模型選擇器中。…</x:v>
      </x:c>
      <x:c r="K61" s="60" t="n">
        <x:v>5</x:v>
      </x:c>
      <x:c r="L61" s="52" t="str">
        <x:v>Unified Intelligence</x:v>
      </x:c>
      <x:c r="M61" s="52" t="str">
        <x:v>ChatGPT — Release Notes</x:v>
      </x:c>
      <x:c r="N61" s="52" t="str">
        <x:v>https://help.openai.com/en/articles/6825453-chatgpt-release-notes</x:v>
      </x:c>
      <x:c r="O61" s="52" t="str">
        <x:v>high</x:v>
      </x:c>
      <x:c r="P61" s="52" t="n">
        <x:v>1</x:v>
      </x:c>
    </x:row>
    <x:row r="62" ht="42" customHeight="1">
      <x:c r="A62" s="57" t="n">
        <x:v>46133</x:v>
      </x:c>
      <x:c r="B62" s="52" t="str">
        <x:v>evt-20260421-chatgpt-images-2-0-in-chatgpt</x:v>
      </x:c>
      <x:c r="C62" s="52" t="str">
        <x:v>~</x:v>
      </x:c>
      <x:c r="D62" s="52" t="str">
        <x:v>Multimodal Coast</x:v>
      </x:c>
      <x:c r="E62" s="52" t="str">
        <x:v>ChatGPT Images</x:v>
      </x:c>
      <x:c r="F62" s="52" t="str">
        <x:v>model_release</x:v>
      </x:c>
      <x:c r="G62" s="52" t="str">
        <x:v>active</x:v>
      </x:c>
      <x:c r="H62" s="63" t="str">
        <x:v>ChatGPT Images 2.0 in ChatGPT</x:v>
      </x:c>
      <x:c r="I62" s="63" t="str">
        <x:v>ChatGPT 推出 ChatGPT Images 2.0</x:v>
      </x:c>
      <x:c r="J62" s="63" t="str">
        <x:v>我們推出 ChatGPT Images 2.0，這是我們在 ChatGPT 中的新圖像生成模型。ChatGPT Images 2.0 適用於所有 ChatGPT 方案。我們也推出了具備思考能力的圖像功能。當給予更多思考時間時，它可以在生成圖像前規劃並精煉輸出。具備思考能力的圖像功能適用於所有付費 ChatGPT 方案。</x:v>
      </x:c>
      <x:c r="K62" s="60" t="n">
        <x:v>5</x:v>
      </x:c>
      <x:c r="L62" s="52" t="str">
        <x:v>Unified Intelligence</x:v>
      </x:c>
      <x:c r="M62" s="52" t="str">
        <x:v>ChatGPT — Release Notes</x:v>
      </x:c>
      <x:c r="N62" s="52" t="str">
        <x:v>https://help.openai.com/en/articles/6825453-chatgpt-release-notes</x:v>
      </x:c>
      <x:c r="O62" s="52" t="str">
        <x:v>high</x:v>
      </x:c>
      <x:c r="P62" s="52" t="n">
        <x:v>1</x:v>
      </x:c>
    </x:row>
    <x:row r="63" ht="42" customHeight="1">
      <x:c r="A63" s="57" t="n">
        <x:v>46134</x:v>
      </x:c>
      <x:c r="B63" s="52" t="str">
        <x:v>evt-20260422-fast-answers-in-chatgpt</x:v>
      </x:c>
      <x:c r="C63" s="52" t="str">
        <x:v>$</x:v>
      </x:c>
      <x:c r="D63" s="52" t="str">
        <x:v>Commerce Bazaar</x:v>
      </x:c>
      <x:c r="E63" s="52" t="str">
        <x:v>ChatGPT Business</x:v>
      </x:c>
      <x:c r="F63" s="52" t="str">
        <x:v>launch</x:v>
      </x:c>
      <x:c r="G63" s="52" t="str">
        <x:v>active</x:v>
      </x:c>
      <x:c r="H63" s="63" t="str">
        <x:v>Fast answers in ChatGPT</x:v>
      </x:c>
      <x:c r="I63" s="63" t="str">
        <x:v>ChatGPT 推出 Fast answers</x:v>
      </x:c>
      <x:c r="J63" s="63" t="str">
        <x:v>有時您只想盡快獲得正確答案。我們正在推出 Fast answers，這是 ChatGPT 中針對常見資訊尋求問題（如「向我展示世界七大奇景」或「哪支美式足球隊獲得最多超級盃冠軍？」）獲得回應的更快方式。當您的問題不需要個人化回應且 ChatGPT 擁有……時。</x:v>
      </x:c>
      <x:c r="K63" s="60" t="n">
        <x:v>5</x:v>
      </x:c>
      <x:c r="L63" s="52" t="str">
        <x:v>Unified Intelligence</x:v>
      </x:c>
      <x:c r="M63" s="52" t="str">
        <x:v>ChatGPT — Release Notes</x:v>
      </x:c>
      <x:c r="N63" s="52" t="str">
        <x:v>https://help.openai.com/en/articles/6825453-chatgpt-release-notes</x:v>
      </x:c>
      <x:c r="O63" s="52" t="str">
        <x:v>high</x:v>
      </x:c>
      <x:c r="P63" s="52" t="n">
        <x:v>1</x:v>
      </x:c>
    </x:row>
    <x:row r="64" ht="42" customHeight="1">
      <x:c r="A64" s="57" t="n">
        <x:v>46134</x:v>
      </x:c>
      <x:c r="B64" s="52" t="str">
        <x:v>evt-20260422-chatgpt-for-clinicians</x:v>
      </x:c>
      <x:c r="C64" s="52" t="str">
        <x:v>H</x:v>
      </x:c>
      <x:c r="D64" s="52" t="str">
        <x:v>Enterprise Citadel</x:v>
      </x:c>
      <x:c r="E64" s="52" t="str">
        <x:v>ChatGPT Health</x:v>
      </x:c>
      <x:c r="F64" s="52" t="str">
        <x:v>launch</x:v>
      </x:c>
      <x:c r="G64" s="52" t="str">
        <x:v>active</x:v>
      </x:c>
      <x:c r="H64" s="63" t="str">
        <x:v>ChatGPT for Clinicians</x:v>
      </x:c>
      <x:c r="I64" s="63" t="str">
        <x:v>推出 ChatGPT for Clinicians</x:v>
      </x:c>
      <x:c r="J64" s="63" t="str">
        <x:v>我們推出 ChatGPT for Clinicians，這是專為美國已驗證的臨床醫師所提供的免費版 ChatGPT。它旨在支援診療當下的實際臨床工作，包括證據審查、文件記錄與醫學研究，並具備可信的臨床搜尋、引用、可重複使用的技能、跨醫學文獻的深度研究，以及對……的支援。</x:v>
      </x:c>
      <x:c r="K64" s="60" t="n">
        <x:v>5</x:v>
      </x:c>
      <x:c r="L64" s="52" t="str">
        <x:v>Unified Intelligence</x:v>
      </x:c>
      <x:c r="M64" s="52" t="str">
        <x:v>ChatGPT — Release Notes</x:v>
      </x:c>
      <x:c r="N64" s="52" t="str">
        <x:v>https://help.openai.com/en/articles/6825453-chatgpt-release-notes</x:v>
      </x:c>
      <x:c r="O64" s="52" t="str">
        <x:v>high</x:v>
      </x:c>
      <x:c r="P64" s="52" t="n">
        <x:v>1</x:v>
      </x:c>
    </x:row>
    <x:row r="65" ht="42" customHeight="1">
      <x:c r="A65" s="57" t="n">
        <x:v>46135</x:v>
      </x:c>
      <x:c r="B65" s="52" t="str">
        <x:v>evt-20260423-introducing-gpt-5-5</x:v>
      </x:c>
      <x:c r="C65" s="52" t="str">
        <x:v>^</x:v>
      </x:c>
      <x:c r="D65" s="52" t="str">
        <x:v>Model Mountains</x:v>
      </x:c>
      <x:c r="E65" s="52" t="str">
        <x:v>GPT-5.5</x:v>
      </x:c>
      <x:c r="F65" s="52" t="str">
        <x:v>model_release</x:v>
      </x:c>
      <x:c r="G65" s="52" t="str">
        <x:v>active</x:v>
      </x:c>
      <x:c r="H65" s="63" t="str">
        <x:v>Introducing GPT-5.5</x:v>
      </x:c>
      <x:c r="I65" s="63" t="str">
        <x:v>推出 GPT-5.5</x:v>
      </x:c>
      <x:c r="J65" s="63" t="str">
        <x:v>OpenAI 在 ChatGPT 與 Codex 中發布了 GPT-5.5，用於代理式程式開發、專業知識工作、科學研究與電腦使用；GPT-5.5 Thinking 與 Pro 已向符合資格的付費 ChatGPT 方案推出。</x:v>
      </x:c>
      <x:c r="K65" s="60" t="n">
        <x:v>5</x:v>
      </x:c>
      <x:c r="L65" s="52" t="str">
        <x:v>Unified Intelligence</x:v>
      </x:c>
      <x:c r="M65" s="52" t="str">
        <x:v>Introducing GPT-5.5</x:v>
      </x:c>
      <x:c r="N65" s="52" t="str">
        <x:v>https://openai.com/index/introducing-gpt-5-5/</x:v>
      </x:c>
      <x:c r="O65" s="52" t="str">
        <x:v>high</x:v>
      </x:c>
      <x:c r="P65" s="52" t="n">
        <x:v>1</x:v>
      </x:c>
    </x:row>
    <x:row r="66" ht="42" customHeight="1">
      <x:c r="A66" s="57" t="n">
        <x:v>46136</x:v>
      </x:c>
      <x:c r="B66" s="52" t="str">
        <x:v>evt-20260424-released-gpt-5-5</x:v>
      </x:c>
      <x:c r="C66" s="52" t="str">
        <x:v>^</x:v>
      </x:c>
      <x:c r="D66" s="52" t="str">
        <x:v>Model Mountains</x:v>
      </x:c>
      <x:c r="E66" s="52" t="str">
        <x:v>Model Platform</x:v>
      </x:c>
      <x:c r="F66" s="52" t="str">
        <x:v>model_release</x:v>
      </x:c>
      <x:c r="G66" s="52" t="str">
        <x:v>active</x:v>
      </x:c>
      <x:c r="H66" s="63" t="str">
        <x:v>Released GPT-5.5</x:v>
      </x:c>
      <x:c r="I66" s="63" t="str">
        <x:v>API 推出 GPT‑5.5 與 GPT‑5.5 Pro</x:v>
      </x:c>
      <x:c r="J66" s="63" t="str">
        <x:v>API 推出 GPT‑5.5 與 GPT‑5.5 Pro。OpenAI 將此列為 2026-04-24 的功能；重點涉及代理與工具調用、圖像與影片，模型、端點與參數名稱依官方英文保留。</x:v>
      </x:c>
      <x:c r="K66" s="60" t="n">
        <x:v>5</x:v>
      </x:c>
      <x:c r="L66" s="52" t="str">
        <x:v>Unified Intelligence</x:v>
      </x:c>
      <x:c r="M66" s="52" t="str">
        <x:v>OpenAI API Changelog</x:v>
      </x:c>
      <x:c r="N66" s="52" t="str">
        <x:v>https://developers.openai.com/api/docs/changelog</x:v>
      </x:c>
      <x:c r="O66" s="52" t="str">
        <x:v>high</x:v>
      </x:c>
      <x:c r="P66" s="52" t="n">
        <x:v>2</x:v>
      </x:c>
    </x:row>
    <x:row r="67" ht="42" customHeight="1">
      <x:c r="A67" s="57" t="n">
        <x:v>46147</x:v>
      </x:c>
      <x:c r="B67" s="52" t="str">
        <x:v>evt-20260505-gpt-5-5-instant-in-chatgpt</x:v>
      </x:c>
      <x:c r="C67" s="52" t="str">
        <x:v>^</x:v>
      </x:c>
      <x:c r="D67" s="52" t="str">
        <x:v>Model Mountains</x:v>
      </x:c>
      <x:c r="E67" s="52" t="str">
        <x:v>GPT-5.5</x:v>
      </x:c>
      <x:c r="F67" s="52" t="str">
        <x:v>model_release</x:v>
      </x:c>
      <x:c r="G67" s="52" t="str">
        <x:v>active</x:v>
      </x:c>
      <x:c r="H67" s="63" t="str">
        <x:v>GPT-5.5 Instant in ChatGPT</x:v>
      </x:c>
      <x:c r="I67" s="63" t="str">
        <x:v>ChatGPT 推出 GPT-5.5 Instant</x:v>
      </x:c>
      <x:c r="J67" s="63" t="str">
        <x:v>我們正在將 GPT-5.5 Instant 推出為 ChatGPT 的新預設模型。它取代了所有 ChatGPT 用戶的 GPT-5.3 Instant，並提升日常回答的準確度、清晰度、簡潔度、圖像理解能力、STEM 問題以及 ChatGPT 決定搜尋網路時的表現。</x:v>
      </x:c>
      <x:c r="K67" s="60" t="n">
        <x:v>5</x:v>
      </x:c>
      <x:c r="L67" s="52" t="str">
        <x:v>Unified Intelligence</x:v>
      </x:c>
      <x:c r="M67" s="52" t="str">
        <x:v>ChatGPT — Release Notes</x:v>
      </x:c>
      <x:c r="N67" s="52" t="str">
        <x:v>https://help.openai.com/en/articles/6825453-chatgpt-release-notes</x:v>
      </x:c>
      <x:c r="O67" s="52" t="str">
        <x:v>high</x:v>
      </x:c>
      <x:c r="P67" s="52" t="n">
        <x:v>1</x:v>
      </x:c>
    </x:row>
    <x:row r="68" ht="42" customHeight="1">
      <x:c r="A68" s="57" t="n">
        <x:v>46147</x:v>
      </x:c>
      <x:c r="B68" s="52" t="str">
        <x:v>evt-20260505-released-chat-latest-snapshot-which-points-to-the-latest-i</x:v>
      </x:c>
      <x:c r="C68" s="52" t="str">
        <x:v>^</x:v>
      </x:c>
      <x:c r="D68" s="52" t="str">
        <x:v>Model Mountains</x:v>
      </x:c>
      <x:c r="E68" s="52" t="str">
        <x:v>Model Platform</x:v>
      </x:c>
      <x:c r="F68" s="52" t="str">
        <x:v>model_release</x:v>
      </x:c>
      <x:c r="G68" s="52" t="str">
        <x:v>active</x:v>
      </x:c>
      <x:c r="H68" s="63" t="str">
        <x:v>Released chat-latest snapshot which points to the latest Instant model currently used in ChatGPT.</x:v>
      </x:c>
      <x:c r="I68" s="63" t="str">
        <x:v>模型發布：Model Platform</x:v>
      </x:c>
      <x:c r="J68" s="63" t="str">
        <x:v>推出：chat-latest snapshot which points to latest Instant 模型 currently used in ChatGPT。OpenAI 將此列為 2026-05-05 的更新；重點涉及平台功能與可用性，模型、端點與參數名稱依官方英文保留。</x:v>
      </x:c>
      <x:c r="K68" s="60" t="n">
        <x:v>5</x:v>
      </x:c>
      <x:c r="L68" s="52" t="str">
        <x:v>Unified Intelligence</x:v>
      </x:c>
      <x:c r="M68" s="52" t="str">
        <x:v>OpenAI API Changelog</x:v>
      </x:c>
      <x:c r="N68" s="52" t="str">
        <x:v>https://developers.openai.com/api/docs/changelog</x:v>
      </x:c>
      <x:c r="O68" s="52" t="str">
        <x:v>high</x:v>
      </x:c>
      <x:c r="P68" s="52" t="n">
        <x:v>2</x:v>
      </x:c>
    </x:row>
    <x:row r="69" ht="42" customHeight="1">
      <x:c r="A69" s="57" t="n">
        <x:v>46149</x:v>
      </x:c>
      <x:c r="B69" s="52" t="str">
        <x:v>evt-20260507-released-gpt-realtime-2</x:v>
      </x:c>
      <x:c r="C69" s="52" t="str">
        <x:v>~</x:v>
      </x:c>
      <x:c r="D69" s="52" t="str">
        <x:v>Multimodal Coast</x:v>
      </x:c>
      <x:c r="E69" s="52" t="str">
        <x:v>Realtime &amp; Audio API</x:v>
      </x:c>
      <x:c r="F69" s="52" t="str">
        <x:v>model_release</x:v>
      </x:c>
      <x:c r="G69" s="52" t="str">
        <x:v>active</x:v>
      </x:c>
      <x:c r="H69" s="63" t="str">
        <x:v>Released GPT-Realtime-2</x:v>
      </x:c>
      <x:c r="I69" s="63" t="str">
        <x:v>模型發布：Realtime &amp; Audio API</x:v>
      </x:c>
      <x:c r="J69" s="63" t="str">
        <x:v>推出：GPT-Realtime-2 , a 全新 realtime voice 模型 with configurable reasoning for speech-to-speech agents, along with GPT-Realtime-Translate for streaming speech translation and…。OpenAI 將此列為 2026-05-07 的功能；重點涉及代理與工具調用、即時語音與音訊，模型、端點與參數名稱依官方英文保留。</x:v>
      </x:c>
      <x:c r="K69" s="60" t="n">
        <x:v>5</x:v>
      </x:c>
      <x:c r="L69" s="52" t="str">
        <x:v>Unified Intelligence</x:v>
      </x:c>
      <x:c r="M69" s="52" t="str">
        <x:v>OpenAI API Changelog</x:v>
      </x:c>
      <x:c r="N69" s="52" t="str">
        <x:v>https://developers.openai.com/api/docs/changelog</x:v>
      </x:c>
      <x:c r="O69" s="52" t="str">
        <x:v>high</x:v>
      </x:c>
      <x:c r="P69" s="52" t="n">
        <x:v>1</x:v>
      </x:c>
    </x:row>
    <x:row r="70" ht="42" customHeight="1">
      <x:c r="A70" s="57" t="n">
        <x:v>46156</x:v>
      </x:c>
      <x:c r="B70" s="52" t="str">
        <x:v>evt-20260514-work-with-codex-from-anywhere</x:v>
      </x:c>
      <x:c r="C70" s="52" t="str">
        <x:v>&gt;</x:v>
      </x:c>
      <x:c r="D70" s="52" t="str">
        <x:v>Agentic Frontier</x:v>
      </x:c>
      <x:c r="E70" s="52" t="str">
        <x:v>Codex</x:v>
      </x:c>
      <x:c r="F70" s="52" t="str">
        <x:v>launch</x:v>
      </x:c>
      <x:c r="G70" s="52" t="str">
        <x:v>active</x:v>
      </x:c>
      <x:c r="H70" s="63" t="str">
        <x:v>Work with Codex from anywhere</x:v>
      </x:c>
      <x:c r="I70" s="63" t="str">
        <x:v>推出：Codex</x:v>
      </x:c>
      <x:c r="J70" s="63" t="str">
        <x:v>Codex Changelog 在 2026-05-14 記錄了Codex 編碼代理、企業管理控制相關更新；完整版本與修正內容見官方英文摘要。</x:v>
      </x:c>
      <x:c r="K70" s="60" t="n">
        <x:v>5</x:v>
      </x:c>
      <x:c r="L70" s="52" t="str">
        <x:v>Unified Intelligence</x:v>
      </x:c>
      <x:c r="M70" s="52" t="str">
        <x:v>Codex Changelog</x:v>
      </x:c>
      <x:c r="N70" s="52" t="str">
        <x:v>https://developers.openai.com/codex/changelog/</x:v>
      </x:c>
      <x:c r="O70" s="52" t="str">
        <x:v>high</x:v>
      </x:c>
      <x:c r="P70" s="52" t="n">
        <x:v>1</x:v>
      </x:c>
    </x:row>
    <x:row r="71" ht="42" customHeight="1">
      <x:c r="A71" s="57" t="n">
        <x:v>46163</x:v>
      </x:c>
      <x:c r="B71" s="52" t="str">
        <x:v>evt-20260521-appshots-goal-mode-and-more-26-519</x:v>
      </x:c>
      <x:c r="C71" s="52" t="str">
        <x:v>&gt;</x:v>
      </x:c>
      <x:c r="D71" s="52" t="str">
        <x:v>Agentic Frontier</x:v>
      </x:c>
      <x:c r="E71" s="52" t="str">
        <x:v>Codex</x:v>
      </x:c>
      <x:c r="F71" s="52" t="str">
        <x:v>launch</x:v>
      </x:c>
      <x:c r="G71" s="52" t="str">
        <x:v>active</x:v>
      </x:c>
      <x:c r="H71" s="63" t="str">
        <x:v>Appshots, goal mode, and more 26.519</x:v>
      </x:c>
      <x:c r="I71" s="63" t="str">
        <x:v>Appshots, goal mode, and more 26.519 更新</x:v>
      </x:c>
      <x:c r="J71" s="63" t="str">
        <x:v>OpenAI 於 2026-05-21 為 Codex 推出新產品或能力；此節點依官方發布記錄整理，完整能力、適用方案與限制請見來源。</x:v>
      </x:c>
      <x:c r="K71" s="60" t="n">
        <x:v>5</x:v>
      </x:c>
      <x:c r="L71" s="52" t="str">
        <x:v>Unified Intelligence</x:v>
      </x:c>
      <x:c r="M71" s="52" t="str">
        <x:v>Codex Changelog</x:v>
      </x:c>
      <x:c r="N71" s="52" t="str">
        <x:v>https://developers.openai.com/codex/changelog/</x:v>
      </x:c>
      <x:c r="O71" s="52" t="str">
        <x:v>high</x:v>
      </x:c>
      <x:c r="P71" s="52" t="n">
        <x:v>1</x:v>
      </x:c>
    </x:row>
    <x:row r="72" ht="42" customHeight="1">
      <x:c r="A72" s="57" t="n">
        <x:v>46170</x:v>
      </x:c>
      <x:c r="B72" s="52" t="str">
        <x:v>evt-20260528-released-chat-latest-snapshot-which-points-to-the-latest-i</x:v>
      </x:c>
      <x:c r="C72" s="52" t="str">
        <x:v>^</x:v>
      </x:c>
      <x:c r="D72" s="52" t="str">
        <x:v>Model Mountains</x:v>
      </x:c>
      <x:c r="E72" s="52" t="str">
        <x:v>Model Platform</x:v>
      </x:c>
      <x:c r="F72" s="52" t="str">
        <x:v>model_release</x:v>
      </x:c>
      <x:c r="G72" s="52" t="str">
        <x:v>active</x:v>
      </x:c>
      <x:c r="H72" s="63" t="str">
        <x:v>Released chat-latest snapshot which points to the latest Instant model currently used in ChatGPT.</x:v>
      </x:c>
      <x:c r="I72" s="63" t="str">
        <x:v>模型發布：Model Platform</x:v>
      </x:c>
      <x:c r="J72" s="63" t="str">
        <x:v>推出：chat-latest snapshot which points to latest Instant 模型 currently used in ChatGPT。OpenAI 將此列為 2026-05-28 的更新；重點涉及平台功能與可用性，模型、端點與參數名稱依官方英文保留。</x:v>
      </x:c>
      <x:c r="K72" s="60" t="n">
        <x:v>5</x:v>
      </x:c>
      <x:c r="L72" s="52" t="str">
        <x:v>Unified Intelligence</x:v>
      </x:c>
      <x:c r="M72" s="52" t="str">
        <x:v>OpenAI API Changelog</x:v>
      </x:c>
      <x:c r="N72" s="52" t="str">
        <x:v>https://developers.openai.com/api/docs/changelog</x:v>
      </x:c>
      <x:c r="O72" s="52" t="str">
        <x:v>high</x:v>
      </x:c>
      <x:c r="P72" s="52" t="n">
        <x:v>2</x:v>
      </x:c>
    </x:row>
    <x:row r="73" ht="42" customHeight="1">
      <x:c r="A73" s="57" t="n">
        <x:v>46175</x:v>
      </x:c>
      <x:c r="B73" s="52" t="str">
        <x:v>evt-20260602-build-and-deploy-websites-with-sites</x:v>
      </x:c>
      <x:c r="C73" s="52" t="str">
        <x:v>&gt;</x:v>
      </x:c>
      <x:c r="D73" s="52" t="str">
        <x:v>Agentic Frontier</x:v>
      </x:c>
      <x:c r="E73" s="52" t="str">
        <x:v>ChatGPT Sites</x:v>
      </x:c>
      <x:c r="F73" s="52" t="str">
        <x:v>launch</x:v>
      </x:c>
      <x:c r="G73" s="52" t="str">
        <x:v>active</x:v>
      </x:c>
      <x:c r="H73" s="63" t="str">
        <x:v>Build and deploy websites with Sites</x:v>
      </x:c>
      <x:c r="I73" s="63" t="str">
        <x:v>建置並部署 websites with Sites</x:v>
      </x:c>
      <x:c r="J73" s="63" t="str">
        <x:v>Codex Changelog 在 2026-06-02 記錄了Codex 編碼代理、代理與工具調用、企業管理控制相關更新；完整版本與修正內容見官方英文摘要。</x:v>
      </x:c>
      <x:c r="K73" s="60" t="n">
        <x:v>5</x:v>
      </x:c>
      <x:c r="L73" s="52" t="str">
        <x:v>Unified Intelligence</x:v>
      </x:c>
      <x:c r="M73" s="52" t="str">
        <x:v>Codex Changelog</x:v>
      </x:c>
      <x:c r="N73" s="52" t="str">
        <x:v>https://developers.openai.com/codex/changelog/</x:v>
      </x:c>
      <x:c r="O73" s="52" t="str">
        <x:v>high</x:v>
      </x:c>
      <x:c r="P73" s="52" t="n">
        <x:v>1</x:v>
      </x:c>
    </x:row>
    <x:row r="74" ht="42" customHeight="1">
      <x:c r="A74" s="57" t="n">
        <x:v>46175</x:v>
      </x:c>
      <x:c r="B74" s="52" t="str">
        <x:v>evt-20260602-chatgpt-sites-preview-and-role-specific-codex-plugins</x:v>
      </x:c>
      <x:c r="C74" s="52" t="str">
        <x:v>H</x:v>
      </x:c>
      <x:c r="D74" s="52" t="str">
        <x:v>Enterprise Citadel</x:v>
      </x:c>
      <x:c r="E74" s="52" t="str">
        <x:v>ChatGPT Sites</x:v>
      </x:c>
      <x:c r="F74" s="52" t="str">
        <x:v>launch</x:v>
      </x:c>
      <x:c r="G74" s="52" t="str">
        <x:v>research_preview</x:v>
      </x:c>
      <x:c r="H74" s="63" t="str">
        <x:v>ChatGPT Sites preview and role-specific Codex plugins</x:v>
      </x:c>
      <x:c r="I74" s="63" t="str">
        <x:v>ChatGPT Sites 預覽與角色型 Codex Plugins</x:v>
      </x:c>
      <x:c r="J74" s="63" t="str">
        <x:v>Enterprise 與 Edu 獲得工作區內部 ChatGPT Sites 預覽、角色型 Codex plugins 與受控的更大 plugin 目錄。</x:v>
      </x:c>
      <x:c r="K74" s="60" t="n">
        <x:v>5</x:v>
      </x:c>
      <x:c r="L74" s="52" t="str">
        <x:v>Unified Intelligence</x:v>
      </x:c>
      <x:c r="M74" s="52" t="str">
        <x:v>ChatGPT Enterprise &amp; Edu — Release Notes</x:v>
      </x:c>
      <x:c r="N74" s="52" t="str">
        <x:v>https://help.openai.com/en/articles/10128477-chatgpt-enterprise-edu-release-notes</x:v>
      </x:c>
      <x:c r="O74" s="52" t="str">
        <x:v>high</x:v>
      </x:c>
      <x:c r="P74" s="52" t="n">
        <x:v>1</x:v>
      </x:c>
    </x:row>
    <x:row r="75" ht="42" customHeight="1">
      <x:c r="A75" s="57" t="n">
        <x:v>46195</x:v>
      </x:c>
      <x:c r="B75" s="52" t="str">
        <x:v>evt-20260622-daybreak-and-updated-codex-security</x:v>
      </x:c>
      <x:c r="C75" s="52" t="str">
        <x:v>!</x:v>
      </x:c>
      <x:c r="D75" s="52" t="str">
        <x:v>Safety Wall</x:v>
      </x:c>
      <x:c r="E75" s="52" t="str">
        <x:v>Daybreak</x:v>
      </x:c>
      <x:c r="F75" s="52" t="str">
        <x:v>launch</x:v>
      </x:c>
      <x:c r="G75" s="52" t="str">
        <x:v>active</x:v>
      </x:c>
      <x:c r="H75" s="63" t="str">
        <x:v>Daybreak and updated Codex Security</x:v>
      </x:c>
      <x:c r="I75" s="63" t="str">
        <x:v>Daybreak 與 Codex Security 更新</x:v>
      </x:c>
      <x:c r="J75" s="63" t="str">
        <x:v>OpenAI 推出防禦型資安方案 Daybreak，並更新 Codex Security plugin，以端到端發現、排序、修補與驗證漏洞。</x:v>
      </x:c>
      <x:c r="K75" s="60" t="n">
        <x:v>5</x:v>
      </x:c>
      <x:c r="L75" s="52" t="str">
        <x:v>Unified Intelligence</x:v>
      </x:c>
      <x:c r="M75" s="52" t="str">
        <x:v>Daybreak: Tools for securing every organization in the world</x:v>
      </x:c>
      <x:c r="N75" s="52" t="str">
        <x:v>https://openai.com/index/daybreak-securing-the-world/</x:v>
      </x:c>
      <x:c r="O75" s="52" t="str">
        <x:v>high</x:v>
      </x:c>
      <x:c r="P75" s="52" t="n">
        <x:v>1</x:v>
      </x:c>
    </x:row>
    <x:row r="76" ht="42" customHeight="1">
      <x:c r="A76" s="57" t="n">
        <x:v>46209</x:v>
      </x:c>
      <x:c r="B76" s="52" t="str">
        <x:v>evt-20260706-gpt-5-5-instant-mini-in-chatgpt</x:v>
      </x:c>
      <x:c r="C76" s="52" t="str">
        <x:v>^</x:v>
      </x:c>
      <x:c r="D76" s="52" t="str">
        <x:v>Model Mountains</x:v>
      </x:c>
      <x:c r="E76" s="52" t="str">
        <x:v>GPT-5.5</x:v>
      </x:c>
      <x:c r="F76" s="52" t="str">
        <x:v>model_release</x:v>
      </x:c>
      <x:c r="G76" s="52" t="str">
        <x:v>active</x:v>
      </x:c>
      <x:c r="H76" s="63" t="str">
        <x:v>GPT-5.5 Instant Mini in ChatGPT</x:v>
      </x:c>
      <x:c r="I76" s="63" t="str">
        <x:v>在 ChatGPT 中推出 GPT-5.5 Instant Mini</x:v>
      </x:c>
      <x:c r="J76" s="63" t="str">
        <x:v>我們在 ChatGPT 中推出 GPT-5.5 Instant Mini。它取代 GPT-5.3 Instant Mini，成為使用者達到 GPT-5.5 Instant 或 Auto 速率限制後的後備模型。由於它作為後備模型，不會出現在模型選擇器中。此更新不影響 API 或 Codex。</x:v>
      </x:c>
      <x:c r="K76" s="60" t="n">
        <x:v>5</x:v>
      </x:c>
      <x:c r="L76" s="52" t="str">
        <x:v>Unified Intelligence</x:v>
      </x:c>
      <x:c r="M76" s="52" t="str">
        <x:v>ChatGPT — Release Notes</x:v>
      </x:c>
      <x:c r="N76" s="52" t="str">
        <x:v>https://help.openai.com/en/articles/6825453-chatgpt-release-notes</x:v>
      </x:c>
      <x:c r="O76" s="52" t="str">
        <x:v>high</x:v>
      </x:c>
      <x:c r="P76" s="52" t="n">
        <x:v>1</x:v>
      </x:c>
    </x:row>
    <x:row r="77" ht="42" customHeight="1">
      <x:c r="A77" s="57" t="n">
        <x:v>46209</x:v>
      </x:c>
      <x:c r="B77" s="52" t="str">
        <x:v>evt-20260706-released-gpt-realtime-2-1</x:v>
      </x:c>
      <x:c r="C77" s="52" t="str">
        <x:v>~</x:v>
      </x:c>
      <x:c r="D77" s="52" t="str">
        <x:v>Multimodal Coast</x:v>
      </x:c>
      <x:c r="E77" s="52" t="str">
        <x:v>Realtime &amp; Audio API</x:v>
      </x:c>
      <x:c r="F77" s="52" t="str">
        <x:v>model_release</x:v>
      </x:c>
      <x:c r="G77" s="52" t="str">
        <x:v>active</x:v>
      </x:c>
      <x:c r="H77" s="63" t="str">
        <x:v>Released GPT-Realtime-2.1</x:v>
      </x:c>
      <x:c r="I77" s="63" t="str">
        <x:v>推出 GPT‑Realtime‑2.1 與 GPT‑Realtime‑2.1 mini</x:v>
      </x:c>
      <x:c r="J77" s="63" t="str">
        <x:v>推出 GPT‑Realtime‑2.1 與 GPT‑Realtime‑2.1 mini。OpenAI 將此列為 2026-07-06 的功能；重點涉及即時語音與音訊、定價與用量，模型、端點與參數名稱依官方英文保留。</x:v>
      </x:c>
      <x:c r="K77" s="60" t="n">
        <x:v>5</x:v>
      </x:c>
      <x:c r="L77" s="52" t="str">
        <x:v>Unified Intelligence</x:v>
      </x:c>
      <x:c r="M77" s="52" t="str">
        <x:v>OpenAI API Changelog</x:v>
      </x:c>
      <x:c r="N77" s="52" t="str">
        <x:v>https://developers.openai.com/api/docs/changelog</x:v>
      </x:c>
      <x:c r="O77" s="52" t="str">
        <x:v>high</x:v>
      </x:c>
      <x:c r="P77" s="52" t="n">
        <x:v>2</x:v>
      </x:c>
    </x:row>
    <x:row r="78" ht="42" customHeight="1">
      <x:c r="A78" s="57" t="n">
        <x:v>46211</x:v>
      </x:c>
      <x:c r="B78" s="52" t="str">
        <x:v>evt-20260708-introducing-gpt-live-1-in-chatgpt-voice</x:v>
      </x:c>
      <x:c r="C78" s="52" t="str">
        <x:v>~</x:v>
      </x:c>
      <x:c r="D78" s="52" t="str">
        <x:v>Multimodal Coast</x:v>
      </x:c>
      <x:c r="E78" s="52" t="str">
        <x:v>ChatGPT Voice</x:v>
      </x:c>
      <x:c r="F78" s="52" t="str">
        <x:v>model_release</x:v>
      </x:c>
      <x:c r="G78" s="52" t="str">
        <x:v>active</x:v>
      </x:c>
      <x:c r="H78" s="63" t="str">
        <x:v>Introducing GPT-Live-1 in ChatGPT Voice</x:v>
      </x:c>
      <x:c r="I78" s="63" t="str">
        <x:v>在 ChatGPT Voice 中推出 GPT-Live-1</x:v>
      </x:c>
      <x:c r="J78" s="63" t="str">
        <x:v>我們推出全新的 ChatGPT Voice 體驗。ChatGPT Voice 現由付費使用者的 GPT-Live-1 和免費使用者的 GPT-Live-1 mini 驅動。兩種模型皆能同時聽取與發言，使輪流對話和中斷感覺更自然。GPT-Live-1 在 ChatGPT 對話中運作，語音回應會與串流文字同時出現。</x:v>
      </x:c>
      <x:c r="K78" s="60" t="n">
        <x:v>5</x:v>
      </x:c>
      <x:c r="L78" s="52" t="str">
        <x:v>Unified Intelligence</x:v>
      </x:c>
      <x:c r="M78" s="52" t="str">
        <x:v>ChatGPT — Release Notes</x:v>
      </x:c>
      <x:c r="N78" s="52" t="str">
        <x:v>https://help.openai.com/en/articles/6825453-chatgpt-release-notes</x:v>
      </x:c>
      <x:c r="O78" s="52" t="str">
        <x:v>high</x:v>
      </x:c>
      <x:c r="P78" s="52" t="n">
        <x:v>1</x:v>
      </x:c>
    </x:row>
    <x:row r="79" ht="42" customHeight="1">
      <x:c r="A79" s="57" t="n">
        <x:v>46212</x:v>
      </x:c>
      <x:c r="B79" s="52" t="str">
        <x:v>evt-20260709-introducing-chatgpt-work</x:v>
      </x:c>
      <x:c r="C79" s="52" t="str">
        <x:v>&gt;</x:v>
      </x:c>
      <x:c r="D79" s="52" t="str">
        <x:v>Agentic Frontier</x:v>
      </x:c>
      <x:c r="E79" s="52" t="str">
        <x:v>ChatGPT Work</x:v>
      </x:c>
      <x:c r="F79" s="52" t="str">
        <x:v>launch</x:v>
      </x:c>
      <x:c r="G79" s="52" t="str">
        <x:v>active</x:v>
      </x:c>
      <x:c r="H79" s="63" t="str">
        <x:v>Introducing ChatGPT Work</x:v>
      </x:c>
      <x:c r="I79" s="63" t="str">
        <x:v>推出 ChatGPT Work</x:v>
      </x:c>
      <x:c r="J79" s="63" t="str">
        <x:v>ChatGPT Work 是一款用於處理較長且複雜任務的代理，能夠進行研究、分析已連結的應用程式與檔案，並建立完成的文件、試算表、簡報、報告和 Sites，同時由使用者主導並批准重要動作。</x:v>
      </x:c>
      <x:c r="K79" s="60" t="n">
        <x:v>5</x:v>
      </x:c>
      <x:c r="L79" s="52" t="str">
        <x:v>Unified Intelligence</x:v>
      </x:c>
      <x:c r="M79" s="52" t="str">
        <x:v>ChatGPT — Release Notes</x:v>
      </x:c>
      <x:c r="N79" s="52" t="str">
        <x:v>https://help.openai.com/en/articles/6825453-chatgpt-release-notes</x:v>
      </x:c>
      <x:c r="O79" s="52" t="str">
        <x:v>high</x:v>
      </x:c>
      <x:c r="P79" s="52" t="n">
        <x:v>1</x:v>
      </x:c>
    </x:row>
    <x:row r="80" ht="42" customHeight="1">
      <x:c r="A80" s="57" t="n">
        <x:v>46212</x:v>
      </x:c>
      <x:c r="B80" s="52" t="str">
        <x:v>evt-20260709-introducing-chatgpt-sites-in-public-beta</x:v>
      </x:c>
      <x:c r="C80" s="52" t="str">
        <x:v>+</x:v>
      </x:c>
      <x:c r="D80" s="52" t="str">
        <x:v>Client Archipelago</x:v>
      </x:c>
      <x:c r="E80" s="52" t="str">
        <x:v>ChatGPT Sites</x:v>
      </x:c>
      <x:c r="F80" s="52" t="str">
        <x:v>launch</x:v>
      </x:c>
      <x:c r="G80" s="52" t="str">
        <x:v>beta</x:v>
      </x:c>
      <x:c r="H80" s="63" t="str">
        <x:v>Introducing ChatGPT Sites in public beta</x:v>
      </x:c>
      <x:c r="I80" s="63" t="str">
        <x:v>推出 ChatGPT Sites 公開測試版</x:v>
      </x:c>
      <x:c r="J80" s="63" t="str">
        <x:v>ChatGPT Sites 讓您無需離開 ChatGPT，即可將您的工作或想法轉變為互動式網站或輕量級應用程式。您可以建立儀表板、專案追蹤器、發佈行事曆、原型、內部入口網站和報告，並在分享前與 ChatGPT 一起預覽與優化結果。Business 和 Enterprise 客戶已可使用 Sites。</x:v>
      </x:c>
      <x:c r="K80" s="60" t="n">
        <x:v>5</x:v>
      </x:c>
      <x:c r="L80" s="52" t="str">
        <x:v>Unified Intelligence</x:v>
      </x:c>
      <x:c r="M80" s="52" t="str">
        <x:v>ChatGPT — Release Notes</x:v>
      </x:c>
      <x:c r="N80" s="52" t="str">
        <x:v>https://help.openai.com/en/articles/6825453-chatgpt-release-notes</x:v>
      </x:c>
      <x:c r="O80" s="52" t="str">
        <x:v>high</x:v>
      </x:c>
      <x:c r="P80" s="52" t="n">
        <x:v>1</x:v>
      </x:c>
    </x:row>
    <x:row r="81" ht="42" customHeight="1">
      <x:c r="A81" s="57" t="n">
        <x:v>46212</x:v>
      </x:c>
      <x:c r="B81" s="52" t="str">
        <x:v>evt-20260709-introducing-gpt-5-6-sol-in-chatgpt</x:v>
      </x:c>
      <x:c r="C81" s="52" t="str">
        <x:v>^</x:v>
      </x:c>
      <x:c r="D81" s="52" t="str">
        <x:v>Model Mountains</x:v>
      </x:c>
      <x:c r="E81" s="52" t="str">
        <x:v>GPT-5.6 Sol</x:v>
      </x:c>
      <x:c r="F81" s="52" t="str">
        <x:v>model_release</x:v>
      </x:c>
      <x:c r="G81" s="52" t="str">
        <x:v>active</x:v>
      </x:c>
      <x:c r="H81" s="63" t="str">
        <x:v>Introducing GPT-5.6 Sol in ChatGPT</x:v>
      </x:c>
      <x:c r="I81" s="63" t="str">
        <x:v>在 ChatGPT 中推出 GPT-5.6 Sol</x:v>
      </x:c>
      <x:c r="J81" s="63" t="str">
        <x:v>OpenAI 開始在 ChatGPT 中推出 GPT-5.6 Sol，作為適用付費方案中用於程式編碼、研究、科學、網路安全、電腦使用和設計等複雜工作的旗艦推理模型。</x:v>
      </x:c>
      <x:c r="K81" s="60" t="n">
        <x:v>5</x:v>
      </x:c>
      <x:c r="L81" s="52" t="str">
        <x:v>Unified Intelligence</x:v>
      </x:c>
      <x:c r="M81" s="52" t="str">
        <x:v>Model Release Notes</x:v>
      </x:c>
      <x:c r="N81" s="52" t="str">
        <x:v>https://help.openai.com/en/articles/9624314-model-release-notes</x:v>
      </x:c>
      <x:c r="O81" s="52" t="str">
        <x:v>high</x:v>
      </x:c>
      <x:c r="P81" s="52" t="n">
        <x:v>1</x:v>
      </x:c>
    </x:row>
    <x:row r="82" ht="42" customHeight="1">
      <x:c r="A82" s="57" t="n">
        <x:v>46212</x:v>
      </x:c>
      <x:c r="B82" s="52" t="str">
        <x:v>evt-20260709-codex-joins-the-chatgpt-desktop-app</x:v>
      </x:c>
      <x:c r="C82" s="52" t="str">
        <x:v>&gt;</x:v>
      </x:c>
      <x:c r="D82" s="52" t="str">
        <x:v>Agentic Frontier</x:v>
      </x:c>
      <x:c r="E82" s="52" t="str">
        <x:v>Codex</x:v>
      </x:c>
      <x:c r="F82" s="52" t="str">
        <x:v>launch</x:v>
      </x:c>
      <x:c r="G82" s="52" t="str">
        <x:v>active</x:v>
      </x:c>
      <x:c r="H82" s="63" t="str">
        <x:v>Codex joins the ChatGPT desktop app</x:v>
      </x:c>
      <x:c r="I82" s="63" t="str">
        <x:v>Codex 加入 ChatGPT 桌面 App</x:v>
      </x:c>
      <x:c r="J82" s="63" t="str">
        <x:v>Codex Changelog 在 2026-07-09 記錄了Codex 編碼代理、圖像與影片、可靠性與效能修正相關更新；完整版本與修正內容見官方英文摘要。</x:v>
      </x:c>
      <x:c r="K82" s="60" t="n">
        <x:v>5</x:v>
      </x:c>
      <x:c r="L82" s="52" t="str">
        <x:v>Unified Intelligence</x:v>
      </x:c>
      <x:c r="M82" s="52" t="str">
        <x:v>Codex Changelog</x:v>
      </x:c>
      <x:c r="N82" s="52" t="str">
        <x:v>https://developers.openai.com/codex/changelog/</x:v>
      </x:c>
      <x:c r="O82" s="52" t="str">
        <x:v>high</x:v>
      </x:c>
      <x:c r="P82" s="52" t="n">
        <x:v>1</x:v>
      </x:c>
    </x:row>
    <x:row r="83" ht="42" customHeight="1">
      <x:c r="A83" s="57" t="n">
        <x:v>46212</x:v>
      </x:c>
      <x:c r="B83" s="52" t="str">
        <x:v>evt-20260709-chatgpt-classic-and-the-new-unified-desktop-app</x:v>
      </x:c>
      <x:c r="C83" s="52" t="str">
        <x:v>+</x:v>
      </x:c>
      <x:c r="D83" s="52" t="str">
        <x:v>Client Archipelago</x:v>
      </x:c>
      <x:c r="E83" s="52" t="str">
        <x:v>ChatGPT Desktop</x:v>
      </x:c>
      <x:c r="F83" s="52" t="str">
        <x:v>launch</x:v>
      </x:c>
      <x:c r="G83" s="52" t="str">
        <x:v>active</x:v>
      </x:c>
      <x:c r="H83" s="63" t="str">
        <x:v>ChatGPT Classic and the new unified desktop app</x:v>
      </x:c>
      <x:c r="I83" s="63" t="str">
        <x:v>ChatGPT Classic 與新版整合桌面 App</x:v>
      </x:c>
      <x:c r="J83" s="63" t="str">
        <x:v>舊 macOS 客戶端更名為 ChatGPT Classic；新版 macOS/Windows App 整合 Chat、ChatGPT Work 與 Codex。</x:v>
      </x:c>
      <x:c r="K83" s="60" t="n">
        <x:v>5</x:v>
      </x:c>
      <x:c r="L83" s="52" t="str">
        <x:v>Unified Intelligence</x:v>
      </x:c>
      <x:c r="M83" s="52" t="str">
        <x:v>Moving to the new ChatGPT desktop app</x:v>
      </x:c>
      <x:c r="N83" s="52" t="str">
        <x:v>https://help.openai.com/en/articles/20001276/</x:v>
      </x:c>
      <x:c r="O83" s="52" t="str">
        <x:v>high</x:v>
      </x:c>
      <x:c r="P83" s="52" t="n">
        <x:v>1</x:v>
      </x:c>
    </x:row>
    <x:row r="84" ht="42" customHeight="1">
      <x:c r="A84" s="58" t="n">
        <x:v>46212</x:v>
      </x:c>
      <x:c r="B84" s="54" t="str">
        <x:v>evt-20260709-introducing-the-gpt-5-6-model-family</x:v>
      </x:c>
      <x:c r="C84" s="54" t="str">
        <x:v>^</x:v>
      </x:c>
      <x:c r="D84" s="54" t="str">
        <x:v>Model Mountains</x:v>
      </x:c>
      <x:c r="E84" s="54" t="str">
        <x:v>GPT-5.6</x:v>
      </x:c>
      <x:c r="F84" s="54" t="str">
        <x:v>model_release</x:v>
      </x:c>
      <x:c r="G84" s="54" t="str">
        <x:v>active</x:v>
      </x:c>
      <x:c r="H84" s="64" t="str">
        <x:v>Introducing the GPT-5.6 model family</x:v>
      </x:c>
      <x:c r="I84" s="64" t="str">
        <x:v>推出 GPT-5.6 模型系列</x:v>
      </x:c>
      <x:c r="J84" s="64" t="str">
        <x:v>推出 GPT‑5.6 Sol、Terra 與 Luna 模型家族。OpenAI 將此列為 2026-07-09 的功能；重點涉及代理與工具調用、圖像與影片、定價與用量，模型、端點與參數名稱依官方英文保留。</x:v>
      </x:c>
      <x:c r="K84" s="61" t="n">
        <x:v>5</x:v>
      </x:c>
      <x:c r="L84" s="54" t="str">
        <x:v>Unified Intelligence</x:v>
      </x:c>
      <x:c r="M84" s="54" t="str">
        <x:v>OpenAI product release notes</x:v>
      </x:c>
      <x:c r="N84" s="54" t="str">
        <x:v>https://openai.com/products/release-notes/</x:v>
      </x:c>
      <x:c r="O84" s="54" t="str">
        <x:v>high</x:v>
      </x:c>
      <x:c r="P84" s="54" t="n">
        <x:v>2</x:v>
      </x:c>
    </x:row>
  </x:sheetData>
  <x:pageMargins left="0.7" right="0.7" top="0.75" bottom="0.75" header="0.3" footer="0.3"/>
  <x:tableParts count="1">
    <x:tablePart xmlns:r="http://schemas.openxmlformats.org/officeDocument/2006/relationships" r:id="R748077060e884d0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9"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s>
  <x:sheetData>
    <x:row r="1">
      <x:c r="A1" s="5" t="str">
        <x:v>ASCII MAP // QUARTER × PRODUCT REGION</x:v>
      </x:c>
      <x:c r="B1" s="5" t="str">
        <x:v>ASCII MAP // QUARTER × PRODUCT REGION</x:v>
      </x:c>
      <x:c r="C1" s="5" t="str">
        <x:v>ASCII MAP // QUARTER × PRODUCT REGION</x:v>
      </x:c>
      <x:c r="D1" s="5" t="str">
        <x:v>ASCII MAP // QUARTER × PRODUCT REGION</x:v>
      </x:c>
      <x:c r="E1" s="5" t="str">
        <x:v>ASCII MAP // QUARTER × PRODUCT REGION</x:v>
      </x:c>
      <x:c r="F1" s="5" t="str">
        <x:v>ASCII MAP // QUARTER × PRODUCT REGION</x:v>
      </x:c>
      <x:c r="G1" s="5" t="str">
        <x:v>ASCII MAP // QUARTER × PRODUCT REGION</x:v>
      </x:c>
      <x:c r="H1" s="5" t="str">
        <x:v>ASCII MAP // QUARTER × PRODUCT REGION</x:v>
      </x:c>
      <x:c r="I1" s="5" t="str">
        <x:v>ASCII MAP // QUARTER × PRODUCT REGION</x:v>
      </x:c>
      <x:c r="J1" s="5" t="str">
        <x:v>ASCII MAP // QUARTER × PRODUCT REGION</x:v>
      </x:c>
      <x:c r="K1" s="5" t="str">
        <x:v>ASCII MAP // QUARTER × PRODUCT REGION</x:v>
      </x:c>
      <x:c r="L1" s="5" t="str">
        <x:v>ASCII MAP // QUARTER × PRODUCT REGION</x:v>
      </x:c>
      <x:c r="M1" s="5" t="str">
        <x:v>ASCII MAP // QUARTER × PRODUCT REGION</x:v>
      </x:c>
      <x:c r="N1" s="5" t="str">
        <x:v>ASCII MAP // QUARTER × PRODUCT REGION</x:v>
      </x:c>
      <x:c r="O1" s="5" t="str">
        <x:v>ASCII MAP // QUARTER × PRODUCT REGION</x:v>
      </x:c>
      <x:c r="P1" s="5" t="str">
        <x:v>ASCII MAP // QUARTER × PRODUCT REGION</x:v>
      </x:c>
      <x:c r="Q1" s="5" t="str">
        <x:v>ASCII MAP // QUARTER × PRODUCT REGION</x:v>
      </x:c>
      <x:c r="R1" s="5" t="str">
        <x:v>ASCII MAP // QUARTER × PRODUCT REGION</x:v>
      </x:c>
    </x:row>
    <x:row r="2">
      <x:c r="A2" s="5" t="str">
        <x:v>ASCII MAP // QUARTER × PRODUCT REGION</x:v>
      </x:c>
      <x:c r="B2" s="5" t="str">
        <x:v>ASCII MAP // QUARTER × PRODUCT REGION</x:v>
      </x:c>
      <x:c r="C2" s="5" t="str">
        <x:v>ASCII MAP // QUARTER × PRODUCT REGION</x:v>
      </x:c>
      <x:c r="D2" s="5" t="str">
        <x:v>ASCII MAP // QUARTER × PRODUCT REGION</x:v>
      </x:c>
      <x:c r="E2" s="5" t="str">
        <x:v>ASCII MAP // QUARTER × PRODUCT REGION</x:v>
      </x:c>
      <x:c r="F2" s="5" t="str">
        <x:v>ASCII MAP // QUARTER × PRODUCT REGION</x:v>
      </x:c>
      <x:c r="G2" s="5" t="str">
        <x:v>ASCII MAP // QUARTER × PRODUCT REGION</x:v>
      </x:c>
      <x:c r="H2" s="5" t="str">
        <x:v>ASCII MAP // QUARTER × PRODUCT REGION</x:v>
      </x:c>
      <x:c r="I2" s="5" t="str">
        <x:v>ASCII MAP // QUARTER × PRODUCT REGION</x:v>
      </x:c>
      <x:c r="J2" s="5" t="str">
        <x:v>ASCII MAP // QUARTER × PRODUCT REGION</x:v>
      </x:c>
      <x:c r="K2" s="5" t="str">
        <x:v>ASCII MAP // QUARTER × PRODUCT REGION</x:v>
      </x:c>
      <x:c r="L2" s="5" t="str">
        <x:v>ASCII MAP // QUARTER × PRODUCT REGION</x:v>
      </x:c>
      <x:c r="M2" s="5" t="str">
        <x:v>ASCII MAP // QUARTER × PRODUCT REGION</x:v>
      </x:c>
      <x:c r="N2" s="5" t="str">
        <x:v>ASCII MAP // QUARTER × PRODUCT REGION</x:v>
      </x:c>
      <x:c r="O2" s="5" t="str">
        <x:v>ASCII MAP // QUARTER × PRODUCT REGION</x:v>
      </x:c>
      <x:c r="P2" s="5" t="str">
        <x:v>ASCII MAP // QUARTER × PRODUCT REGION</x:v>
      </x:c>
      <x:c r="Q2" s="5" t="str">
        <x:v>ASCII MAP // QUARTER × PRODUCT REGION</x:v>
      </x:c>
      <x:c r="R2" s="5" t="str">
        <x:v>ASCII MAP // QUARTER × PRODUCT REGION</x:v>
      </x:c>
    </x:row>
    <x:row r="3">
      <x:c r="A3" s="10" t="str">
        <x:v>cell = glyph + event count + ★ landmark count · Toolsmith uses count#★ so spreadsheet renderers do not treat leading # as an error · formula-driven from Master Timeline</x:v>
      </x:c>
      <x:c r="B3" s="10" t="str">
        <x:v>cell = glyph + event count + ★ landmark count · Toolsmith uses count#★ so spreadsheet renderers do not treat leading # as an error · formula-driven from Master Timeline</x:v>
      </x:c>
      <x:c r="C3" s="10" t="str">
        <x:v>cell = glyph + event count + ★ landmark count · Toolsmith uses count#★ so spreadsheet renderers do not treat leading # as an error · formula-driven from Master Timeline</x:v>
      </x:c>
      <x:c r="D3" s="10" t="str">
        <x:v>cell = glyph + event count + ★ landmark count · Toolsmith uses count#★ so spreadsheet renderers do not treat leading # as an error · formula-driven from Master Timeline</x:v>
      </x:c>
      <x:c r="E3" s="10" t="str">
        <x:v>cell = glyph + event count + ★ landmark count · Toolsmith uses count#★ so spreadsheet renderers do not treat leading # as an error · formula-driven from Master Timeline</x:v>
      </x:c>
      <x:c r="F3" s="10" t="str">
        <x:v>cell = glyph + event count + ★ landmark count · Toolsmith uses count#★ so spreadsheet renderers do not treat leading # as an error · formula-driven from Master Timeline</x:v>
      </x:c>
      <x:c r="G3" s="10" t="str">
        <x:v>cell = glyph + event count + ★ landmark count · Toolsmith uses count#★ so spreadsheet renderers do not treat leading # as an error · formula-driven from Master Timeline</x:v>
      </x:c>
      <x:c r="H3" s="10" t="str">
        <x:v>cell = glyph + event count + ★ landmark count · Toolsmith uses count#★ so spreadsheet renderers do not treat leading # as an error · formula-driven from Master Timeline</x:v>
      </x:c>
      <x:c r="I3" s="10" t="str">
        <x:v>cell = glyph + event count + ★ landmark count · Toolsmith uses count#★ so spreadsheet renderers do not treat leading # as an error · formula-driven from Master Timeline</x:v>
      </x:c>
      <x:c r="J3" s="10" t="str">
        <x:v>cell = glyph + event count + ★ landmark count · Toolsmith uses count#★ so spreadsheet renderers do not treat leading # as an error · formula-driven from Master Timeline</x:v>
      </x:c>
      <x:c r="K3" s="10" t="str">
        <x:v>cell = glyph + event count + ★ landmark count · Toolsmith uses count#★ so spreadsheet renderers do not treat leading # as an error · formula-driven from Master Timeline</x:v>
      </x:c>
      <x:c r="L3" s="10" t="str">
        <x:v>cell = glyph + event count + ★ landmark count · Toolsmith uses count#★ so spreadsheet renderers do not treat leading # as an error · formula-driven from Master Timeline</x:v>
      </x:c>
      <x:c r="M3" s="10" t="str">
        <x:v>cell = glyph + event count + ★ landmark count · Toolsmith uses count#★ so spreadsheet renderers do not treat leading # as an error · formula-driven from Master Timeline</x:v>
      </x:c>
      <x:c r="N3" s="10" t="str">
        <x:v>cell = glyph + event count + ★ landmark count · Toolsmith uses count#★ so spreadsheet renderers do not treat leading # as an error · formula-driven from Master Timeline</x:v>
      </x:c>
      <x:c r="O3" s="10" t="str">
        <x:v>cell = glyph + event count + ★ landmark count · Toolsmith uses count#★ so spreadsheet renderers do not treat leading # as an error · formula-driven from Master Timeline</x:v>
      </x:c>
      <x:c r="P3" s="10" t="str">
        <x:v>cell = glyph + event count + ★ landmark count · Toolsmith uses count#★ so spreadsheet renderers do not treat leading # as an error · formula-driven from Master Timeline</x:v>
      </x:c>
      <x:c r="Q3" s="10" t="str">
        <x:v>cell = glyph + event count + ★ landmark count · Toolsmith uses count#★ so spreadsheet renderers do not treat leading # as an error · formula-driven from Master Timeline</x:v>
      </x:c>
      <x:c r="R3" s="10" t="str">
        <x:v>cell = glyph + event count + ★ landmark count · Toolsmith uses count#★ so spreadsheet renderers do not treat leading # as an error · formula-driven from Master Timeline</x:v>
      </x:c>
    </x:row>
    <x:row r="5" ht="30" customHeight="1">
      <x:c r="A5" s="20" t="str">
        <x:v>MAP REGION</x:v>
      </x:c>
      <x:c r="B5" s="20" t="str">
        <x:v>GLYPH</x:v>
      </x:c>
      <x:c r="C5" s="20" t="str">
        <x:v>2022 Q4</x:v>
      </x:c>
      <x:c r="D5" s="20" t="str">
        <x:v>2023 Q1</x:v>
      </x:c>
      <x:c r="E5" s="20" t="str">
        <x:v>2023 Q2</x:v>
      </x:c>
      <x:c r="F5" s="20" t="str">
        <x:v>2023 Q3</x:v>
      </x:c>
      <x:c r="G5" s="20" t="str">
        <x:v>2023 Q4</x:v>
      </x:c>
      <x:c r="H5" s="20" t="str">
        <x:v>2024 Q1</x:v>
      </x:c>
      <x:c r="I5" s="20" t="str">
        <x:v>2024 Q2</x:v>
      </x:c>
      <x:c r="J5" s="20" t="str">
        <x:v>2024 Q3</x:v>
      </x:c>
      <x:c r="K5" s="20" t="str">
        <x:v>2024 Q4</x:v>
      </x:c>
      <x:c r="L5" s="20" t="str">
        <x:v>2025 Q1</x:v>
      </x:c>
      <x:c r="M5" s="20" t="str">
        <x:v>2025 Q2</x:v>
      </x:c>
      <x:c r="N5" s="20" t="str">
        <x:v>2025 Q3</x:v>
      </x:c>
      <x:c r="O5" s="20" t="str">
        <x:v>2025 Q4</x:v>
      </x:c>
      <x:c r="P5" s="20" t="str">
        <x:v>2026 Q1</x:v>
      </x:c>
      <x:c r="Q5" s="20" t="str">
        <x:v>2026 Q2</x:v>
      </x:c>
      <x:c r="R5" s="20" t="str">
        <x:v>2026 Q3</x:v>
      </x:c>
    </x:row>
    <x:row r="6" ht="31" customHeight="1">
      <x:c r="A6" s="93" t="str">
        <x:v>Origin Plaza</x:v>
      </x:c>
      <x:c r="B6" s="99" t="str">
        <x:v>@</x:v>
      </x:c>
      <x:c r="C6" s="85" t="str">
        <x:f>IF(COUNTIFS('Master Timeline'!$C$2:$C$327,2022,'Master Timeline'!$D$2:$D$327,"Q4",'Master Timeline'!$F$2:$F$327,"chatgpt_core")=0,"·",$B6&amp;COUNTIFS('Master Timeline'!$C$2:$C$327,2022,'Master Timeline'!$D$2:$D$327,"Q4",'Master Timeline'!$F$2:$F$327,"chatgpt_core")&amp;"★"&amp;COUNTIFS('Master Timeline'!$C$2:$C$327,2022,'Master Timeline'!$D$2:$D$327,"Q4",'Master Timeline'!$F$2:$F$327,"chatgpt_core",'Master Timeline'!$R$2:$R$327,"landmark"))</x:f>
        <x:v>@3★1</x:v>
      </x:c>
      <x:c r="D6" s="85" t="str">
        <x:f>IF(COUNTIFS('Master Timeline'!$C$2:$C$327,2023,'Master Timeline'!$D$2:$D$327,"Q1",'Master Timeline'!$F$2:$F$327,"chatgpt_core")=0,"·",$B6&amp;COUNTIFS('Master Timeline'!$C$2:$C$327,2023,'Master Timeline'!$D$2:$D$327,"Q1",'Master Timeline'!$F$2:$F$327,"chatgpt_core")&amp;"★"&amp;COUNTIFS('Master Timeline'!$C$2:$C$327,2023,'Master Timeline'!$D$2:$D$327,"Q1",'Master Timeline'!$F$2:$F$327,"chatgpt_core",'Master Timeline'!$R$2:$R$327,"landmark"))</x:f>
        <x:v>@3★1</x:v>
      </x:c>
      <x:c r="E6" s="85" t="str">
        <x:f>IF(COUNTIFS('Master Timeline'!$C$2:$C$327,2023,'Master Timeline'!$D$2:$D$327,"Q2",'Master Timeline'!$F$2:$F$327,"chatgpt_core")=0,"·",$B6&amp;COUNTIFS('Master Timeline'!$C$2:$C$327,2023,'Master Timeline'!$D$2:$D$327,"Q2",'Master Timeline'!$F$2:$F$327,"chatgpt_core")&amp;"★"&amp;COUNTIFS('Master Timeline'!$C$2:$C$327,2023,'Master Timeline'!$D$2:$D$327,"Q2",'Master Timeline'!$F$2:$F$327,"chatgpt_core",'Master Timeline'!$R$2:$R$327,"landmark"))</x:f>
        <x:v>·</x:v>
      </x:c>
      <x:c r="F6" s="85" t="str">
        <x:f>IF(COUNTIFS('Master Timeline'!$C$2:$C$327,2023,'Master Timeline'!$D$2:$D$327,"Q3",'Master Timeline'!$F$2:$F$327,"chatgpt_core")=0,"·",$B6&amp;COUNTIFS('Master Timeline'!$C$2:$C$327,2023,'Master Timeline'!$D$2:$D$327,"Q3",'Master Timeline'!$F$2:$F$327,"chatgpt_core")&amp;"★"&amp;COUNTIFS('Master Timeline'!$C$2:$C$327,2023,'Master Timeline'!$D$2:$D$327,"Q3",'Master Timeline'!$F$2:$F$327,"chatgpt_core",'Master Timeline'!$R$2:$R$327,"landmark"))</x:f>
        <x:v>·</x:v>
      </x:c>
      <x:c r="G6" s="85" t="str">
        <x:f>IF(COUNTIFS('Master Timeline'!$C$2:$C$327,2023,'Master Timeline'!$D$2:$D$327,"Q4",'Master Timeline'!$F$2:$F$327,"chatgpt_core")=0,"·",$B6&amp;COUNTIFS('Master Timeline'!$C$2:$C$327,2023,'Master Timeline'!$D$2:$D$327,"Q4",'Master Timeline'!$F$2:$F$327,"chatgpt_core")&amp;"★"&amp;COUNTIFS('Master Timeline'!$C$2:$C$327,2023,'Master Timeline'!$D$2:$D$327,"Q4",'Master Timeline'!$F$2:$F$327,"chatgpt_core",'Master Timeline'!$R$2:$R$327,"landmark"))</x:f>
        <x:v>·</x:v>
      </x:c>
      <x:c r="H6" s="85" t="str">
        <x:f>IF(COUNTIFS('Master Timeline'!$C$2:$C$327,2024,'Master Timeline'!$D$2:$D$327,"Q1",'Master Timeline'!$F$2:$F$327,"chatgpt_core")=0,"·",$B6&amp;COUNTIFS('Master Timeline'!$C$2:$C$327,2024,'Master Timeline'!$D$2:$D$327,"Q1",'Master Timeline'!$F$2:$F$327,"chatgpt_core")&amp;"★"&amp;COUNTIFS('Master Timeline'!$C$2:$C$327,2024,'Master Timeline'!$D$2:$D$327,"Q1",'Master Timeline'!$F$2:$F$327,"chatgpt_core",'Master Timeline'!$R$2:$R$327,"landmark"))</x:f>
        <x:v>·</x:v>
      </x:c>
      <x:c r="I6" s="85" t="str">
        <x:f>IF(COUNTIFS('Master Timeline'!$C$2:$C$327,2024,'Master Timeline'!$D$2:$D$327,"Q2",'Master Timeline'!$F$2:$F$327,"chatgpt_core")=0,"·",$B6&amp;COUNTIFS('Master Timeline'!$C$2:$C$327,2024,'Master Timeline'!$D$2:$D$327,"Q2",'Master Timeline'!$F$2:$F$327,"chatgpt_core")&amp;"★"&amp;COUNTIFS('Master Timeline'!$C$2:$C$327,2024,'Master Timeline'!$D$2:$D$327,"Q2",'Master Timeline'!$F$2:$F$327,"chatgpt_core",'Master Timeline'!$R$2:$R$327,"landmark"))</x:f>
        <x:v>@1★0</x:v>
      </x:c>
      <x:c r="J6" s="85" t="str">
        <x:f>IF(COUNTIFS('Master Timeline'!$C$2:$C$327,2024,'Master Timeline'!$D$2:$D$327,"Q3",'Master Timeline'!$F$2:$F$327,"chatgpt_core")=0,"·",$B6&amp;COUNTIFS('Master Timeline'!$C$2:$C$327,2024,'Master Timeline'!$D$2:$D$327,"Q3",'Master Timeline'!$F$2:$F$327,"chatgpt_core")&amp;"★"&amp;COUNTIFS('Master Timeline'!$C$2:$C$327,2024,'Master Timeline'!$D$2:$D$327,"Q3",'Master Timeline'!$F$2:$F$327,"chatgpt_core",'Master Timeline'!$R$2:$R$327,"landmark"))</x:f>
        <x:v>·</x:v>
      </x:c>
      <x:c r="K6" s="85" t="str">
        <x:f>IF(COUNTIFS('Master Timeline'!$C$2:$C$327,2024,'Master Timeline'!$D$2:$D$327,"Q4",'Master Timeline'!$F$2:$F$327,"chatgpt_core")=0,"·",$B6&amp;COUNTIFS('Master Timeline'!$C$2:$C$327,2024,'Master Timeline'!$D$2:$D$327,"Q4",'Master Timeline'!$F$2:$F$327,"chatgpt_core")&amp;"★"&amp;COUNTIFS('Master Timeline'!$C$2:$C$327,2024,'Master Timeline'!$D$2:$D$327,"Q4",'Master Timeline'!$F$2:$F$327,"chatgpt_core",'Master Timeline'!$R$2:$R$327,"landmark"))</x:f>
        <x:v>@2★1</x:v>
      </x:c>
      <x:c r="L6" s="85" t="str">
        <x:f>IF(COUNTIFS('Master Timeline'!$C$2:$C$327,2025,'Master Timeline'!$D$2:$D$327,"Q1",'Master Timeline'!$F$2:$F$327,"chatgpt_core")=0,"·",$B6&amp;COUNTIFS('Master Timeline'!$C$2:$C$327,2025,'Master Timeline'!$D$2:$D$327,"Q1",'Master Timeline'!$F$2:$F$327,"chatgpt_core")&amp;"★"&amp;COUNTIFS('Master Timeline'!$C$2:$C$327,2025,'Master Timeline'!$D$2:$D$327,"Q1",'Master Timeline'!$F$2:$F$327,"chatgpt_core",'Master Timeline'!$R$2:$R$327,"landmark"))</x:f>
        <x:v>@2★0</x:v>
      </x:c>
      <x:c r="M6" s="85" t="str">
        <x:f>IF(COUNTIFS('Master Timeline'!$C$2:$C$327,2025,'Master Timeline'!$D$2:$D$327,"Q2",'Master Timeline'!$F$2:$F$327,"chatgpt_core")=0,"·",$B6&amp;COUNTIFS('Master Timeline'!$C$2:$C$327,2025,'Master Timeline'!$D$2:$D$327,"Q2",'Master Timeline'!$F$2:$F$327,"chatgpt_core")&amp;"★"&amp;COUNTIFS('Master Timeline'!$C$2:$C$327,2025,'Master Timeline'!$D$2:$D$327,"Q2",'Master Timeline'!$F$2:$F$327,"chatgpt_core",'Master Timeline'!$R$2:$R$327,"landmark"))</x:f>
        <x:v>@1★0</x:v>
      </x:c>
      <x:c r="N6" s="85" t="str">
        <x:f>IF(COUNTIFS('Master Timeline'!$C$2:$C$327,2025,'Master Timeline'!$D$2:$D$327,"Q3",'Master Timeline'!$F$2:$F$327,"chatgpt_core")=0,"·",$B6&amp;COUNTIFS('Master Timeline'!$C$2:$C$327,2025,'Master Timeline'!$D$2:$D$327,"Q3",'Master Timeline'!$F$2:$F$327,"chatgpt_core")&amp;"★"&amp;COUNTIFS('Master Timeline'!$C$2:$C$327,2025,'Master Timeline'!$D$2:$D$327,"Q3",'Master Timeline'!$F$2:$F$327,"chatgpt_core",'Master Timeline'!$R$2:$R$327,"landmark"))</x:f>
        <x:v>@3★1</x:v>
      </x:c>
      <x:c r="O6" s="85" t="str">
        <x:f>IF(COUNTIFS('Master Timeline'!$C$2:$C$327,2025,'Master Timeline'!$D$2:$D$327,"Q4",'Master Timeline'!$F$2:$F$327,"chatgpt_core")=0,"·",$B6&amp;COUNTIFS('Master Timeline'!$C$2:$C$327,2025,'Master Timeline'!$D$2:$D$327,"Q4",'Master Timeline'!$F$2:$F$327,"chatgpt_core")&amp;"★"&amp;COUNTIFS('Master Timeline'!$C$2:$C$327,2025,'Master Timeline'!$D$2:$D$327,"Q4",'Master Timeline'!$F$2:$F$327,"chatgpt_core",'Master Timeline'!$R$2:$R$327,"landmark"))</x:f>
        <x:v>@6★1</x:v>
      </x:c>
      <x:c r="P6" s="85" t="str">
        <x:f>IF(COUNTIFS('Master Timeline'!$C$2:$C$327,2026,'Master Timeline'!$D$2:$D$327,"Q1",'Master Timeline'!$F$2:$F$327,"chatgpt_core")=0,"·",$B6&amp;COUNTIFS('Master Timeline'!$C$2:$C$327,2026,'Master Timeline'!$D$2:$D$327,"Q1",'Master Timeline'!$F$2:$F$327,"chatgpt_core")&amp;"★"&amp;COUNTIFS('Master Timeline'!$C$2:$C$327,2026,'Master Timeline'!$D$2:$D$327,"Q1",'Master Timeline'!$F$2:$F$327,"chatgpt_core",'Master Timeline'!$R$2:$R$327,"landmark"))</x:f>
        <x:v>@1★0</x:v>
      </x:c>
      <x:c r="Q6" s="85" t="str">
        <x:f>IF(COUNTIFS('Master Timeline'!$C$2:$C$327,2026,'Master Timeline'!$D$2:$D$327,"Q2",'Master Timeline'!$F$2:$F$327,"chatgpt_core")=0,"·",$B6&amp;COUNTIFS('Master Timeline'!$C$2:$C$327,2026,'Master Timeline'!$D$2:$D$327,"Q2",'Master Timeline'!$F$2:$F$327,"chatgpt_core")&amp;"★"&amp;COUNTIFS('Master Timeline'!$C$2:$C$327,2026,'Master Timeline'!$D$2:$D$327,"Q2",'Master Timeline'!$F$2:$F$327,"chatgpt_core",'Master Timeline'!$R$2:$R$327,"landmark"))</x:f>
        <x:v>@1★0</x:v>
      </x:c>
      <x:c r="R6" s="86" t="str">
        <x:f>IF(COUNTIFS('Master Timeline'!$C$2:$C$327,2026,'Master Timeline'!$D$2:$D$327,"Q3",'Master Timeline'!$F$2:$F$327,"chatgpt_core")=0,"·",$B6&amp;COUNTIFS('Master Timeline'!$C$2:$C$327,2026,'Master Timeline'!$D$2:$D$327,"Q3",'Master Timeline'!$F$2:$F$327,"chatgpt_core")&amp;"★"&amp;COUNTIFS('Master Timeline'!$C$2:$C$327,2026,'Master Timeline'!$D$2:$D$327,"Q3",'Master Timeline'!$F$2:$F$327,"chatgpt_core",'Master Timeline'!$R$2:$R$327,"landmark"))</x:f>
        <x:v>·</x:v>
      </x:c>
    </x:row>
    <x:row r="7" ht="31" customHeight="1">
      <x:c r="A7" s="94" t="str">
        <x:v>Model Mountains</x:v>
      </x:c>
      <x:c r="B7" s="100" t="str">
        <x:v>^</x:v>
      </x:c>
      <x:c r="C7" s="88" t="str">
        <x:f>IF(COUNTIFS('Master Timeline'!$C$2:$C$327,2022,'Master Timeline'!$D$2:$D$327,"Q4",'Master Timeline'!$F$2:$F$327,"models_reasoning")=0,"·",$B7&amp;COUNTIFS('Master Timeline'!$C$2:$C$327,2022,'Master Timeline'!$D$2:$D$327,"Q4",'Master Timeline'!$F$2:$F$327,"models_reasoning")&amp;"★"&amp;COUNTIFS('Master Timeline'!$C$2:$C$327,2022,'Master Timeline'!$D$2:$D$327,"Q4",'Master Timeline'!$F$2:$F$327,"models_reasoning",'Master Timeline'!$R$2:$R$327,"landmark"))</x:f>
        <x:v>^1★0</x:v>
      </x:c>
      <x:c r="D7" s="88" t="str">
        <x:f>IF(COUNTIFS('Master Timeline'!$C$2:$C$327,2023,'Master Timeline'!$D$2:$D$327,"Q1",'Master Timeline'!$F$2:$F$327,"models_reasoning")=0,"·",$B7&amp;COUNTIFS('Master Timeline'!$C$2:$C$327,2023,'Master Timeline'!$D$2:$D$327,"Q1",'Master Timeline'!$F$2:$F$327,"models_reasoning")&amp;"★"&amp;COUNTIFS('Master Timeline'!$C$2:$C$327,2023,'Master Timeline'!$D$2:$D$327,"Q1",'Master Timeline'!$F$2:$F$327,"models_reasoning",'Master Timeline'!$R$2:$R$327,"landmark"))</x:f>
        <x:v>^2★1</x:v>
      </x:c>
      <x:c r="E7" s="88" t="str">
        <x:f>IF(COUNTIFS('Master Timeline'!$C$2:$C$327,2023,'Master Timeline'!$D$2:$D$327,"Q2",'Master Timeline'!$F$2:$F$327,"models_reasoning")=0,"·",$B7&amp;COUNTIFS('Master Timeline'!$C$2:$C$327,2023,'Master Timeline'!$D$2:$D$327,"Q2",'Master Timeline'!$F$2:$F$327,"models_reasoning")&amp;"★"&amp;COUNTIFS('Master Timeline'!$C$2:$C$327,2023,'Master Timeline'!$D$2:$D$327,"Q2",'Master Timeline'!$F$2:$F$327,"models_reasoning",'Master Timeline'!$R$2:$R$327,"landmark"))</x:f>
        <x:v>·</x:v>
      </x:c>
      <x:c r="F7" s="88" t="str">
        <x:f>IF(COUNTIFS('Master Timeline'!$C$2:$C$327,2023,'Master Timeline'!$D$2:$D$327,"Q3",'Master Timeline'!$F$2:$F$327,"models_reasoning")=0,"·",$B7&amp;COUNTIFS('Master Timeline'!$C$2:$C$327,2023,'Master Timeline'!$D$2:$D$327,"Q3",'Master Timeline'!$F$2:$F$327,"models_reasoning")&amp;"★"&amp;COUNTIFS('Master Timeline'!$C$2:$C$327,2023,'Master Timeline'!$D$2:$D$327,"Q3",'Master Timeline'!$F$2:$F$327,"models_reasoning",'Master Timeline'!$R$2:$R$327,"landmark"))</x:f>
        <x:v>^2★0</x:v>
      </x:c>
      <x:c r="G7" s="88" t="str">
        <x:f>IF(COUNTIFS('Master Timeline'!$C$2:$C$327,2023,'Master Timeline'!$D$2:$D$327,"Q4",'Master Timeline'!$F$2:$F$327,"models_reasoning")=0,"·",$B7&amp;COUNTIFS('Master Timeline'!$C$2:$C$327,2023,'Master Timeline'!$D$2:$D$327,"Q4",'Master Timeline'!$F$2:$F$327,"models_reasoning")&amp;"★"&amp;COUNTIFS('Master Timeline'!$C$2:$C$327,2023,'Master Timeline'!$D$2:$D$327,"Q4",'Master Timeline'!$F$2:$F$327,"models_reasoning",'Master Timeline'!$R$2:$R$327,"landmark"))</x:f>
        <x:v>^1★1</x:v>
      </x:c>
      <x:c r="H7" s="88" t="str">
        <x:f>IF(COUNTIFS('Master Timeline'!$C$2:$C$327,2024,'Master Timeline'!$D$2:$D$327,"Q1",'Master Timeline'!$F$2:$F$327,"models_reasoning")=0,"·",$B7&amp;COUNTIFS('Master Timeline'!$C$2:$C$327,2024,'Master Timeline'!$D$2:$D$327,"Q1",'Master Timeline'!$F$2:$F$327,"models_reasoning")&amp;"★"&amp;COUNTIFS('Master Timeline'!$C$2:$C$327,2024,'Master Timeline'!$D$2:$D$327,"Q1",'Master Timeline'!$F$2:$F$327,"models_reasoning",'Master Timeline'!$R$2:$R$327,"landmark"))</x:f>
        <x:v>^2★0</x:v>
      </x:c>
      <x:c r="I7" s="88" t="str">
        <x:f>IF(COUNTIFS('Master Timeline'!$C$2:$C$327,2024,'Master Timeline'!$D$2:$D$327,"Q2",'Master Timeline'!$F$2:$F$327,"models_reasoning")=0,"·",$B7&amp;COUNTIFS('Master Timeline'!$C$2:$C$327,2024,'Master Timeline'!$D$2:$D$327,"Q2",'Master Timeline'!$F$2:$F$327,"models_reasoning")&amp;"★"&amp;COUNTIFS('Master Timeline'!$C$2:$C$327,2024,'Master Timeline'!$D$2:$D$327,"Q2",'Master Timeline'!$F$2:$F$327,"models_reasoning",'Master Timeline'!$R$2:$R$327,"landmark"))</x:f>
        <x:v>^3★1</x:v>
      </x:c>
      <x:c r="J7" s="88" t="str">
        <x:f>IF(COUNTIFS('Master Timeline'!$C$2:$C$327,2024,'Master Timeline'!$D$2:$D$327,"Q3",'Master Timeline'!$F$2:$F$327,"models_reasoning")=0,"·",$B7&amp;COUNTIFS('Master Timeline'!$C$2:$C$327,2024,'Master Timeline'!$D$2:$D$327,"Q3",'Master Timeline'!$F$2:$F$327,"models_reasoning")&amp;"★"&amp;COUNTIFS('Master Timeline'!$C$2:$C$327,2024,'Master Timeline'!$D$2:$D$327,"Q3",'Master Timeline'!$F$2:$F$327,"models_reasoning",'Master Timeline'!$R$2:$R$327,"landmark"))</x:f>
        <x:v>^6★1</x:v>
      </x:c>
      <x:c r="K7" s="88" t="str">
        <x:f>IF(COUNTIFS('Master Timeline'!$C$2:$C$327,2024,'Master Timeline'!$D$2:$D$327,"Q4",'Master Timeline'!$F$2:$F$327,"models_reasoning")=0,"·",$B7&amp;COUNTIFS('Master Timeline'!$C$2:$C$327,2024,'Master Timeline'!$D$2:$D$327,"Q4",'Master Timeline'!$F$2:$F$327,"models_reasoning")&amp;"★"&amp;COUNTIFS('Master Timeline'!$C$2:$C$327,2024,'Master Timeline'!$D$2:$D$327,"Q4",'Master Timeline'!$F$2:$F$327,"models_reasoning",'Master Timeline'!$R$2:$R$327,"landmark"))</x:f>
        <x:v>^4★0</x:v>
      </x:c>
      <x:c r="L7" s="88" t="str">
        <x:f>IF(COUNTIFS('Master Timeline'!$C$2:$C$327,2025,'Master Timeline'!$D$2:$D$327,"Q1",'Master Timeline'!$F$2:$F$327,"models_reasoning")=0,"·",$B7&amp;COUNTIFS('Master Timeline'!$C$2:$C$327,2025,'Master Timeline'!$D$2:$D$327,"Q1",'Master Timeline'!$F$2:$F$327,"models_reasoning")&amp;"★"&amp;COUNTIFS('Master Timeline'!$C$2:$C$327,2025,'Master Timeline'!$D$2:$D$327,"Q1",'Master Timeline'!$F$2:$F$327,"models_reasoning",'Master Timeline'!$R$2:$R$327,"landmark"))</x:f>
        <x:v>^2★0</x:v>
      </x:c>
      <x:c r="M7" s="88" t="str">
        <x:f>IF(COUNTIFS('Master Timeline'!$C$2:$C$327,2025,'Master Timeline'!$D$2:$D$327,"Q2",'Master Timeline'!$F$2:$F$327,"models_reasoning")=0,"·",$B7&amp;COUNTIFS('Master Timeline'!$C$2:$C$327,2025,'Master Timeline'!$D$2:$D$327,"Q2",'Master Timeline'!$F$2:$F$327,"models_reasoning")&amp;"★"&amp;COUNTIFS('Master Timeline'!$C$2:$C$327,2025,'Master Timeline'!$D$2:$D$327,"Q2",'Master Timeline'!$F$2:$F$327,"models_reasoning",'Master Timeline'!$R$2:$R$327,"landmark"))</x:f>
        <x:v>^8★2</x:v>
      </x:c>
      <x:c r="N7" s="88" t="str">
        <x:f>IF(COUNTIFS('Master Timeline'!$C$2:$C$327,2025,'Master Timeline'!$D$2:$D$327,"Q3",'Master Timeline'!$F$2:$F$327,"models_reasoning")=0,"·",$B7&amp;COUNTIFS('Master Timeline'!$C$2:$C$327,2025,'Master Timeline'!$D$2:$D$327,"Q3",'Master Timeline'!$F$2:$F$327,"models_reasoning")&amp;"★"&amp;COUNTIFS('Master Timeline'!$C$2:$C$327,2025,'Master Timeline'!$D$2:$D$327,"Q3",'Master Timeline'!$F$2:$F$327,"models_reasoning",'Master Timeline'!$R$2:$R$327,"landmark"))</x:f>
        <x:v>^6★2</x:v>
      </x:c>
      <x:c r="O7" s="88" t="str">
        <x:f>IF(COUNTIFS('Master Timeline'!$C$2:$C$327,2025,'Master Timeline'!$D$2:$D$327,"Q4",'Master Timeline'!$F$2:$F$327,"models_reasoning")=0,"·",$B7&amp;COUNTIFS('Master Timeline'!$C$2:$C$327,2025,'Master Timeline'!$D$2:$D$327,"Q4",'Master Timeline'!$F$2:$F$327,"models_reasoning")&amp;"★"&amp;COUNTIFS('Master Timeline'!$C$2:$C$327,2025,'Master Timeline'!$D$2:$D$327,"Q4",'Master Timeline'!$F$2:$F$327,"models_reasoning",'Master Timeline'!$R$2:$R$327,"landmark"))</x:f>
        <x:v>^6★3</x:v>
      </x:c>
      <x:c r="P7" s="88" t="str">
        <x:f>IF(COUNTIFS('Master Timeline'!$C$2:$C$327,2026,'Master Timeline'!$D$2:$D$327,"Q1",'Master Timeline'!$F$2:$F$327,"models_reasoning")=0,"·",$B7&amp;COUNTIFS('Master Timeline'!$C$2:$C$327,2026,'Master Timeline'!$D$2:$D$327,"Q1",'Master Timeline'!$F$2:$F$327,"models_reasoning")&amp;"★"&amp;COUNTIFS('Master Timeline'!$C$2:$C$327,2026,'Master Timeline'!$D$2:$D$327,"Q1",'Master Timeline'!$F$2:$F$327,"models_reasoning",'Master Timeline'!$R$2:$R$327,"landmark"))</x:f>
        <x:v>^12★4</x:v>
      </x:c>
      <x:c r="Q7" s="88" t="str">
        <x:f>IF(COUNTIFS('Master Timeline'!$C$2:$C$327,2026,'Master Timeline'!$D$2:$D$327,"Q2",'Master Timeline'!$F$2:$F$327,"models_reasoning")=0,"·",$B7&amp;COUNTIFS('Master Timeline'!$C$2:$C$327,2026,'Master Timeline'!$D$2:$D$327,"Q2",'Master Timeline'!$F$2:$F$327,"models_reasoning")&amp;"★"&amp;COUNTIFS('Master Timeline'!$C$2:$C$327,2026,'Master Timeline'!$D$2:$D$327,"Q2",'Master Timeline'!$F$2:$F$327,"models_reasoning",'Master Timeline'!$R$2:$R$327,"landmark"))</x:f>
        <x:v>^11★6</x:v>
      </x:c>
      <x:c r="R7" s="89" t="str">
        <x:f>IF(COUNTIFS('Master Timeline'!$C$2:$C$327,2026,'Master Timeline'!$D$2:$D$327,"Q3",'Master Timeline'!$F$2:$F$327,"models_reasoning")=0,"·",$B7&amp;COUNTIFS('Master Timeline'!$C$2:$C$327,2026,'Master Timeline'!$D$2:$D$327,"Q3",'Master Timeline'!$F$2:$F$327,"models_reasoning")&amp;"★"&amp;COUNTIFS('Master Timeline'!$C$2:$C$327,2026,'Master Timeline'!$D$2:$D$327,"Q3",'Master Timeline'!$F$2:$F$327,"models_reasoning",'Master Timeline'!$R$2:$R$327,"landmark"))</x:f>
        <x:v>^3★3</x:v>
      </x:c>
    </x:row>
    <x:row r="8" ht="31" customHeight="1">
      <x:c r="A8" s="94" t="str">
        <x:v>Agentic Frontier</x:v>
      </x:c>
      <x:c r="B8" s="100" t="str">
        <x:v>&gt;</x:v>
      </x:c>
      <x:c r="C8" s="88" t="str">
        <x:f>IF(COUNTIFS('Master Timeline'!$C$2:$C$327,2022,'Master Timeline'!$D$2:$D$327,"Q4",'Master Timeline'!$F$2:$F$327,"agents_research")=0,"·",$B8&amp;COUNTIFS('Master Timeline'!$C$2:$C$327,2022,'Master Timeline'!$D$2:$D$327,"Q4",'Master Timeline'!$F$2:$F$327,"agents_research")&amp;"★"&amp;COUNTIFS('Master Timeline'!$C$2:$C$327,2022,'Master Timeline'!$D$2:$D$327,"Q4",'Master Timeline'!$F$2:$F$327,"agents_research",'Master Timeline'!$R$2:$R$327,"landmark"))</x:f>
        <x:v>·</x:v>
      </x:c>
      <x:c r="D8" s="88" t="str">
        <x:f>IF(COUNTIFS('Master Timeline'!$C$2:$C$327,2023,'Master Timeline'!$D$2:$D$327,"Q1",'Master Timeline'!$F$2:$F$327,"agents_research")=0,"·",$B8&amp;COUNTIFS('Master Timeline'!$C$2:$C$327,2023,'Master Timeline'!$D$2:$D$327,"Q1",'Master Timeline'!$F$2:$F$327,"agents_research")&amp;"★"&amp;COUNTIFS('Master Timeline'!$C$2:$C$327,2023,'Master Timeline'!$D$2:$D$327,"Q1",'Master Timeline'!$F$2:$F$327,"agents_research",'Master Timeline'!$R$2:$R$327,"landmark"))</x:f>
        <x:v>·</x:v>
      </x:c>
      <x:c r="E8" s="88" t="str">
        <x:f>IF(COUNTIFS('Master Timeline'!$C$2:$C$327,2023,'Master Timeline'!$D$2:$D$327,"Q2",'Master Timeline'!$F$2:$F$327,"agents_research")=0,"·",$B8&amp;COUNTIFS('Master Timeline'!$C$2:$C$327,2023,'Master Timeline'!$D$2:$D$327,"Q2",'Master Timeline'!$F$2:$F$327,"agents_research")&amp;"★"&amp;COUNTIFS('Master Timeline'!$C$2:$C$327,2023,'Master Timeline'!$D$2:$D$327,"Q2",'Master Timeline'!$F$2:$F$327,"agents_research",'Master Timeline'!$R$2:$R$327,"landmark"))</x:f>
        <x:v>·</x:v>
      </x:c>
      <x:c r="F8" s="88" t="str">
        <x:f>IF(COUNTIFS('Master Timeline'!$C$2:$C$327,2023,'Master Timeline'!$D$2:$D$327,"Q3",'Master Timeline'!$F$2:$F$327,"agents_research")=0,"·",$B8&amp;COUNTIFS('Master Timeline'!$C$2:$C$327,2023,'Master Timeline'!$D$2:$D$327,"Q3",'Master Timeline'!$F$2:$F$327,"agents_research")&amp;"★"&amp;COUNTIFS('Master Timeline'!$C$2:$C$327,2023,'Master Timeline'!$D$2:$D$327,"Q3",'Master Timeline'!$F$2:$F$327,"agents_research",'Master Timeline'!$R$2:$R$327,"landmark"))</x:f>
        <x:v>·</x:v>
      </x:c>
      <x:c r="G8" s="88" t="str">
        <x:f>IF(COUNTIFS('Master Timeline'!$C$2:$C$327,2023,'Master Timeline'!$D$2:$D$327,"Q4",'Master Timeline'!$F$2:$F$327,"agents_research")=0,"·",$B8&amp;COUNTIFS('Master Timeline'!$C$2:$C$327,2023,'Master Timeline'!$D$2:$D$327,"Q4",'Master Timeline'!$F$2:$F$327,"agents_research")&amp;"★"&amp;COUNTIFS('Master Timeline'!$C$2:$C$327,2023,'Master Timeline'!$D$2:$D$327,"Q4",'Master Timeline'!$F$2:$F$327,"agents_research",'Master Timeline'!$R$2:$R$327,"landmark"))</x:f>
        <x:v>·</x:v>
      </x:c>
      <x:c r="H8" s="88" t="str">
        <x:f>IF(COUNTIFS('Master Timeline'!$C$2:$C$327,2024,'Master Timeline'!$D$2:$D$327,"Q1",'Master Timeline'!$F$2:$F$327,"agents_research")=0,"·",$B8&amp;COUNTIFS('Master Timeline'!$C$2:$C$327,2024,'Master Timeline'!$D$2:$D$327,"Q1",'Master Timeline'!$F$2:$F$327,"agents_research")&amp;"★"&amp;COUNTIFS('Master Timeline'!$C$2:$C$327,2024,'Master Timeline'!$D$2:$D$327,"Q1",'Master Timeline'!$F$2:$F$327,"agents_research",'Master Timeline'!$R$2:$R$327,"landmark"))</x:f>
        <x:v>·</x:v>
      </x:c>
      <x:c r="I8" s="88" t="str">
        <x:f>IF(COUNTIFS('Master Timeline'!$C$2:$C$327,2024,'Master Timeline'!$D$2:$D$327,"Q2",'Master Timeline'!$F$2:$F$327,"agents_research")=0,"·",$B8&amp;COUNTIFS('Master Timeline'!$C$2:$C$327,2024,'Master Timeline'!$D$2:$D$327,"Q2",'Master Timeline'!$F$2:$F$327,"agents_research")&amp;"★"&amp;COUNTIFS('Master Timeline'!$C$2:$C$327,2024,'Master Timeline'!$D$2:$D$327,"Q2",'Master Timeline'!$F$2:$F$327,"agents_research",'Master Timeline'!$R$2:$R$327,"landmark"))</x:f>
        <x:v>·</x:v>
      </x:c>
      <x:c r="J8" s="88" t="str">
        <x:f>IF(COUNTIFS('Master Timeline'!$C$2:$C$327,2024,'Master Timeline'!$D$2:$D$327,"Q3",'Master Timeline'!$F$2:$F$327,"agents_research")=0,"·",$B8&amp;COUNTIFS('Master Timeline'!$C$2:$C$327,2024,'Master Timeline'!$D$2:$D$327,"Q3",'Master Timeline'!$F$2:$F$327,"agents_research")&amp;"★"&amp;COUNTIFS('Master Timeline'!$C$2:$C$327,2024,'Master Timeline'!$D$2:$D$327,"Q3",'Master Timeline'!$F$2:$F$327,"agents_research",'Master Timeline'!$R$2:$R$327,"landmark"))</x:f>
        <x:v>·</x:v>
      </x:c>
      <x:c r="K8" s="88" t="str">
        <x:f>IF(COUNTIFS('Master Timeline'!$C$2:$C$327,2024,'Master Timeline'!$D$2:$D$327,"Q4",'Master Timeline'!$F$2:$F$327,"agents_research")=0,"·",$B8&amp;COUNTIFS('Master Timeline'!$C$2:$C$327,2024,'Master Timeline'!$D$2:$D$327,"Q4",'Master Timeline'!$F$2:$F$327,"agents_research")&amp;"★"&amp;COUNTIFS('Master Timeline'!$C$2:$C$327,2024,'Master Timeline'!$D$2:$D$327,"Q4",'Master Timeline'!$F$2:$F$327,"agents_research",'Master Timeline'!$R$2:$R$327,"landmark"))</x:f>
        <x:v>·</x:v>
      </x:c>
      <x:c r="L8" s="88" t="str">
        <x:f>IF(COUNTIFS('Master Timeline'!$C$2:$C$327,2025,'Master Timeline'!$D$2:$D$327,"Q1",'Master Timeline'!$F$2:$F$327,"agents_research")=0,"·",$B8&amp;COUNTIFS('Master Timeline'!$C$2:$C$327,2025,'Master Timeline'!$D$2:$D$327,"Q1",'Master Timeline'!$F$2:$F$327,"agents_research")&amp;"★"&amp;COUNTIFS('Master Timeline'!$C$2:$C$327,2025,'Master Timeline'!$D$2:$D$327,"Q1",'Master Timeline'!$F$2:$F$327,"agents_research",'Master Timeline'!$R$2:$R$327,"landmark"))</x:f>
        <x:v>&gt;4★2</x:v>
      </x:c>
      <x:c r="M8" s="88" t="str">
        <x:f>IF(COUNTIFS('Master Timeline'!$C$2:$C$327,2025,'Master Timeline'!$D$2:$D$327,"Q2",'Master Timeline'!$F$2:$F$327,"agents_research")=0,"·",$B8&amp;COUNTIFS('Master Timeline'!$C$2:$C$327,2025,'Master Timeline'!$D$2:$D$327,"Q2",'Master Timeline'!$F$2:$F$327,"agents_research")&amp;"★"&amp;COUNTIFS('Master Timeline'!$C$2:$C$327,2025,'Master Timeline'!$D$2:$D$327,"Q2",'Master Timeline'!$F$2:$F$327,"agents_research",'Master Timeline'!$R$2:$R$327,"landmark"))</x:f>
        <x:v>&gt;10★1</x:v>
      </x:c>
      <x:c r="N8" s="88" t="str">
        <x:f>IF(COUNTIFS('Master Timeline'!$C$2:$C$327,2025,'Master Timeline'!$D$2:$D$327,"Q3",'Master Timeline'!$F$2:$F$327,"agents_research")=0,"·",$B8&amp;COUNTIFS('Master Timeline'!$C$2:$C$327,2025,'Master Timeline'!$D$2:$D$327,"Q3",'Master Timeline'!$F$2:$F$327,"agents_research")&amp;"★"&amp;COUNTIFS('Master Timeline'!$C$2:$C$327,2025,'Master Timeline'!$D$2:$D$327,"Q3",'Master Timeline'!$F$2:$F$327,"agents_research",'Master Timeline'!$R$2:$R$327,"landmark"))</x:f>
        <x:v>&gt;8★4</x:v>
      </x:c>
      <x:c r="O8" s="88" t="str">
        <x:f>IF(COUNTIFS('Master Timeline'!$C$2:$C$327,2025,'Master Timeline'!$D$2:$D$327,"Q4",'Master Timeline'!$F$2:$F$327,"agents_research")=0,"·",$B8&amp;COUNTIFS('Master Timeline'!$C$2:$C$327,2025,'Master Timeline'!$D$2:$D$327,"Q4",'Master Timeline'!$F$2:$F$327,"agents_research")&amp;"★"&amp;COUNTIFS('Master Timeline'!$C$2:$C$327,2025,'Master Timeline'!$D$2:$D$327,"Q4",'Master Timeline'!$F$2:$F$327,"agents_research",'Master Timeline'!$R$2:$R$327,"landmark"))</x:f>
        <x:v>&gt;12★6</x:v>
      </x:c>
      <x:c r="P8" s="88" t="str">
        <x:f>IF(COUNTIFS('Master Timeline'!$C$2:$C$327,2026,'Master Timeline'!$D$2:$D$327,"Q1",'Master Timeline'!$F$2:$F$327,"agents_research")=0,"·",$B8&amp;COUNTIFS('Master Timeline'!$C$2:$C$327,2026,'Master Timeline'!$D$2:$D$327,"Q1",'Master Timeline'!$F$2:$F$327,"agents_research")&amp;"★"&amp;COUNTIFS('Master Timeline'!$C$2:$C$327,2026,'Master Timeline'!$D$2:$D$327,"Q1",'Master Timeline'!$F$2:$F$327,"agents_research",'Master Timeline'!$R$2:$R$327,"landmark"))</x:f>
        <x:v>&gt;14★5</x:v>
      </x:c>
      <x:c r="Q8" s="88" t="str">
        <x:f>IF(COUNTIFS('Master Timeline'!$C$2:$C$327,2026,'Master Timeline'!$D$2:$D$327,"Q2",'Master Timeline'!$F$2:$F$327,"agents_research")=0,"·",$B8&amp;COUNTIFS('Master Timeline'!$C$2:$C$327,2026,'Master Timeline'!$D$2:$D$327,"Q2",'Master Timeline'!$F$2:$F$327,"agents_research")&amp;"★"&amp;COUNTIFS('Master Timeline'!$C$2:$C$327,2026,'Master Timeline'!$D$2:$D$327,"Q2",'Master Timeline'!$F$2:$F$327,"agents_research",'Master Timeline'!$R$2:$R$327,"landmark"))</x:f>
        <x:v>&gt;15★3</x:v>
      </x:c>
      <x:c r="R8" s="89" t="str">
        <x:f>IF(COUNTIFS('Master Timeline'!$C$2:$C$327,2026,'Master Timeline'!$D$2:$D$327,"Q3",'Master Timeline'!$F$2:$F$327,"agents_research")=0,"·",$B8&amp;COUNTIFS('Master Timeline'!$C$2:$C$327,2026,'Master Timeline'!$D$2:$D$327,"Q3",'Master Timeline'!$F$2:$F$327,"agents_research")&amp;"★"&amp;COUNTIFS('Master Timeline'!$C$2:$C$327,2026,'Master Timeline'!$D$2:$D$327,"Q3",'Master Timeline'!$F$2:$F$327,"agents_research",'Master Timeline'!$R$2:$R$327,"landmark"))</x:f>
        <x:v>&gt;2★2</x:v>
      </x:c>
    </x:row>
    <x:row r="9" ht="31" customHeight="1">
      <x:c r="A9" s="94" t="str">
        <x:v>Toolsmith Harbor</x:v>
      </x:c>
      <x:c r="B9" s="100" t="str">
        <x:v>#</x:v>
      </x:c>
      <x:c r="C9" s="88" t="str">
        <x:f>IF(COUNTIFS('Master Timeline'!$C$2:$C$327,2022,'Master Timeline'!$D$2:$D$327,"Q4",'Master Timeline'!$F$2:$F$327,"developer_platform")=0,"·",COUNTIFS('Master Timeline'!$C$2:$C$327,2022,'Master Timeline'!$D$2:$D$327,"Q4",'Master Timeline'!$F$2:$F$327,"developer_platform")&amp;"#★"&amp;COUNTIFS('Master Timeline'!$C$2:$C$327,2022,'Master Timeline'!$D$2:$D$327,"Q4",'Master Timeline'!$F$2:$F$327,"developer_platform",'Master Timeline'!$R$2:$R$327,"landmark"))</x:f>
        <x:v>·</x:v>
      </x:c>
      <x:c r="D9" s="88" t="str">
        <x:f>IF(COUNTIFS('Master Timeline'!$C$2:$C$327,2023,'Master Timeline'!$D$2:$D$327,"Q1",'Master Timeline'!$F$2:$F$327,"developer_platform")=0,"·",COUNTIFS('Master Timeline'!$C$2:$C$327,2023,'Master Timeline'!$D$2:$D$327,"Q1",'Master Timeline'!$F$2:$F$327,"developer_platform")&amp;"#★"&amp;COUNTIFS('Master Timeline'!$C$2:$C$327,2023,'Master Timeline'!$D$2:$D$327,"Q1",'Master Timeline'!$F$2:$F$327,"developer_platform",'Master Timeline'!$R$2:$R$327,"landmark"))</x:f>
        <x:v>1#★0</x:v>
      </x:c>
      <x:c r="E9" s="88" t="str">
        <x:f>IF(COUNTIFS('Master Timeline'!$C$2:$C$327,2023,'Master Timeline'!$D$2:$D$327,"Q2",'Master Timeline'!$F$2:$F$327,"developer_platform")=0,"·",COUNTIFS('Master Timeline'!$C$2:$C$327,2023,'Master Timeline'!$D$2:$D$327,"Q2",'Master Timeline'!$F$2:$F$327,"developer_platform")&amp;"#★"&amp;COUNTIFS('Master Timeline'!$C$2:$C$327,2023,'Master Timeline'!$D$2:$D$327,"Q2",'Master Timeline'!$F$2:$F$327,"developer_platform",'Master Timeline'!$R$2:$R$327,"landmark"))</x:f>
        <x:v>2#★0</x:v>
      </x:c>
      <x:c r="F9" s="88" t="str">
        <x:f>IF(COUNTIFS('Master Timeline'!$C$2:$C$327,2023,'Master Timeline'!$D$2:$D$327,"Q3",'Master Timeline'!$F$2:$F$327,"developer_platform")=0,"·",COUNTIFS('Master Timeline'!$C$2:$C$327,2023,'Master Timeline'!$D$2:$D$327,"Q3",'Master Timeline'!$F$2:$F$327,"developer_platform")&amp;"#★"&amp;COUNTIFS('Master Timeline'!$C$2:$C$327,2023,'Master Timeline'!$D$2:$D$327,"Q3",'Master Timeline'!$F$2:$F$327,"developer_platform",'Master Timeline'!$R$2:$R$327,"landmark"))</x:f>
        <x:v>2#★0</x:v>
      </x:c>
      <x:c r="G9" s="88" t="str">
        <x:f>IF(COUNTIFS('Master Timeline'!$C$2:$C$327,2023,'Master Timeline'!$D$2:$D$327,"Q4",'Master Timeline'!$F$2:$F$327,"developer_platform")=0,"·",COUNTIFS('Master Timeline'!$C$2:$C$327,2023,'Master Timeline'!$D$2:$D$327,"Q4",'Master Timeline'!$F$2:$F$327,"developer_platform")&amp;"#★"&amp;COUNTIFS('Master Timeline'!$C$2:$C$327,2023,'Master Timeline'!$D$2:$D$327,"Q4",'Master Timeline'!$F$2:$F$327,"developer_platform",'Master Timeline'!$R$2:$R$327,"landmark"))</x:f>
        <x:v>·</x:v>
      </x:c>
      <x:c r="H9" s="88" t="str">
        <x:f>IF(COUNTIFS('Master Timeline'!$C$2:$C$327,2024,'Master Timeline'!$D$2:$D$327,"Q1",'Master Timeline'!$F$2:$F$327,"developer_platform")=0,"·",COUNTIFS('Master Timeline'!$C$2:$C$327,2024,'Master Timeline'!$D$2:$D$327,"Q1",'Master Timeline'!$F$2:$F$327,"developer_platform")&amp;"#★"&amp;COUNTIFS('Master Timeline'!$C$2:$C$327,2024,'Master Timeline'!$D$2:$D$327,"Q1",'Master Timeline'!$F$2:$F$327,"developer_platform",'Master Timeline'!$R$2:$R$327,"landmark"))</x:f>
        <x:v>1#★0</x:v>
      </x:c>
      <x:c r="I9" s="88" t="str">
        <x:f>IF(COUNTIFS('Master Timeline'!$C$2:$C$327,2024,'Master Timeline'!$D$2:$D$327,"Q2",'Master Timeline'!$F$2:$F$327,"developer_platform")=0,"·",COUNTIFS('Master Timeline'!$C$2:$C$327,2024,'Master Timeline'!$D$2:$D$327,"Q2",'Master Timeline'!$F$2:$F$327,"developer_platform")&amp;"#★"&amp;COUNTIFS('Master Timeline'!$C$2:$C$327,2024,'Master Timeline'!$D$2:$D$327,"Q2",'Master Timeline'!$F$2:$F$327,"developer_platform",'Master Timeline'!$R$2:$R$327,"landmark"))</x:f>
        <x:v>4#★0</x:v>
      </x:c>
      <x:c r="J9" s="88" t="str">
        <x:f>IF(COUNTIFS('Master Timeline'!$C$2:$C$327,2024,'Master Timeline'!$D$2:$D$327,"Q3",'Master Timeline'!$F$2:$F$327,"developer_platform")=0,"·",COUNTIFS('Master Timeline'!$C$2:$C$327,2024,'Master Timeline'!$D$2:$D$327,"Q3",'Master Timeline'!$F$2:$F$327,"developer_platform")&amp;"#★"&amp;COUNTIFS('Master Timeline'!$C$2:$C$327,2024,'Master Timeline'!$D$2:$D$327,"Q3",'Master Timeline'!$F$2:$F$327,"developer_platform",'Master Timeline'!$R$2:$R$327,"landmark"))</x:f>
        <x:v>2#★0</x:v>
      </x:c>
      <x:c r="K9" s="88" t="str">
        <x:f>IF(COUNTIFS('Master Timeline'!$C$2:$C$327,2024,'Master Timeline'!$D$2:$D$327,"Q4",'Master Timeline'!$F$2:$F$327,"developer_platform")=0,"·",COUNTIFS('Master Timeline'!$C$2:$C$327,2024,'Master Timeline'!$D$2:$D$327,"Q4",'Master Timeline'!$F$2:$F$327,"developer_platform")&amp;"#★"&amp;COUNTIFS('Master Timeline'!$C$2:$C$327,2024,'Master Timeline'!$D$2:$D$327,"Q4",'Master Timeline'!$F$2:$F$327,"developer_platform",'Master Timeline'!$R$2:$R$327,"landmark"))</x:f>
        <x:v>1#★0</x:v>
      </x:c>
      <x:c r="L9" s="88" t="str">
        <x:f>IF(COUNTIFS('Master Timeline'!$C$2:$C$327,2025,'Master Timeline'!$D$2:$D$327,"Q1",'Master Timeline'!$F$2:$F$327,"developer_platform")=0,"·",COUNTIFS('Master Timeline'!$C$2:$C$327,2025,'Master Timeline'!$D$2:$D$327,"Q1",'Master Timeline'!$F$2:$F$327,"developer_platform")&amp;"#★"&amp;COUNTIFS('Master Timeline'!$C$2:$C$327,2025,'Master Timeline'!$D$2:$D$327,"Q1",'Master Timeline'!$F$2:$F$327,"developer_platform",'Master Timeline'!$R$2:$R$327,"landmark"))</x:f>
        <x:v>·</x:v>
      </x:c>
      <x:c r="M9" s="88" t="str">
        <x:f>IF(COUNTIFS('Master Timeline'!$C$2:$C$327,2025,'Master Timeline'!$D$2:$D$327,"Q2",'Master Timeline'!$F$2:$F$327,"developer_platform")=0,"·",COUNTIFS('Master Timeline'!$C$2:$C$327,2025,'Master Timeline'!$D$2:$D$327,"Q2",'Master Timeline'!$F$2:$F$327,"developer_platform")&amp;"#★"&amp;COUNTIFS('Master Timeline'!$C$2:$C$327,2025,'Master Timeline'!$D$2:$D$327,"Q2",'Master Timeline'!$F$2:$F$327,"developer_platform",'Master Timeline'!$R$2:$R$327,"landmark"))</x:f>
        <x:v>3#★0</x:v>
      </x:c>
      <x:c r="N9" s="88" t="str">
        <x:f>IF(COUNTIFS('Master Timeline'!$C$2:$C$327,2025,'Master Timeline'!$D$2:$D$327,"Q3",'Master Timeline'!$F$2:$F$327,"developer_platform")=0,"·",COUNTIFS('Master Timeline'!$C$2:$C$327,2025,'Master Timeline'!$D$2:$D$327,"Q3",'Master Timeline'!$F$2:$F$327,"developer_platform")&amp;"#★"&amp;COUNTIFS('Master Timeline'!$C$2:$C$327,2025,'Master Timeline'!$D$2:$D$327,"Q3",'Master Timeline'!$F$2:$F$327,"developer_platform",'Master Timeline'!$R$2:$R$327,"landmark"))</x:f>
        <x:v>4#★0</x:v>
      </x:c>
      <x:c r="O9" s="88" t="str">
        <x:f>IF(COUNTIFS('Master Timeline'!$C$2:$C$327,2025,'Master Timeline'!$D$2:$D$327,"Q4",'Master Timeline'!$F$2:$F$327,"developer_platform")=0,"·",COUNTIFS('Master Timeline'!$C$2:$C$327,2025,'Master Timeline'!$D$2:$D$327,"Q4",'Master Timeline'!$F$2:$F$327,"developer_platform")&amp;"#★"&amp;COUNTIFS('Master Timeline'!$C$2:$C$327,2025,'Master Timeline'!$D$2:$D$327,"Q4",'Master Timeline'!$F$2:$F$327,"developer_platform",'Master Timeline'!$R$2:$R$327,"landmark"))</x:f>
        <x:v>6#★1</x:v>
      </x:c>
      <x:c r="P9" s="88" t="str">
        <x:f>IF(COUNTIFS('Master Timeline'!$C$2:$C$327,2026,'Master Timeline'!$D$2:$D$327,"Q1",'Master Timeline'!$F$2:$F$327,"developer_platform")=0,"·",COUNTIFS('Master Timeline'!$C$2:$C$327,2026,'Master Timeline'!$D$2:$D$327,"Q1",'Master Timeline'!$F$2:$F$327,"developer_platform")&amp;"#★"&amp;COUNTIFS('Master Timeline'!$C$2:$C$327,2026,'Master Timeline'!$D$2:$D$327,"Q1",'Master Timeline'!$F$2:$F$327,"developer_platform",'Master Timeline'!$R$2:$R$327,"landmark"))</x:f>
        <x:v>4#★0</x:v>
      </x:c>
      <x:c r="Q9" s="88" t="str">
        <x:f>IF(COUNTIFS('Master Timeline'!$C$2:$C$327,2026,'Master Timeline'!$D$2:$D$327,"Q2",'Master Timeline'!$F$2:$F$327,"developer_platform")=0,"·",COUNTIFS('Master Timeline'!$C$2:$C$327,2026,'Master Timeline'!$D$2:$D$327,"Q2",'Master Timeline'!$F$2:$F$327,"developer_platform")&amp;"#★"&amp;COUNTIFS('Master Timeline'!$C$2:$C$327,2026,'Master Timeline'!$D$2:$D$327,"Q2",'Master Timeline'!$F$2:$F$327,"developer_platform",'Master Timeline'!$R$2:$R$327,"landmark"))</x:f>
        <x:v>1#★0</x:v>
      </x:c>
      <x:c r="R9" s="89" t="str">
        <x:f>IF(COUNTIFS('Master Timeline'!$C$2:$C$327,2026,'Master Timeline'!$D$2:$D$327,"Q3",'Master Timeline'!$F$2:$F$327,"developer_platform")=0,"·",COUNTIFS('Master Timeline'!$C$2:$C$327,2026,'Master Timeline'!$D$2:$D$327,"Q3",'Master Timeline'!$F$2:$F$327,"developer_platform")&amp;"#★"&amp;COUNTIFS('Master Timeline'!$C$2:$C$327,2026,'Master Timeline'!$D$2:$D$327,"Q3",'Master Timeline'!$F$2:$F$327,"developer_platform",'Master Timeline'!$R$2:$R$327,"landmark"))</x:f>
        <x:v>1#★0</x:v>
      </x:c>
    </x:row>
    <x:row r="10" ht="31" customHeight="1">
      <x:c r="A10" s="94" t="str">
        <x:v>Multimodal Coast</x:v>
      </x:c>
      <x:c r="B10" s="100" t="str">
        <x:v>~</x:v>
      </x:c>
      <x:c r="C10" s="88" t="str">
        <x:f>IF(COUNTIFS('Master Timeline'!$C$2:$C$327,2022,'Master Timeline'!$D$2:$D$327,"Q4",'Master Timeline'!$F$2:$F$327,"multimodal")=0,"·",$B10&amp;COUNTIFS('Master Timeline'!$C$2:$C$327,2022,'Master Timeline'!$D$2:$D$327,"Q4",'Master Timeline'!$F$2:$F$327,"multimodal")&amp;"★"&amp;COUNTIFS('Master Timeline'!$C$2:$C$327,2022,'Master Timeline'!$D$2:$D$327,"Q4",'Master Timeline'!$F$2:$F$327,"multimodal",'Master Timeline'!$R$2:$R$327,"landmark"))</x:f>
        <x:v>·</x:v>
      </x:c>
      <x:c r="D10" s="88" t="str">
        <x:f>IF(COUNTIFS('Master Timeline'!$C$2:$C$327,2023,'Master Timeline'!$D$2:$D$327,"Q1",'Master Timeline'!$F$2:$F$327,"multimodal")=0,"·",$B10&amp;COUNTIFS('Master Timeline'!$C$2:$C$327,2023,'Master Timeline'!$D$2:$D$327,"Q1",'Master Timeline'!$F$2:$F$327,"multimodal")&amp;"★"&amp;COUNTIFS('Master Timeline'!$C$2:$C$327,2023,'Master Timeline'!$D$2:$D$327,"Q1",'Master Timeline'!$F$2:$F$327,"multimodal",'Master Timeline'!$R$2:$R$327,"landmark"))</x:f>
        <x:v>·</x:v>
      </x:c>
      <x:c r="E10" s="88" t="str">
        <x:f>IF(COUNTIFS('Master Timeline'!$C$2:$C$327,2023,'Master Timeline'!$D$2:$D$327,"Q2",'Master Timeline'!$F$2:$F$327,"multimodal")=0,"·",$B10&amp;COUNTIFS('Master Timeline'!$C$2:$C$327,2023,'Master Timeline'!$D$2:$D$327,"Q2",'Master Timeline'!$F$2:$F$327,"multimodal")&amp;"★"&amp;COUNTIFS('Master Timeline'!$C$2:$C$327,2023,'Master Timeline'!$D$2:$D$327,"Q2",'Master Timeline'!$F$2:$F$327,"multimodal",'Master Timeline'!$R$2:$R$327,"landmark"))</x:f>
        <x:v>·</x:v>
      </x:c>
      <x:c r="F10" s="88" t="str">
        <x:f>IF(COUNTIFS('Master Timeline'!$C$2:$C$327,2023,'Master Timeline'!$D$2:$D$327,"Q3",'Master Timeline'!$F$2:$F$327,"multimodal")=0,"·",$B10&amp;COUNTIFS('Master Timeline'!$C$2:$C$327,2023,'Master Timeline'!$D$2:$D$327,"Q3",'Master Timeline'!$F$2:$F$327,"multimodal")&amp;"★"&amp;COUNTIFS('Master Timeline'!$C$2:$C$327,2023,'Master Timeline'!$D$2:$D$327,"Q3",'Master Timeline'!$F$2:$F$327,"multimodal",'Master Timeline'!$R$2:$R$327,"landmark"))</x:f>
        <x:v>·</x:v>
      </x:c>
      <x:c r="G10" s="88" t="str">
        <x:f>IF(COUNTIFS('Master Timeline'!$C$2:$C$327,2023,'Master Timeline'!$D$2:$D$327,"Q4",'Master Timeline'!$F$2:$F$327,"multimodal")=0,"·",$B10&amp;COUNTIFS('Master Timeline'!$C$2:$C$327,2023,'Master Timeline'!$D$2:$D$327,"Q4",'Master Timeline'!$F$2:$F$327,"multimodal")&amp;"★"&amp;COUNTIFS('Master Timeline'!$C$2:$C$327,2023,'Master Timeline'!$D$2:$D$327,"Q4",'Master Timeline'!$F$2:$F$327,"multimodal",'Master Timeline'!$R$2:$R$327,"landmark"))</x:f>
        <x:v>~3★0</x:v>
      </x:c>
      <x:c r="H10" s="88" t="str">
        <x:f>IF(COUNTIFS('Master Timeline'!$C$2:$C$327,2024,'Master Timeline'!$D$2:$D$327,"Q1",'Master Timeline'!$F$2:$F$327,"multimodal")=0,"·",$B10&amp;COUNTIFS('Master Timeline'!$C$2:$C$327,2024,'Master Timeline'!$D$2:$D$327,"Q1",'Master Timeline'!$F$2:$F$327,"multimodal")&amp;"★"&amp;COUNTIFS('Master Timeline'!$C$2:$C$327,2024,'Master Timeline'!$D$2:$D$327,"Q1",'Master Timeline'!$F$2:$F$327,"multimodal",'Master Timeline'!$R$2:$R$327,"landmark"))</x:f>
        <x:v>~1★1</x:v>
      </x:c>
      <x:c r="I10" s="88" t="str">
        <x:f>IF(COUNTIFS('Master Timeline'!$C$2:$C$327,2024,'Master Timeline'!$D$2:$D$327,"Q2",'Master Timeline'!$F$2:$F$327,"multimodal")=0,"·",$B10&amp;COUNTIFS('Master Timeline'!$C$2:$C$327,2024,'Master Timeline'!$D$2:$D$327,"Q2",'Master Timeline'!$F$2:$F$327,"multimodal")&amp;"★"&amp;COUNTIFS('Master Timeline'!$C$2:$C$327,2024,'Master Timeline'!$D$2:$D$327,"Q2",'Master Timeline'!$F$2:$F$327,"multimodal",'Master Timeline'!$R$2:$R$327,"landmark"))</x:f>
        <x:v>·</x:v>
      </x:c>
      <x:c r="J10" s="88" t="str">
        <x:f>IF(COUNTIFS('Master Timeline'!$C$2:$C$327,2024,'Master Timeline'!$D$2:$D$327,"Q3",'Master Timeline'!$F$2:$F$327,"multimodal")=0,"·",$B10&amp;COUNTIFS('Master Timeline'!$C$2:$C$327,2024,'Master Timeline'!$D$2:$D$327,"Q3",'Master Timeline'!$F$2:$F$327,"multimodal")&amp;"★"&amp;COUNTIFS('Master Timeline'!$C$2:$C$327,2024,'Master Timeline'!$D$2:$D$327,"Q3",'Master Timeline'!$F$2:$F$327,"multimodal",'Master Timeline'!$R$2:$R$327,"landmark"))</x:f>
        <x:v>~2★0</x:v>
      </x:c>
      <x:c r="K10" s="88" t="str">
        <x:f>IF(COUNTIFS('Master Timeline'!$C$2:$C$327,2024,'Master Timeline'!$D$2:$D$327,"Q4",'Master Timeline'!$F$2:$F$327,"multimodal")=0,"·",$B10&amp;COUNTIFS('Master Timeline'!$C$2:$C$327,2024,'Master Timeline'!$D$2:$D$327,"Q4",'Master Timeline'!$F$2:$F$327,"multimodal")&amp;"★"&amp;COUNTIFS('Master Timeline'!$C$2:$C$327,2024,'Master Timeline'!$D$2:$D$327,"Q4",'Master Timeline'!$F$2:$F$327,"multimodal",'Master Timeline'!$R$2:$R$327,"landmark"))</x:f>
        <x:v>~5★1</x:v>
      </x:c>
      <x:c r="L10" s="88" t="str">
        <x:f>IF(COUNTIFS('Master Timeline'!$C$2:$C$327,2025,'Master Timeline'!$D$2:$D$327,"Q1",'Master Timeline'!$F$2:$F$327,"multimodal")=0,"·",$B10&amp;COUNTIFS('Master Timeline'!$C$2:$C$327,2025,'Master Timeline'!$D$2:$D$327,"Q1",'Master Timeline'!$F$2:$F$327,"multimodal")&amp;"★"&amp;COUNTIFS('Master Timeline'!$C$2:$C$327,2025,'Master Timeline'!$D$2:$D$327,"Q1",'Master Timeline'!$F$2:$F$327,"multimodal",'Master Timeline'!$R$2:$R$327,"landmark"))</x:f>
        <x:v>~1★1</x:v>
      </x:c>
      <x:c r="M10" s="88" t="str">
        <x:f>IF(COUNTIFS('Master Timeline'!$C$2:$C$327,2025,'Master Timeline'!$D$2:$D$327,"Q2",'Master Timeline'!$F$2:$F$327,"multimodal")=0,"·",$B10&amp;COUNTIFS('Master Timeline'!$C$2:$C$327,2025,'Master Timeline'!$D$2:$D$327,"Q2",'Master Timeline'!$F$2:$F$327,"multimodal")&amp;"★"&amp;COUNTIFS('Master Timeline'!$C$2:$C$327,2025,'Master Timeline'!$D$2:$D$327,"Q2",'Master Timeline'!$F$2:$F$327,"multimodal",'Master Timeline'!$R$2:$R$327,"landmark"))</x:f>
        <x:v>~2★1</x:v>
      </x:c>
      <x:c r="N10" s="88" t="str">
        <x:f>IF(COUNTIFS('Master Timeline'!$C$2:$C$327,2025,'Master Timeline'!$D$2:$D$327,"Q3",'Master Timeline'!$F$2:$F$327,"multimodal")=0,"·",$B10&amp;COUNTIFS('Master Timeline'!$C$2:$C$327,2025,'Master Timeline'!$D$2:$D$327,"Q3",'Master Timeline'!$F$2:$F$327,"multimodal")&amp;"★"&amp;COUNTIFS('Master Timeline'!$C$2:$C$327,2025,'Master Timeline'!$D$2:$D$327,"Q3",'Master Timeline'!$F$2:$F$327,"multimodal",'Master Timeline'!$R$2:$R$327,"landmark"))</x:f>
        <x:v>~7★1</x:v>
      </x:c>
      <x:c r="O10" s="88" t="str">
        <x:f>IF(COUNTIFS('Master Timeline'!$C$2:$C$327,2025,'Master Timeline'!$D$2:$D$327,"Q4",'Master Timeline'!$F$2:$F$327,"multimodal")=0,"·",$B10&amp;COUNTIFS('Master Timeline'!$C$2:$C$327,2025,'Master Timeline'!$D$2:$D$327,"Q4",'Master Timeline'!$F$2:$F$327,"multimodal")&amp;"★"&amp;COUNTIFS('Master Timeline'!$C$2:$C$327,2025,'Master Timeline'!$D$2:$D$327,"Q4",'Master Timeline'!$F$2:$F$327,"multimodal",'Master Timeline'!$R$2:$R$327,"landmark"))</x:f>
        <x:v>~5★1</x:v>
      </x:c>
      <x:c r="P10" s="88" t="str">
        <x:f>IF(COUNTIFS('Master Timeline'!$C$2:$C$327,2026,'Master Timeline'!$D$2:$D$327,"Q1",'Master Timeline'!$F$2:$F$327,"multimodal")=0,"·",$B10&amp;COUNTIFS('Master Timeline'!$C$2:$C$327,2026,'Master Timeline'!$D$2:$D$327,"Q1",'Master Timeline'!$F$2:$F$327,"multimodal")&amp;"★"&amp;COUNTIFS('Master Timeline'!$C$2:$C$327,2026,'Master Timeline'!$D$2:$D$327,"Q1",'Master Timeline'!$F$2:$F$327,"multimodal",'Master Timeline'!$R$2:$R$327,"landmark"))</x:f>
        <x:v>~4★0</x:v>
      </x:c>
      <x:c r="Q10" s="88" t="str">
        <x:f>IF(COUNTIFS('Master Timeline'!$C$2:$C$327,2026,'Master Timeline'!$D$2:$D$327,"Q2",'Master Timeline'!$F$2:$F$327,"multimodal")=0,"·",$B10&amp;COUNTIFS('Master Timeline'!$C$2:$C$327,2026,'Master Timeline'!$D$2:$D$327,"Q2",'Master Timeline'!$F$2:$F$327,"multimodal")&amp;"★"&amp;COUNTIFS('Master Timeline'!$C$2:$C$327,2026,'Master Timeline'!$D$2:$D$327,"Q2",'Master Timeline'!$F$2:$F$327,"multimodal",'Master Timeline'!$R$2:$R$327,"landmark"))</x:f>
        <x:v>~3★2</x:v>
      </x:c>
      <x:c r="R10" s="89" t="str">
        <x:f>IF(COUNTIFS('Master Timeline'!$C$2:$C$327,2026,'Master Timeline'!$D$2:$D$327,"Q3",'Master Timeline'!$F$2:$F$327,"multimodal")=0,"·",$B10&amp;COUNTIFS('Master Timeline'!$C$2:$C$327,2026,'Master Timeline'!$D$2:$D$327,"Q3",'Master Timeline'!$F$2:$F$327,"multimodal")&amp;"★"&amp;COUNTIFS('Master Timeline'!$C$2:$C$327,2026,'Master Timeline'!$D$2:$D$327,"Q3",'Master Timeline'!$F$2:$F$327,"multimodal",'Master Timeline'!$R$2:$R$327,"landmark"))</x:f>
        <x:v>~2★2</x:v>
      </x:c>
    </x:row>
    <x:row r="11" ht="31" customHeight="1">
      <x:c r="A11" s="94" t="str">
        <x:v>Memory Forest</x:v>
      </x:c>
      <x:c r="B11" s="100" t="str">
        <x:v>&amp;</x:v>
      </x:c>
      <x:c r="C11" s="88" t="str">
        <x:f>IF(COUNTIFS('Master Timeline'!$C$2:$C$327,2022,'Master Timeline'!$D$2:$D$327,"Q4",'Master Timeline'!$F$2:$F$327,"memory_knowledge")=0,"·",$B11&amp;COUNTIFS('Master Timeline'!$C$2:$C$327,2022,'Master Timeline'!$D$2:$D$327,"Q4",'Master Timeline'!$F$2:$F$327,"memory_knowledge")&amp;"★"&amp;COUNTIFS('Master Timeline'!$C$2:$C$327,2022,'Master Timeline'!$D$2:$D$327,"Q4",'Master Timeline'!$F$2:$F$327,"memory_knowledge",'Master Timeline'!$R$2:$R$327,"landmark"))</x:f>
        <x:v>·</x:v>
      </x:c>
      <x:c r="D11" s="88" t="str">
        <x:f>IF(COUNTIFS('Master Timeline'!$C$2:$C$327,2023,'Master Timeline'!$D$2:$D$327,"Q1",'Master Timeline'!$F$2:$F$327,"memory_knowledge")=0,"·",$B11&amp;COUNTIFS('Master Timeline'!$C$2:$C$327,2023,'Master Timeline'!$D$2:$D$327,"Q1",'Master Timeline'!$F$2:$F$327,"memory_knowledge")&amp;"★"&amp;COUNTIFS('Master Timeline'!$C$2:$C$327,2023,'Master Timeline'!$D$2:$D$327,"Q1",'Master Timeline'!$F$2:$F$327,"memory_knowledge",'Master Timeline'!$R$2:$R$327,"landmark"))</x:f>
        <x:v>·</x:v>
      </x:c>
      <x:c r="E11" s="88" t="str">
        <x:f>IF(COUNTIFS('Master Timeline'!$C$2:$C$327,2023,'Master Timeline'!$D$2:$D$327,"Q2",'Master Timeline'!$F$2:$F$327,"memory_knowledge")=0,"·",$B11&amp;COUNTIFS('Master Timeline'!$C$2:$C$327,2023,'Master Timeline'!$D$2:$D$327,"Q2",'Master Timeline'!$F$2:$F$327,"memory_knowledge")&amp;"★"&amp;COUNTIFS('Master Timeline'!$C$2:$C$327,2023,'Master Timeline'!$D$2:$D$327,"Q2",'Master Timeline'!$F$2:$F$327,"memory_knowledge",'Master Timeline'!$R$2:$R$327,"landmark"))</x:f>
        <x:v>·</x:v>
      </x:c>
      <x:c r="F11" s="88" t="str">
        <x:f>IF(COUNTIFS('Master Timeline'!$C$2:$C$327,2023,'Master Timeline'!$D$2:$D$327,"Q3",'Master Timeline'!$F$2:$F$327,"memory_knowledge")=0,"·",$B11&amp;COUNTIFS('Master Timeline'!$C$2:$C$327,2023,'Master Timeline'!$D$2:$D$327,"Q3",'Master Timeline'!$F$2:$F$327,"memory_knowledge")&amp;"★"&amp;COUNTIFS('Master Timeline'!$C$2:$C$327,2023,'Master Timeline'!$D$2:$D$327,"Q3",'Master Timeline'!$F$2:$F$327,"memory_knowledge",'Master Timeline'!$R$2:$R$327,"landmark"))</x:f>
        <x:v>·</x:v>
      </x:c>
      <x:c r="G11" s="88" t="str">
        <x:f>IF(COUNTIFS('Master Timeline'!$C$2:$C$327,2023,'Master Timeline'!$D$2:$D$327,"Q4",'Master Timeline'!$F$2:$F$327,"memory_knowledge")=0,"·",$B11&amp;COUNTIFS('Master Timeline'!$C$2:$C$327,2023,'Master Timeline'!$D$2:$D$327,"Q4",'Master Timeline'!$F$2:$F$327,"memory_knowledge")&amp;"★"&amp;COUNTIFS('Master Timeline'!$C$2:$C$327,2023,'Master Timeline'!$D$2:$D$327,"Q4",'Master Timeline'!$F$2:$F$327,"memory_knowledge",'Master Timeline'!$R$2:$R$327,"landmark"))</x:f>
        <x:v>&amp;1★1</x:v>
      </x:c>
      <x:c r="H11" s="88" t="str">
        <x:f>IF(COUNTIFS('Master Timeline'!$C$2:$C$327,2024,'Master Timeline'!$D$2:$D$327,"Q1",'Master Timeline'!$F$2:$F$327,"memory_knowledge")=0,"·",$B11&amp;COUNTIFS('Master Timeline'!$C$2:$C$327,2024,'Master Timeline'!$D$2:$D$327,"Q1",'Master Timeline'!$F$2:$F$327,"memory_knowledge")&amp;"★"&amp;COUNTIFS('Master Timeline'!$C$2:$C$327,2024,'Master Timeline'!$D$2:$D$327,"Q1",'Master Timeline'!$F$2:$F$327,"memory_knowledge",'Master Timeline'!$R$2:$R$327,"landmark"))</x:f>
        <x:v>&amp;1★0</x:v>
      </x:c>
      <x:c r="I11" s="88" t="str">
        <x:f>IF(COUNTIFS('Master Timeline'!$C$2:$C$327,2024,'Master Timeline'!$D$2:$D$327,"Q2",'Master Timeline'!$F$2:$F$327,"memory_knowledge")=0,"·",$B11&amp;COUNTIFS('Master Timeline'!$C$2:$C$327,2024,'Master Timeline'!$D$2:$D$327,"Q2",'Master Timeline'!$F$2:$F$327,"memory_knowledge")&amp;"★"&amp;COUNTIFS('Master Timeline'!$C$2:$C$327,2024,'Master Timeline'!$D$2:$D$327,"Q2",'Master Timeline'!$F$2:$F$327,"memory_knowledge",'Master Timeline'!$R$2:$R$327,"landmark"))</x:f>
        <x:v>&amp;1★0</x:v>
      </x:c>
      <x:c r="J11" s="88" t="str">
        <x:f>IF(COUNTIFS('Master Timeline'!$C$2:$C$327,2024,'Master Timeline'!$D$2:$D$327,"Q3",'Master Timeline'!$F$2:$F$327,"memory_knowledge")=0,"·",$B11&amp;COUNTIFS('Master Timeline'!$C$2:$C$327,2024,'Master Timeline'!$D$2:$D$327,"Q3",'Master Timeline'!$F$2:$F$327,"memory_knowledge")&amp;"★"&amp;COUNTIFS('Master Timeline'!$C$2:$C$327,2024,'Master Timeline'!$D$2:$D$327,"Q3",'Master Timeline'!$F$2:$F$327,"memory_knowledge",'Master Timeline'!$R$2:$R$327,"landmark"))</x:f>
        <x:v>&amp;1★0</x:v>
      </x:c>
      <x:c r="K11" s="88" t="str">
        <x:f>IF(COUNTIFS('Master Timeline'!$C$2:$C$327,2024,'Master Timeline'!$D$2:$D$327,"Q4",'Master Timeline'!$F$2:$F$327,"memory_knowledge")=0,"·",$B11&amp;COUNTIFS('Master Timeline'!$C$2:$C$327,2024,'Master Timeline'!$D$2:$D$327,"Q4",'Master Timeline'!$F$2:$F$327,"memory_knowledge")&amp;"★"&amp;COUNTIFS('Master Timeline'!$C$2:$C$327,2024,'Master Timeline'!$D$2:$D$327,"Q4",'Master Timeline'!$F$2:$F$327,"memory_knowledge",'Master Timeline'!$R$2:$R$327,"landmark"))</x:f>
        <x:v>&amp;2★1</x:v>
      </x:c>
      <x:c r="L11" s="88" t="str">
        <x:f>IF(COUNTIFS('Master Timeline'!$C$2:$C$327,2025,'Master Timeline'!$D$2:$D$327,"Q1",'Master Timeline'!$F$2:$F$327,"memory_knowledge")=0,"·",$B11&amp;COUNTIFS('Master Timeline'!$C$2:$C$327,2025,'Master Timeline'!$D$2:$D$327,"Q1",'Master Timeline'!$F$2:$F$327,"memory_knowledge")&amp;"★"&amp;COUNTIFS('Master Timeline'!$C$2:$C$327,2025,'Master Timeline'!$D$2:$D$327,"Q1",'Master Timeline'!$F$2:$F$327,"memory_knowledge",'Master Timeline'!$R$2:$R$327,"landmark"))</x:f>
        <x:v>·</x:v>
      </x:c>
      <x:c r="M11" s="88" t="str">
        <x:f>IF(COUNTIFS('Master Timeline'!$C$2:$C$327,2025,'Master Timeline'!$D$2:$D$327,"Q2",'Master Timeline'!$F$2:$F$327,"memory_knowledge")=0,"·",$B11&amp;COUNTIFS('Master Timeline'!$C$2:$C$327,2025,'Master Timeline'!$D$2:$D$327,"Q2",'Master Timeline'!$F$2:$F$327,"memory_knowledge")&amp;"★"&amp;COUNTIFS('Master Timeline'!$C$2:$C$327,2025,'Master Timeline'!$D$2:$D$327,"Q2",'Master Timeline'!$F$2:$F$327,"memory_knowledge",'Master Timeline'!$R$2:$R$327,"landmark"))</x:f>
        <x:v>&amp;5★0</x:v>
      </x:c>
      <x:c r="N11" s="88" t="str">
        <x:f>IF(COUNTIFS('Master Timeline'!$C$2:$C$327,2025,'Master Timeline'!$D$2:$D$327,"Q3",'Master Timeline'!$F$2:$F$327,"memory_knowledge")=0,"·",$B11&amp;COUNTIFS('Master Timeline'!$C$2:$C$327,2025,'Master Timeline'!$D$2:$D$327,"Q3",'Master Timeline'!$F$2:$F$327,"memory_knowledge")&amp;"★"&amp;COUNTIFS('Master Timeline'!$C$2:$C$327,2025,'Master Timeline'!$D$2:$D$327,"Q3",'Master Timeline'!$F$2:$F$327,"memory_knowledge",'Master Timeline'!$R$2:$R$327,"landmark"))</x:f>
        <x:v>&amp;2★0</x:v>
      </x:c>
      <x:c r="O11" s="88" t="str">
        <x:f>IF(COUNTIFS('Master Timeline'!$C$2:$C$327,2025,'Master Timeline'!$D$2:$D$327,"Q4",'Master Timeline'!$F$2:$F$327,"memory_knowledge")=0,"·",$B11&amp;COUNTIFS('Master Timeline'!$C$2:$C$327,2025,'Master Timeline'!$D$2:$D$327,"Q4",'Master Timeline'!$F$2:$F$327,"memory_knowledge")&amp;"★"&amp;COUNTIFS('Master Timeline'!$C$2:$C$327,2025,'Master Timeline'!$D$2:$D$327,"Q4",'Master Timeline'!$F$2:$F$327,"memory_knowledge",'Master Timeline'!$R$2:$R$327,"landmark"))</x:f>
        <x:v>·</x:v>
      </x:c>
      <x:c r="P11" s="88" t="str">
        <x:f>IF(COUNTIFS('Master Timeline'!$C$2:$C$327,2026,'Master Timeline'!$D$2:$D$327,"Q1",'Master Timeline'!$F$2:$F$327,"memory_knowledge")=0,"·",$B11&amp;COUNTIFS('Master Timeline'!$C$2:$C$327,2026,'Master Timeline'!$D$2:$D$327,"Q1",'Master Timeline'!$F$2:$F$327,"memory_knowledge")&amp;"★"&amp;COUNTIFS('Master Timeline'!$C$2:$C$327,2026,'Master Timeline'!$D$2:$D$327,"Q1",'Master Timeline'!$F$2:$F$327,"memory_knowledge",'Master Timeline'!$R$2:$R$327,"landmark"))</x:f>
        <x:v>&amp;3★0</x:v>
      </x:c>
      <x:c r="Q11" s="88" t="str">
        <x:f>IF(COUNTIFS('Master Timeline'!$C$2:$C$327,2026,'Master Timeline'!$D$2:$D$327,"Q2",'Master Timeline'!$F$2:$F$327,"memory_knowledge")=0,"·",$B11&amp;COUNTIFS('Master Timeline'!$C$2:$C$327,2026,'Master Timeline'!$D$2:$D$327,"Q2",'Master Timeline'!$F$2:$F$327,"memory_knowledge")&amp;"★"&amp;COUNTIFS('Master Timeline'!$C$2:$C$327,2026,'Master Timeline'!$D$2:$D$327,"Q2",'Master Timeline'!$F$2:$F$327,"memory_knowledge",'Master Timeline'!$R$2:$R$327,"landmark"))</x:f>
        <x:v>&amp;1★0</x:v>
      </x:c>
      <x:c r="R11" s="89" t="str">
        <x:f>IF(COUNTIFS('Master Timeline'!$C$2:$C$327,2026,'Master Timeline'!$D$2:$D$327,"Q3",'Master Timeline'!$F$2:$F$327,"memory_knowledge")=0,"·",$B11&amp;COUNTIFS('Master Timeline'!$C$2:$C$327,2026,'Master Timeline'!$D$2:$D$327,"Q3",'Master Timeline'!$F$2:$F$327,"memory_knowledge")&amp;"★"&amp;COUNTIFS('Master Timeline'!$C$2:$C$327,2026,'Master Timeline'!$D$2:$D$327,"Q3",'Master Timeline'!$F$2:$F$327,"memory_knowledge",'Master Timeline'!$R$2:$R$327,"landmark"))</x:f>
        <x:v>·</x:v>
      </x:c>
    </x:row>
    <x:row r="12" ht="31" customHeight="1">
      <x:c r="A12" s="94" t="str">
        <x:v>Commerce Bazaar</x:v>
      </x:c>
      <x:c r="B12" s="100" t="str">
        <x:v>$</x:v>
      </x:c>
      <x:c r="C12" s="88" t="str">
        <x:f>IF(COUNTIFS('Master Timeline'!$C$2:$C$327,2022,'Master Timeline'!$D$2:$D$327,"Q4",'Master Timeline'!$F$2:$F$327,"search_commerce")=0,"·",$B12&amp;COUNTIFS('Master Timeline'!$C$2:$C$327,2022,'Master Timeline'!$D$2:$D$327,"Q4",'Master Timeline'!$F$2:$F$327,"search_commerce")&amp;"★"&amp;COUNTIFS('Master Timeline'!$C$2:$C$327,2022,'Master Timeline'!$D$2:$D$327,"Q4",'Master Timeline'!$F$2:$F$327,"search_commerce",'Master Timeline'!$R$2:$R$327,"landmark"))</x:f>
        <x:v>·</x:v>
      </x:c>
      <x:c r="D12" s="88" t="str">
        <x:f>IF(COUNTIFS('Master Timeline'!$C$2:$C$327,2023,'Master Timeline'!$D$2:$D$327,"Q1",'Master Timeline'!$F$2:$F$327,"search_commerce")=0,"·",$B12&amp;COUNTIFS('Master Timeline'!$C$2:$C$327,2023,'Master Timeline'!$D$2:$D$327,"Q1",'Master Timeline'!$F$2:$F$327,"search_commerce")&amp;"★"&amp;COUNTIFS('Master Timeline'!$C$2:$C$327,2023,'Master Timeline'!$D$2:$D$327,"Q1",'Master Timeline'!$F$2:$F$327,"search_commerce",'Master Timeline'!$R$2:$R$327,"landmark"))</x:f>
        <x:v>·</x:v>
      </x:c>
      <x:c r="E12" s="88" t="str">
        <x:f>IF(COUNTIFS('Master Timeline'!$C$2:$C$327,2023,'Master Timeline'!$D$2:$D$327,"Q2",'Master Timeline'!$F$2:$F$327,"search_commerce")=0,"·",$B12&amp;COUNTIFS('Master Timeline'!$C$2:$C$327,2023,'Master Timeline'!$D$2:$D$327,"Q2",'Master Timeline'!$F$2:$F$327,"search_commerce")&amp;"★"&amp;COUNTIFS('Master Timeline'!$C$2:$C$327,2023,'Master Timeline'!$D$2:$D$327,"Q2",'Master Timeline'!$F$2:$F$327,"search_commerce",'Master Timeline'!$R$2:$R$327,"landmark"))</x:f>
        <x:v>$1★0</x:v>
      </x:c>
      <x:c r="F12" s="88" t="str">
        <x:f>IF(COUNTIFS('Master Timeline'!$C$2:$C$327,2023,'Master Timeline'!$D$2:$D$327,"Q3",'Master Timeline'!$F$2:$F$327,"search_commerce")=0,"·",$B12&amp;COUNTIFS('Master Timeline'!$C$2:$C$327,2023,'Master Timeline'!$D$2:$D$327,"Q3",'Master Timeline'!$F$2:$F$327,"search_commerce")&amp;"★"&amp;COUNTIFS('Master Timeline'!$C$2:$C$327,2023,'Master Timeline'!$D$2:$D$327,"Q3",'Master Timeline'!$F$2:$F$327,"search_commerce",'Master Timeline'!$R$2:$R$327,"landmark"))</x:f>
        <x:v>·</x:v>
      </x:c>
      <x:c r="G12" s="88" t="str">
        <x:f>IF(COUNTIFS('Master Timeline'!$C$2:$C$327,2023,'Master Timeline'!$D$2:$D$327,"Q4",'Master Timeline'!$F$2:$F$327,"search_commerce")=0,"·",$B12&amp;COUNTIFS('Master Timeline'!$C$2:$C$327,2023,'Master Timeline'!$D$2:$D$327,"Q4",'Master Timeline'!$F$2:$F$327,"search_commerce")&amp;"★"&amp;COUNTIFS('Master Timeline'!$C$2:$C$327,2023,'Master Timeline'!$D$2:$D$327,"Q4",'Master Timeline'!$F$2:$F$327,"search_commerce",'Master Timeline'!$R$2:$R$327,"landmark"))</x:f>
        <x:v>$1★0</x:v>
      </x:c>
      <x:c r="H12" s="88" t="str">
        <x:f>IF(COUNTIFS('Master Timeline'!$C$2:$C$327,2024,'Master Timeline'!$D$2:$D$327,"Q1",'Master Timeline'!$F$2:$F$327,"search_commerce")=0,"·",$B12&amp;COUNTIFS('Master Timeline'!$C$2:$C$327,2024,'Master Timeline'!$D$2:$D$327,"Q1",'Master Timeline'!$F$2:$F$327,"search_commerce")&amp;"★"&amp;COUNTIFS('Master Timeline'!$C$2:$C$327,2024,'Master Timeline'!$D$2:$D$327,"Q1",'Master Timeline'!$F$2:$F$327,"search_commerce",'Master Timeline'!$R$2:$R$327,"landmark"))</x:f>
        <x:v>·</x:v>
      </x:c>
      <x:c r="I12" s="88" t="str">
        <x:f>IF(COUNTIFS('Master Timeline'!$C$2:$C$327,2024,'Master Timeline'!$D$2:$D$327,"Q2",'Master Timeline'!$F$2:$F$327,"search_commerce")=0,"·",$B12&amp;COUNTIFS('Master Timeline'!$C$2:$C$327,2024,'Master Timeline'!$D$2:$D$327,"Q2",'Master Timeline'!$F$2:$F$327,"search_commerce")&amp;"★"&amp;COUNTIFS('Master Timeline'!$C$2:$C$327,2024,'Master Timeline'!$D$2:$D$327,"Q2",'Master Timeline'!$F$2:$F$327,"search_commerce",'Master Timeline'!$R$2:$R$327,"landmark"))</x:f>
        <x:v>·</x:v>
      </x:c>
      <x:c r="J12" s="88" t="str">
        <x:f>IF(COUNTIFS('Master Timeline'!$C$2:$C$327,2024,'Master Timeline'!$D$2:$D$327,"Q3",'Master Timeline'!$F$2:$F$327,"search_commerce")=0,"·",$B12&amp;COUNTIFS('Master Timeline'!$C$2:$C$327,2024,'Master Timeline'!$D$2:$D$327,"Q3",'Master Timeline'!$F$2:$F$327,"search_commerce")&amp;"★"&amp;COUNTIFS('Master Timeline'!$C$2:$C$327,2024,'Master Timeline'!$D$2:$D$327,"Q3",'Master Timeline'!$F$2:$F$327,"search_commerce",'Master Timeline'!$R$2:$R$327,"landmark"))</x:f>
        <x:v>$1★0</x:v>
      </x:c>
      <x:c r="K12" s="88" t="str">
        <x:f>IF(COUNTIFS('Master Timeline'!$C$2:$C$327,2024,'Master Timeline'!$D$2:$D$327,"Q4",'Master Timeline'!$F$2:$F$327,"search_commerce")=0,"·",$B12&amp;COUNTIFS('Master Timeline'!$C$2:$C$327,2024,'Master Timeline'!$D$2:$D$327,"Q4",'Master Timeline'!$F$2:$F$327,"search_commerce")&amp;"★"&amp;COUNTIFS('Master Timeline'!$C$2:$C$327,2024,'Master Timeline'!$D$2:$D$327,"Q4",'Master Timeline'!$F$2:$F$327,"search_commerce",'Master Timeline'!$R$2:$R$327,"landmark"))</x:f>
        <x:v>$2★1</x:v>
      </x:c>
      <x:c r="L12" s="88" t="str">
        <x:f>IF(COUNTIFS('Master Timeline'!$C$2:$C$327,2025,'Master Timeline'!$D$2:$D$327,"Q1",'Master Timeline'!$F$2:$F$327,"search_commerce")=0,"·",$B12&amp;COUNTIFS('Master Timeline'!$C$2:$C$327,2025,'Master Timeline'!$D$2:$D$327,"Q1",'Master Timeline'!$F$2:$F$327,"search_commerce")&amp;"★"&amp;COUNTIFS('Master Timeline'!$C$2:$C$327,2025,'Master Timeline'!$D$2:$D$327,"Q1",'Master Timeline'!$F$2:$F$327,"search_commerce",'Master Timeline'!$R$2:$R$327,"landmark"))</x:f>
        <x:v>·</x:v>
      </x:c>
      <x:c r="M12" s="88" t="str">
        <x:f>IF(COUNTIFS('Master Timeline'!$C$2:$C$327,2025,'Master Timeline'!$D$2:$D$327,"Q2",'Master Timeline'!$F$2:$F$327,"search_commerce")=0,"·",$B12&amp;COUNTIFS('Master Timeline'!$C$2:$C$327,2025,'Master Timeline'!$D$2:$D$327,"Q2",'Master Timeline'!$F$2:$F$327,"search_commerce")&amp;"★"&amp;COUNTIFS('Master Timeline'!$C$2:$C$327,2025,'Master Timeline'!$D$2:$D$327,"Q2",'Master Timeline'!$F$2:$F$327,"search_commerce",'Master Timeline'!$R$2:$R$327,"landmark"))</x:f>
        <x:v>$2★0</x:v>
      </x:c>
      <x:c r="N12" s="88" t="str">
        <x:f>IF(COUNTIFS('Master Timeline'!$C$2:$C$327,2025,'Master Timeline'!$D$2:$D$327,"Q3",'Master Timeline'!$F$2:$F$327,"search_commerce")=0,"·",$B12&amp;COUNTIFS('Master Timeline'!$C$2:$C$327,2025,'Master Timeline'!$D$2:$D$327,"Q3",'Master Timeline'!$F$2:$F$327,"search_commerce")&amp;"★"&amp;COUNTIFS('Master Timeline'!$C$2:$C$327,2025,'Master Timeline'!$D$2:$D$327,"Q3",'Master Timeline'!$F$2:$F$327,"search_commerce",'Master Timeline'!$R$2:$R$327,"landmark"))</x:f>
        <x:v>$3★0</x:v>
      </x:c>
      <x:c r="O12" s="88" t="str">
        <x:f>IF(COUNTIFS('Master Timeline'!$C$2:$C$327,2025,'Master Timeline'!$D$2:$D$327,"Q4",'Master Timeline'!$F$2:$F$327,"search_commerce")=0,"·",$B12&amp;COUNTIFS('Master Timeline'!$C$2:$C$327,2025,'Master Timeline'!$D$2:$D$327,"Q4",'Master Timeline'!$F$2:$F$327,"search_commerce")&amp;"★"&amp;COUNTIFS('Master Timeline'!$C$2:$C$327,2025,'Master Timeline'!$D$2:$D$327,"Q4",'Master Timeline'!$F$2:$F$327,"search_commerce",'Master Timeline'!$R$2:$R$327,"landmark"))</x:f>
        <x:v>$1★0</x:v>
      </x:c>
      <x:c r="P12" s="88" t="str">
        <x:f>IF(COUNTIFS('Master Timeline'!$C$2:$C$327,2026,'Master Timeline'!$D$2:$D$327,"Q1",'Master Timeline'!$F$2:$F$327,"search_commerce")=0,"·",$B12&amp;COUNTIFS('Master Timeline'!$C$2:$C$327,2026,'Master Timeline'!$D$2:$D$327,"Q1",'Master Timeline'!$F$2:$F$327,"search_commerce")&amp;"★"&amp;COUNTIFS('Master Timeline'!$C$2:$C$327,2026,'Master Timeline'!$D$2:$D$327,"Q1",'Master Timeline'!$F$2:$F$327,"search_commerce",'Master Timeline'!$R$2:$R$327,"landmark"))</x:f>
        <x:v>$1★0</x:v>
      </x:c>
      <x:c r="Q12" s="88" t="str">
        <x:f>IF(COUNTIFS('Master Timeline'!$C$2:$C$327,2026,'Master Timeline'!$D$2:$D$327,"Q2",'Master Timeline'!$F$2:$F$327,"search_commerce")=0,"·",$B12&amp;COUNTIFS('Master Timeline'!$C$2:$C$327,2026,'Master Timeline'!$D$2:$D$327,"Q2",'Master Timeline'!$F$2:$F$327,"search_commerce")&amp;"★"&amp;COUNTIFS('Master Timeline'!$C$2:$C$327,2026,'Master Timeline'!$D$2:$D$327,"Q2",'Master Timeline'!$F$2:$F$327,"search_commerce",'Master Timeline'!$R$2:$R$327,"landmark"))</x:f>
        <x:v>$4★1</x:v>
      </x:c>
      <x:c r="R12" s="89" t="str">
        <x:f>IF(COUNTIFS('Master Timeline'!$C$2:$C$327,2026,'Master Timeline'!$D$2:$D$327,"Q3",'Master Timeline'!$F$2:$F$327,"search_commerce")=0,"·",$B12&amp;COUNTIFS('Master Timeline'!$C$2:$C$327,2026,'Master Timeline'!$D$2:$D$327,"Q3",'Master Timeline'!$F$2:$F$327,"search_commerce")&amp;"★"&amp;COUNTIFS('Master Timeline'!$C$2:$C$327,2026,'Master Timeline'!$D$2:$D$327,"Q3",'Master Timeline'!$F$2:$F$327,"search_commerce",'Master Timeline'!$R$2:$R$327,"landmark"))</x:f>
        <x:v>·</x:v>
      </x:c>
    </x:row>
    <x:row r="13" ht="31" customHeight="1">
      <x:c r="A13" s="94" t="str">
        <x:v>Enterprise Citadel</x:v>
      </x:c>
      <x:c r="B13" s="100" t="str">
        <x:v>H</x:v>
      </x:c>
      <x:c r="C13" s="88" t="str">
        <x:f>IF(COUNTIFS('Master Timeline'!$C$2:$C$327,2022,'Master Timeline'!$D$2:$D$327,"Q4",'Master Timeline'!$F$2:$F$327,"enterprise_vertical")=0,"·",$B13&amp;COUNTIFS('Master Timeline'!$C$2:$C$327,2022,'Master Timeline'!$D$2:$D$327,"Q4",'Master Timeline'!$F$2:$F$327,"enterprise_vertical")&amp;"★"&amp;COUNTIFS('Master Timeline'!$C$2:$C$327,2022,'Master Timeline'!$D$2:$D$327,"Q4",'Master Timeline'!$F$2:$F$327,"enterprise_vertical",'Master Timeline'!$R$2:$R$327,"landmark"))</x:f>
        <x:v>·</x:v>
      </x:c>
      <x:c r="D13" s="88" t="str">
        <x:f>IF(COUNTIFS('Master Timeline'!$C$2:$C$327,2023,'Master Timeline'!$D$2:$D$327,"Q1",'Master Timeline'!$F$2:$F$327,"enterprise_vertical")=0,"·",$B13&amp;COUNTIFS('Master Timeline'!$C$2:$C$327,2023,'Master Timeline'!$D$2:$D$327,"Q1",'Master Timeline'!$F$2:$F$327,"enterprise_vertical")&amp;"★"&amp;COUNTIFS('Master Timeline'!$C$2:$C$327,2023,'Master Timeline'!$D$2:$D$327,"Q1",'Master Timeline'!$F$2:$F$327,"enterprise_vertical",'Master Timeline'!$R$2:$R$327,"landmark"))</x:f>
        <x:v>·</x:v>
      </x:c>
      <x:c r="E13" s="88" t="str">
        <x:f>IF(COUNTIFS('Master Timeline'!$C$2:$C$327,2023,'Master Timeline'!$D$2:$D$327,"Q2",'Master Timeline'!$F$2:$F$327,"enterprise_vertical")=0,"·",$B13&amp;COUNTIFS('Master Timeline'!$C$2:$C$327,2023,'Master Timeline'!$D$2:$D$327,"Q2",'Master Timeline'!$F$2:$F$327,"enterprise_vertical")&amp;"★"&amp;COUNTIFS('Master Timeline'!$C$2:$C$327,2023,'Master Timeline'!$D$2:$D$327,"Q2",'Master Timeline'!$F$2:$F$327,"enterprise_vertical",'Master Timeline'!$R$2:$R$327,"landmark"))</x:f>
        <x:v>·</x:v>
      </x:c>
      <x:c r="F13" s="88" t="str">
        <x:f>IF(COUNTIFS('Master Timeline'!$C$2:$C$327,2023,'Master Timeline'!$D$2:$D$327,"Q3",'Master Timeline'!$F$2:$F$327,"enterprise_vertical")=0,"·",$B13&amp;COUNTIFS('Master Timeline'!$C$2:$C$327,2023,'Master Timeline'!$D$2:$D$327,"Q3",'Master Timeline'!$F$2:$F$327,"enterprise_vertical")&amp;"★"&amp;COUNTIFS('Master Timeline'!$C$2:$C$327,2023,'Master Timeline'!$D$2:$D$327,"Q3",'Master Timeline'!$F$2:$F$327,"enterprise_vertical",'Master Timeline'!$R$2:$R$327,"landmark"))</x:f>
        <x:v>H1★1</x:v>
      </x:c>
      <x:c r="G13" s="88" t="str">
        <x:f>IF(COUNTIFS('Master Timeline'!$C$2:$C$327,2023,'Master Timeline'!$D$2:$D$327,"Q4",'Master Timeline'!$F$2:$F$327,"enterprise_vertical")=0,"·",$B13&amp;COUNTIFS('Master Timeline'!$C$2:$C$327,2023,'Master Timeline'!$D$2:$D$327,"Q4",'Master Timeline'!$F$2:$F$327,"enterprise_vertical")&amp;"★"&amp;COUNTIFS('Master Timeline'!$C$2:$C$327,2023,'Master Timeline'!$D$2:$D$327,"Q4",'Master Timeline'!$F$2:$F$327,"enterprise_vertical",'Master Timeline'!$R$2:$R$327,"landmark"))</x:f>
        <x:v>H1★0</x:v>
      </x:c>
      <x:c r="H13" s="88" t="str">
        <x:f>IF(COUNTIFS('Master Timeline'!$C$2:$C$327,2024,'Master Timeline'!$D$2:$D$327,"Q1",'Master Timeline'!$F$2:$F$327,"enterprise_vertical")=0,"·",$B13&amp;COUNTIFS('Master Timeline'!$C$2:$C$327,2024,'Master Timeline'!$D$2:$D$327,"Q1",'Master Timeline'!$F$2:$F$327,"enterprise_vertical")&amp;"★"&amp;COUNTIFS('Master Timeline'!$C$2:$C$327,2024,'Master Timeline'!$D$2:$D$327,"Q1",'Master Timeline'!$F$2:$F$327,"enterprise_vertical",'Master Timeline'!$R$2:$R$327,"landmark"))</x:f>
        <x:v>H2★1</x:v>
      </x:c>
      <x:c r="I13" s="88" t="str">
        <x:f>IF(COUNTIFS('Master Timeline'!$C$2:$C$327,2024,'Master Timeline'!$D$2:$D$327,"Q2",'Master Timeline'!$F$2:$F$327,"enterprise_vertical")=0,"·",$B13&amp;COUNTIFS('Master Timeline'!$C$2:$C$327,2024,'Master Timeline'!$D$2:$D$327,"Q2",'Master Timeline'!$F$2:$F$327,"enterprise_vertical")&amp;"★"&amp;COUNTIFS('Master Timeline'!$C$2:$C$327,2024,'Master Timeline'!$D$2:$D$327,"Q2",'Master Timeline'!$F$2:$F$327,"enterprise_vertical",'Master Timeline'!$R$2:$R$327,"landmark"))</x:f>
        <x:v>H2★1</x:v>
      </x:c>
      <x:c r="J13" s="88" t="str">
        <x:f>IF(COUNTIFS('Master Timeline'!$C$2:$C$327,2024,'Master Timeline'!$D$2:$D$327,"Q3",'Master Timeline'!$F$2:$F$327,"enterprise_vertical")=0,"·",$B13&amp;COUNTIFS('Master Timeline'!$C$2:$C$327,2024,'Master Timeline'!$D$2:$D$327,"Q3",'Master Timeline'!$F$2:$F$327,"enterprise_vertical")&amp;"★"&amp;COUNTIFS('Master Timeline'!$C$2:$C$327,2024,'Master Timeline'!$D$2:$D$327,"Q3",'Master Timeline'!$F$2:$F$327,"enterprise_vertical",'Master Timeline'!$R$2:$R$327,"landmark"))</x:f>
        <x:v>·</x:v>
      </x:c>
      <x:c r="K13" s="88" t="str">
        <x:f>IF(COUNTIFS('Master Timeline'!$C$2:$C$327,2024,'Master Timeline'!$D$2:$D$327,"Q4",'Master Timeline'!$F$2:$F$327,"enterprise_vertical")=0,"·",$B13&amp;COUNTIFS('Master Timeline'!$C$2:$C$327,2024,'Master Timeline'!$D$2:$D$327,"Q4",'Master Timeline'!$F$2:$F$327,"enterprise_vertical")&amp;"★"&amp;COUNTIFS('Master Timeline'!$C$2:$C$327,2024,'Master Timeline'!$D$2:$D$327,"Q4",'Master Timeline'!$F$2:$F$327,"enterprise_vertical",'Master Timeline'!$R$2:$R$327,"landmark"))</x:f>
        <x:v>H1★0</x:v>
      </x:c>
      <x:c r="L13" s="88" t="str">
        <x:f>IF(COUNTIFS('Master Timeline'!$C$2:$C$327,2025,'Master Timeline'!$D$2:$D$327,"Q1",'Master Timeline'!$F$2:$F$327,"enterprise_vertical")=0,"·",$B13&amp;COUNTIFS('Master Timeline'!$C$2:$C$327,2025,'Master Timeline'!$D$2:$D$327,"Q1",'Master Timeline'!$F$2:$F$327,"enterprise_vertical")&amp;"★"&amp;COUNTIFS('Master Timeline'!$C$2:$C$327,2025,'Master Timeline'!$D$2:$D$327,"Q1",'Master Timeline'!$F$2:$F$327,"enterprise_vertical",'Master Timeline'!$R$2:$R$327,"landmark"))</x:f>
        <x:v>·</x:v>
      </x:c>
      <x:c r="M13" s="88" t="str">
        <x:f>IF(COUNTIFS('Master Timeline'!$C$2:$C$327,2025,'Master Timeline'!$D$2:$D$327,"Q2",'Master Timeline'!$F$2:$F$327,"enterprise_vertical")=0,"·",$B13&amp;COUNTIFS('Master Timeline'!$C$2:$C$327,2025,'Master Timeline'!$D$2:$D$327,"Q2",'Master Timeline'!$F$2:$F$327,"enterprise_vertical")&amp;"★"&amp;COUNTIFS('Master Timeline'!$C$2:$C$327,2025,'Master Timeline'!$D$2:$D$327,"Q2",'Master Timeline'!$F$2:$F$327,"enterprise_vertical",'Master Timeline'!$R$2:$R$327,"landmark"))</x:f>
        <x:v>H1★1</x:v>
      </x:c>
      <x:c r="N13" s="88" t="str">
        <x:f>IF(COUNTIFS('Master Timeline'!$C$2:$C$327,2025,'Master Timeline'!$D$2:$D$327,"Q3",'Master Timeline'!$F$2:$F$327,"enterprise_vertical")=0,"·",$B13&amp;COUNTIFS('Master Timeline'!$C$2:$C$327,2025,'Master Timeline'!$D$2:$D$327,"Q3",'Master Timeline'!$F$2:$F$327,"enterprise_vertical")&amp;"★"&amp;COUNTIFS('Master Timeline'!$C$2:$C$327,2025,'Master Timeline'!$D$2:$D$327,"Q3",'Master Timeline'!$F$2:$F$327,"enterprise_vertical",'Master Timeline'!$R$2:$R$327,"landmark"))</x:f>
        <x:v>H2★1</x:v>
      </x:c>
      <x:c r="O13" s="88" t="str">
        <x:f>IF(COUNTIFS('Master Timeline'!$C$2:$C$327,2025,'Master Timeline'!$D$2:$D$327,"Q4",'Master Timeline'!$F$2:$F$327,"enterprise_vertical")=0,"·",$B13&amp;COUNTIFS('Master Timeline'!$C$2:$C$327,2025,'Master Timeline'!$D$2:$D$327,"Q4",'Master Timeline'!$F$2:$F$327,"enterprise_vertical")&amp;"★"&amp;COUNTIFS('Master Timeline'!$C$2:$C$327,2025,'Master Timeline'!$D$2:$D$327,"Q4",'Master Timeline'!$F$2:$F$327,"enterprise_vertical",'Master Timeline'!$R$2:$R$327,"landmark"))</x:f>
        <x:v>H2★0</x:v>
      </x:c>
      <x:c r="P13" s="88" t="str">
        <x:f>IF(COUNTIFS('Master Timeline'!$C$2:$C$327,2026,'Master Timeline'!$D$2:$D$327,"Q1",'Master Timeline'!$F$2:$F$327,"enterprise_vertical")=0,"·",$B13&amp;COUNTIFS('Master Timeline'!$C$2:$C$327,2026,'Master Timeline'!$D$2:$D$327,"Q1",'Master Timeline'!$F$2:$F$327,"enterprise_vertical")&amp;"★"&amp;COUNTIFS('Master Timeline'!$C$2:$C$327,2026,'Master Timeline'!$D$2:$D$327,"Q1",'Master Timeline'!$F$2:$F$327,"enterprise_vertical",'Master Timeline'!$R$2:$R$327,"landmark"))</x:f>
        <x:v>H1★1</x:v>
      </x:c>
      <x:c r="Q13" s="88" t="str">
        <x:f>IF(COUNTIFS('Master Timeline'!$C$2:$C$327,2026,'Master Timeline'!$D$2:$D$327,"Q2",'Master Timeline'!$F$2:$F$327,"enterprise_vertical")=0,"·",$B13&amp;COUNTIFS('Master Timeline'!$C$2:$C$327,2026,'Master Timeline'!$D$2:$D$327,"Q2",'Master Timeline'!$F$2:$F$327,"enterprise_vertical")&amp;"★"&amp;COUNTIFS('Master Timeline'!$C$2:$C$327,2026,'Master Timeline'!$D$2:$D$327,"Q2",'Master Timeline'!$F$2:$F$327,"enterprise_vertical",'Master Timeline'!$R$2:$R$327,"landmark"))</x:f>
        <x:v>H5★3</x:v>
      </x:c>
      <x:c r="R13" s="89" t="str">
        <x:f>IF(COUNTIFS('Master Timeline'!$C$2:$C$327,2026,'Master Timeline'!$D$2:$D$327,"Q3",'Master Timeline'!$F$2:$F$327,"enterprise_vertical")=0,"·",$B13&amp;COUNTIFS('Master Timeline'!$C$2:$C$327,2026,'Master Timeline'!$D$2:$D$327,"Q3",'Master Timeline'!$F$2:$F$327,"enterprise_vertical")&amp;"★"&amp;COUNTIFS('Master Timeline'!$C$2:$C$327,2026,'Master Timeline'!$D$2:$D$327,"Q3",'Master Timeline'!$F$2:$F$327,"enterprise_vertical",'Master Timeline'!$R$2:$R$327,"landmark"))</x:f>
        <x:v>·</x:v>
      </x:c>
    </x:row>
    <x:row r="14" ht="31" customHeight="1">
      <x:c r="A14" s="94" t="str">
        <x:v>Client Archipelago</x:v>
      </x:c>
      <x:c r="B14" s="100" t="str">
        <x:v>+</x:v>
      </x:c>
      <x:c r="C14" s="88" t="str">
        <x:f>IF(COUNTIFS('Master Timeline'!$C$2:$C$327,2022,'Master Timeline'!$D$2:$D$327,"Q4",'Master Timeline'!$F$2:$F$327,"clients_surfaces")=0,"·",$B14&amp;COUNTIFS('Master Timeline'!$C$2:$C$327,2022,'Master Timeline'!$D$2:$D$327,"Q4",'Master Timeline'!$F$2:$F$327,"clients_surfaces")&amp;"★"&amp;COUNTIFS('Master Timeline'!$C$2:$C$327,2022,'Master Timeline'!$D$2:$D$327,"Q4",'Master Timeline'!$F$2:$F$327,"clients_surfaces",'Master Timeline'!$R$2:$R$327,"landmark"))</x:f>
        <x:v>·</x:v>
      </x:c>
      <x:c r="D14" s="88" t="str">
        <x:f>IF(COUNTIFS('Master Timeline'!$C$2:$C$327,2023,'Master Timeline'!$D$2:$D$327,"Q1",'Master Timeline'!$F$2:$F$327,"clients_surfaces")=0,"·",$B14&amp;COUNTIFS('Master Timeline'!$C$2:$C$327,2023,'Master Timeline'!$D$2:$D$327,"Q1",'Master Timeline'!$F$2:$F$327,"clients_surfaces")&amp;"★"&amp;COUNTIFS('Master Timeline'!$C$2:$C$327,2023,'Master Timeline'!$D$2:$D$327,"Q1",'Master Timeline'!$F$2:$F$327,"clients_surfaces",'Master Timeline'!$R$2:$R$327,"landmark"))</x:f>
        <x:v>·</x:v>
      </x:c>
      <x:c r="E14" s="88" t="str">
        <x:f>IF(COUNTIFS('Master Timeline'!$C$2:$C$327,2023,'Master Timeline'!$D$2:$D$327,"Q2",'Master Timeline'!$F$2:$F$327,"clients_surfaces")=0,"·",$B14&amp;COUNTIFS('Master Timeline'!$C$2:$C$327,2023,'Master Timeline'!$D$2:$D$327,"Q2",'Master Timeline'!$F$2:$F$327,"clients_surfaces")&amp;"★"&amp;COUNTIFS('Master Timeline'!$C$2:$C$327,2023,'Master Timeline'!$D$2:$D$327,"Q2",'Master Timeline'!$F$2:$F$327,"clients_surfaces",'Master Timeline'!$R$2:$R$327,"landmark"))</x:f>
        <x:v>+2★0</x:v>
      </x:c>
      <x:c r="F14" s="88" t="str">
        <x:f>IF(COUNTIFS('Master Timeline'!$C$2:$C$327,2023,'Master Timeline'!$D$2:$D$327,"Q3",'Master Timeline'!$F$2:$F$327,"clients_surfaces")=0,"·",$B14&amp;COUNTIFS('Master Timeline'!$C$2:$C$327,2023,'Master Timeline'!$D$2:$D$327,"Q3",'Master Timeline'!$F$2:$F$327,"clients_surfaces")&amp;"★"&amp;COUNTIFS('Master Timeline'!$C$2:$C$327,2023,'Master Timeline'!$D$2:$D$327,"Q3",'Master Timeline'!$F$2:$F$327,"clients_surfaces",'Master Timeline'!$R$2:$R$327,"landmark"))</x:f>
        <x:v>+1★0</x:v>
      </x:c>
      <x:c r="G14" s="88" t="str">
        <x:f>IF(COUNTIFS('Master Timeline'!$C$2:$C$327,2023,'Master Timeline'!$D$2:$D$327,"Q4",'Master Timeline'!$F$2:$F$327,"clients_surfaces")=0,"·",$B14&amp;COUNTIFS('Master Timeline'!$C$2:$C$327,2023,'Master Timeline'!$D$2:$D$327,"Q4",'Master Timeline'!$F$2:$F$327,"clients_surfaces")&amp;"★"&amp;COUNTIFS('Master Timeline'!$C$2:$C$327,2023,'Master Timeline'!$D$2:$D$327,"Q4",'Master Timeline'!$F$2:$F$327,"clients_surfaces",'Master Timeline'!$R$2:$R$327,"landmark"))</x:f>
        <x:v>·</x:v>
      </x:c>
      <x:c r="H14" s="88" t="str">
        <x:f>IF(COUNTIFS('Master Timeline'!$C$2:$C$327,2024,'Master Timeline'!$D$2:$D$327,"Q1",'Master Timeline'!$F$2:$F$327,"clients_surfaces")=0,"·",$B14&amp;COUNTIFS('Master Timeline'!$C$2:$C$327,2024,'Master Timeline'!$D$2:$D$327,"Q1",'Master Timeline'!$F$2:$F$327,"clients_surfaces")&amp;"★"&amp;COUNTIFS('Master Timeline'!$C$2:$C$327,2024,'Master Timeline'!$D$2:$D$327,"Q1",'Master Timeline'!$F$2:$F$327,"clients_surfaces",'Master Timeline'!$R$2:$R$327,"landmark"))</x:f>
        <x:v>·</x:v>
      </x:c>
      <x:c r="I14" s="88" t="str">
        <x:f>IF(COUNTIFS('Master Timeline'!$C$2:$C$327,2024,'Master Timeline'!$D$2:$D$327,"Q2",'Master Timeline'!$F$2:$F$327,"clients_surfaces")=0,"·",$B14&amp;COUNTIFS('Master Timeline'!$C$2:$C$327,2024,'Master Timeline'!$D$2:$D$327,"Q2",'Master Timeline'!$F$2:$F$327,"clients_surfaces")&amp;"★"&amp;COUNTIFS('Master Timeline'!$C$2:$C$327,2024,'Master Timeline'!$D$2:$D$327,"Q2",'Master Timeline'!$F$2:$F$327,"clients_surfaces",'Master Timeline'!$R$2:$R$327,"landmark"))</x:f>
        <x:v>+2★1</x:v>
      </x:c>
      <x:c r="J14" s="88" t="str">
        <x:f>IF(COUNTIFS('Master Timeline'!$C$2:$C$327,2024,'Master Timeline'!$D$2:$D$327,"Q3",'Master Timeline'!$F$2:$F$327,"clients_surfaces")=0,"·",$B14&amp;COUNTIFS('Master Timeline'!$C$2:$C$327,2024,'Master Timeline'!$D$2:$D$327,"Q3",'Master Timeline'!$F$2:$F$327,"clients_surfaces")&amp;"★"&amp;COUNTIFS('Master Timeline'!$C$2:$C$327,2024,'Master Timeline'!$D$2:$D$327,"Q3",'Master Timeline'!$F$2:$F$327,"clients_surfaces",'Master Timeline'!$R$2:$R$327,"landmark"))</x:f>
        <x:v>·</x:v>
      </x:c>
      <x:c r="K14" s="88" t="str">
        <x:f>IF(COUNTIFS('Master Timeline'!$C$2:$C$327,2024,'Master Timeline'!$D$2:$D$327,"Q4",'Master Timeline'!$F$2:$F$327,"clients_surfaces")=0,"·",$B14&amp;COUNTIFS('Master Timeline'!$C$2:$C$327,2024,'Master Timeline'!$D$2:$D$327,"Q4",'Master Timeline'!$F$2:$F$327,"clients_surfaces")&amp;"★"&amp;COUNTIFS('Master Timeline'!$C$2:$C$327,2024,'Master Timeline'!$D$2:$D$327,"Q4",'Master Timeline'!$F$2:$F$327,"clients_surfaces",'Master Timeline'!$R$2:$R$327,"landmark"))</x:f>
        <x:v>+2★1</x:v>
      </x:c>
      <x:c r="L14" s="88" t="str">
        <x:f>IF(COUNTIFS('Master Timeline'!$C$2:$C$327,2025,'Master Timeline'!$D$2:$D$327,"Q1",'Master Timeline'!$F$2:$F$327,"clients_surfaces")=0,"·",$B14&amp;COUNTIFS('Master Timeline'!$C$2:$C$327,2025,'Master Timeline'!$D$2:$D$327,"Q1",'Master Timeline'!$F$2:$F$327,"clients_surfaces")&amp;"★"&amp;COUNTIFS('Master Timeline'!$C$2:$C$327,2025,'Master Timeline'!$D$2:$D$327,"Q1",'Master Timeline'!$F$2:$F$327,"clients_surfaces",'Master Timeline'!$R$2:$R$327,"landmark"))</x:f>
        <x:v>·</x:v>
      </x:c>
      <x:c r="M14" s="88" t="str">
        <x:f>IF(COUNTIFS('Master Timeline'!$C$2:$C$327,2025,'Master Timeline'!$D$2:$D$327,"Q2",'Master Timeline'!$F$2:$F$327,"clients_surfaces")=0,"·",$B14&amp;COUNTIFS('Master Timeline'!$C$2:$C$327,2025,'Master Timeline'!$D$2:$D$327,"Q2",'Master Timeline'!$F$2:$F$327,"clients_surfaces")&amp;"★"&amp;COUNTIFS('Master Timeline'!$C$2:$C$327,2025,'Master Timeline'!$D$2:$D$327,"Q2",'Master Timeline'!$F$2:$F$327,"clients_surfaces",'Master Timeline'!$R$2:$R$327,"landmark"))</x:f>
        <x:v>·</x:v>
      </x:c>
      <x:c r="N14" s="88" t="str">
        <x:f>IF(COUNTIFS('Master Timeline'!$C$2:$C$327,2025,'Master Timeline'!$D$2:$D$327,"Q3",'Master Timeline'!$F$2:$F$327,"clients_surfaces")=0,"·",$B14&amp;COUNTIFS('Master Timeline'!$C$2:$C$327,2025,'Master Timeline'!$D$2:$D$327,"Q3",'Master Timeline'!$F$2:$F$327,"clients_surfaces")&amp;"★"&amp;COUNTIFS('Master Timeline'!$C$2:$C$327,2025,'Master Timeline'!$D$2:$D$327,"Q3",'Master Timeline'!$F$2:$F$327,"clients_surfaces",'Master Timeline'!$R$2:$R$327,"landmark"))</x:f>
        <x:v>+1★1</x:v>
      </x:c>
      <x:c r="O14" s="88" t="str">
        <x:f>IF(COUNTIFS('Master Timeline'!$C$2:$C$327,2025,'Master Timeline'!$D$2:$D$327,"Q4",'Master Timeline'!$F$2:$F$327,"clients_surfaces")=0,"·",$B14&amp;COUNTIFS('Master Timeline'!$C$2:$C$327,2025,'Master Timeline'!$D$2:$D$327,"Q4",'Master Timeline'!$F$2:$F$327,"clients_surfaces")&amp;"★"&amp;COUNTIFS('Master Timeline'!$C$2:$C$327,2025,'Master Timeline'!$D$2:$D$327,"Q4",'Master Timeline'!$F$2:$F$327,"clients_surfaces",'Master Timeline'!$R$2:$R$327,"landmark"))</x:f>
        <x:v>+2★1</x:v>
      </x:c>
      <x:c r="P14" s="88" t="str">
        <x:f>IF(COUNTIFS('Master Timeline'!$C$2:$C$327,2026,'Master Timeline'!$D$2:$D$327,"Q1",'Master Timeline'!$F$2:$F$327,"clients_surfaces")=0,"·",$B14&amp;COUNTIFS('Master Timeline'!$C$2:$C$327,2026,'Master Timeline'!$D$2:$D$327,"Q1",'Master Timeline'!$F$2:$F$327,"clients_surfaces")&amp;"★"&amp;COUNTIFS('Master Timeline'!$C$2:$C$327,2026,'Master Timeline'!$D$2:$D$327,"Q1",'Master Timeline'!$F$2:$F$327,"clients_surfaces",'Master Timeline'!$R$2:$R$327,"landmark"))</x:f>
        <x:v>+1★0</x:v>
      </x:c>
      <x:c r="Q14" s="88" t="str">
        <x:f>IF(COUNTIFS('Master Timeline'!$C$2:$C$327,2026,'Master Timeline'!$D$2:$D$327,"Q2",'Master Timeline'!$F$2:$F$327,"clients_surfaces")=0,"·",$B14&amp;COUNTIFS('Master Timeline'!$C$2:$C$327,2026,'Master Timeline'!$D$2:$D$327,"Q2",'Master Timeline'!$F$2:$F$327,"clients_surfaces")&amp;"★"&amp;COUNTIFS('Master Timeline'!$C$2:$C$327,2026,'Master Timeline'!$D$2:$D$327,"Q2",'Master Timeline'!$F$2:$F$327,"clients_surfaces",'Master Timeline'!$R$2:$R$327,"landmark"))</x:f>
        <x:v>+2★0</x:v>
      </x:c>
      <x:c r="R14" s="89" t="str">
        <x:f>IF(COUNTIFS('Master Timeline'!$C$2:$C$327,2026,'Master Timeline'!$D$2:$D$327,"Q3",'Master Timeline'!$F$2:$F$327,"clients_surfaces")=0,"·",$B14&amp;COUNTIFS('Master Timeline'!$C$2:$C$327,2026,'Master Timeline'!$D$2:$D$327,"Q3",'Master Timeline'!$F$2:$F$327,"clients_surfaces")&amp;"★"&amp;COUNTIFS('Master Timeline'!$C$2:$C$327,2026,'Master Timeline'!$D$2:$D$327,"Q3",'Master Timeline'!$F$2:$F$327,"clients_surfaces",'Master Timeline'!$R$2:$R$327,"landmark"))</x:f>
        <x:v>+4★2</x:v>
      </x:c>
    </x:row>
    <x:row r="15" ht="31" customHeight="1">
      <x:c r="A15" s="95" t="str">
        <x:v>Safety Wall</x:v>
      </x:c>
      <x:c r="B15" s="101" t="str">
        <x:v>!</x:v>
      </x:c>
      <x:c r="C15" s="91" t="str">
        <x:f>IF(COUNTIFS('Master Timeline'!$C$2:$C$327,2022,'Master Timeline'!$D$2:$D$327,"Q4",'Master Timeline'!$F$2:$F$327,"safety_lifecycle")=0,"·",$B15&amp;COUNTIFS('Master Timeline'!$C$2:$C$327,2022,'Master Timeline'!$D$2:$D$327,"Q4",'Master Timeline'!$F$2:$F$327,"safety_lifecycle")&amp;"★"&amp;COUNTIFS('Master Timeline'!$C$2:$C$327,2022,'Master Timeline'!$D$2:$D$327,"Q4",'Master Timeline'!$F$2:$F$327,"safety_lifecycle",'Master Timeline'!$R$2:$R$327,"landmark"))</x:f>
        <x:v>·</x:v>
      </x:c>
      <x:c r="D15" s="91" t="str">
        <x:f>IF(COUNTIFS('Master Timeline'!$C$2:$C$327,2023,'Master Timeline'!$D$2:$D$327,"Q1",'Master Timeline'!$F$2:$F$327,"safety_lifecycle")=0,"·",$B15&amp;COUNTIFS('Master Timeline'!$C$2:$C$327,2023,'Master Timeline'!$D$2:$D$327,"Q1",'Master Timeline'!$F$2:$F$327,"safety_lifecycle")&amp;"★"&amp;COUNTIFS('Master Timeline'!$C$2:$C$327,2023,'Master Timeline'!$D$2:$D$327,"Q1",'Master Timeline'!$F$2:$F$327,"safety_lifecycle",'Master Timeline'!$R$2:$R$327,"landmark"))</x:f>
        <x:v>!2★0</x:v>
      </x:c>
      <x:c r="E15" s="91" t="str">
        <x:f>IF(COUNTIFS('Master Timeline'!$C$2:$C$327,2023,'Master Timeline'!$D$2:$D$327,"Q2",'Master Timeline'!$F$2:$F$327,"safety_lifecycle")=0,"·",$B15&amp;COUNTIFS('Master Timeline'!$C$2:$C$327,2023,'Master Timeline'!$D$2:$D$327,"Q2",'Master Timeline'!$F$2:$F$327,"safety_lifecycle")&amp;"★"&amp;COUNTIFS('Master Timeline'!$C$2:$C$327,2023,'Master Timeline'!$D$2:$D$327,"Q2",'Master Timeline'!$F$2:$F$327,"safety_lifecycle",'Master Timeline'!$R$2:$R$327,"landmark"))</x:f>
        <x:v>!3★0</x:v>
      </x:c>
      <x:c r="F15" s="91" t="str">
        <x:f>IF(COUNTIFS('Master Timeline'!$C$2:$C$327,2023,'Master Timeline'!$D$2:$D$327,"Q3",'Master Timeline'!$F$2:$F$327,"safety_lifecycle")=0,"·",$B15&amp;COUNTIFS('Master Timeline'!$C$2:$C$327,2023,'Master Timeline'!$D$2:$D$327,"Q3",'Master Timeline'!$F$2:$F$327,"safety_lifecycle")&amp;"★"&amp;COUNTIFS('Master Timeline'!$C$2:$C$327,2023,'Master Timeline'!$D$2:$D$327,"Q3",'Master Timeline'!$F$2:$F$327,"safety_lifecycle",'Master Timeline'!$R$2:$R$327,"landmark"))</x:f>
        <x:v>!1★0</x:v>
      </x:c>
      <x:c r="G15" s="91" t="str">
        <x:f>IF(COUNTIFS('Master Timeline'!$C$2:$C$327,2023,'Master Timeline'!$D$2:$D$327,"Q4",'Master Timeline'!$F$2:$F$327,"safety_lifecycle")=0,"·",$B15&amp;COUNTIFS('Master Timeline'!$C$2:$C$327,2023,'Master Timeline'!$D$2:$D$327,"Q4",'Master Timeline'!$F$2:$F$327,"safety_lifecycle")&amp;"★"&amp;COUNTIFS('Master Timeline'!$C$2:$C$327,2023,'Master Timeline'!$D$2:$D$327,"Q4",'Master Timeline'!$F$2:$F$327,"safety_lifecycle",'Master Timeline'!$R$2:$R$327,"landmark"))</x:f>
        <x:v>!1★0</x:v>
      </x:c>
      <x:c r="H15" s="91" t="str">
        <x:f>IF(COUNTIFS('Master Timeline'!$C$2:$C$327,2024,'Master Timeline'!$D$2:$D$327,"Q1",'Master Timeline'!$F$2:$F$327,"safety_lifecycle")=0,"·",$B15&amp;COUNTIFS('Master Timeline'!$C$2:$C$327,2024,'Master Timeline'!$D$2:$D$327,"Q1",'Master Timeline'!$F$2:$F$327,"safety_lifecycle")&amp;"★"&amp;COUNTIFS('Master Timeline'!$C$2:$C$327,2024,'Master Timeline'!$D$2:$D$327,"Q1",'Master Timeline'!$F$2:$F$327,"safety_lifecycle",'Master Timeline'!$R$2:$R$327,"landmark"))</x:f>
        <x:v>!1★0</x:v>
      </x:c>
      <x:c r="I15" s="91" t="str">
        <x:f>IF(COUNTIFS('Master Timeline'!$C$2:$C$327,2024,'Master Timeline'!$D$2:$D$327,"Q2",'Master Timeline'!$F$2:$F$327,"safety_lifecycle")=0,"·",$B15&amp;COUNTIFS('Master Timeline'!$C$2:$C$327,2024,'Master Timeline'!$D$2:$D$327,"Q2",'Master Timeline'!$F$2:$F$327,"safety_lifecycle")&amp;"★"&amp;COUNTIFS('Master Timeline'!$C$2:$C$327,2024,'Master Timeline'!$D$2:$D$327,"Q2",'Master Timeline'!$F$2:$F$327,"safety_lifecycle",'Master Timeline'!$R$2:$R$327,"landmark"))</x:f>
        <x:v>!1★0</x:v>
      </x:c>
      <x:c r="J15" s="91" t="str">
        <x:f>IF(COUNTIFS('Master Timeline'!$C$2:$C$327,2024,'Master Timeline'!$D$2:$D$327,"Q3",'Master Timeline'!$F$2:$F$327,"safety_lifecycle")=0,"·",$B15&amp;COUNTIFS('Master Timeline'!$C$2:$C$327,2024,'Master Timeline'!$D$2:$D$327,"Q3",'Master Timeline'!$F$2:$F$327,"safety_lifecycle")&amp;"★"&amp;COUNTIFS('Master Timeline'!$C$2:$C$327,2024,'Master Timeline'!$D$2:$D$327,"Q3",'Master Timeline'!$F$2:$F$327,"safety_lifecycle",'Master Timeline'!$R$2:$R$327,"landmark"))</x:f>
        <x:v>·</x:v>
      </x:c>
      <x:c r="K15" s="91" t="str">
        <x:f>IF(COUNTIFS('Master Timeline'!$C$2:$C$327,2024,'Master Timeline'!$D$2:$D$327,"Q4",'Master Timeline'!$F$2:$F$327,"safety_lifecycle")=0,"·",$B15&amp;COUNTIFS('Master Timeline'!$C$2:$C$327,2024,'Master Timeline'!$D$2:$D$327,"Q4",'Master Timeline'!$F$2:$F$327,"safety_lifecycle")&amp;"★"&amp;COUNTIFS('Master Timeline'!$C$2:$C$327,2024,'Master Timeline'!$D$2:$D$327,"Q4",'Master Timeline'!$F$2:$F$327,"safety_lifecycle",'Master Timeline'!$R$2:$R$327,"landmark"))</x:f>
        <x:v>·</x:v>
      </x:c>
      <x:c r="L15" s="91" t="str">
        <x:f>IF(COUNTIFS('Master Timeline'!$C$2:$C$327,2025,'Master Timeline'!$D$2:$D$327,"Q1",'Master Timeline'!$F$2:$F$327,"safety_lifecycle")=0,"·",$B15&amp;COUNTIFS('Master Timeline'!$C$2:$C$327,2025,'Master Timeline'!$D$2:$D$327,"Q1",'Master Timeline'!$F$2:$F$327,"safety_lifecycle")&amp;"★"&amp;COUNTIFS('Master Timeline'!$C$2:$C$327,2025,'Master Timeline'!$D$2:$D$327,"Q1",'Master Timeline'!$F$2:$F$327,"safety_lifecycle",'Master Timeline'!$R$2:$R$327,"landmark"))</x:f>
        <x:v>!1★0</x:v>
      </x:c>
      <x:c r="M15" s="91" t="str">
        <x:f>IF(COUNTIFS('Master Timeline'!$C$2:$C$327,2025,'Master Timeline'!$D$2:$D$327,"Q2",'Master Timeline'!$F$2:$F$327,"safety_lifecycle")=0,"·",$B15&amp;COUNTIFS('Master Timeline'!$C$2:$C$327,2025,'Master Timeline'!$D$2:$D$327,"Q2",'Master Timeline'!$F$2:$F$327,"safety_lifecycle")&amp;"★"&amp;COUNTIFS('Master Timeline'!$C$2:$C$327,2025,'Master Timeline'!$D$2:$D$327,"Q2",'Master Timeline'!$F$2:$F$327,"safety_lifecycle",'Master Timeline'!$R$2:$R$327,"landmark"))</x:f>
        <x:v>!3★0</x:v>
      </x:c>
      <x:c r="N15" s="91" t="str">
        <x:f>IF(COUNTIFS('Master Timeline'!$C$2:$C$327,2025,'Master Timeline'!$D$2:$D$327,"Q3",'Master Timeline'!$F$2:$F$327,"safety_lifecycle")=0,"·",$B15&amp;COUNTIFS('Master Timeline'!$C$2:$C$327,2025,'Master Timeline'!$D$2:$D$327,"Q3",'Master Timeline'!$F$2:$F$327,"safety_lifecycle")&amp;"★"&amp;COUNTIFS('Master Timeline'!$C$2:$C$327,2025,'Master Timeline'!$D$2:$D$327,"Q3",'Master Timeline'!$F$2:$F$327,"safety_lifecycle",'Master Timeline'!$R$2:$R$327,"landmark"))</x:f>
        <x:v>!7★0</x:v>
      </x:c>
      <x:c r="O15" s="91" t="str">
        <x:f>IF(COUNTIFS('Master Timeline'!$C$2:$C$327,2025,'Master Timeline'!$D$2:$D$327,"Q4",'Master Timeline'!$F$2:$F$327,"safety_lifecycle")=0,"·",$B15&amp;COUNTIFS('Master Timeline'!$C$2:$C$327,2025,'Master Timeline'!$D$2:$D$327,"Q4",'Master Timeline'!$F$2:$F$327,"safety_lifecycle")&amp;"★"&amp;COUNTIFS('Master Timeline'!$C$2:$C$327,2025,'Master Timeline'!$D$2:$D$327,"Q4",'Master Timeline'!$F$2:$F$327,"safety_lifecycle",'Master Timeline'!$R$2:$R$327,"landmark"))</x:f>
        <x:v>!2★0</x:v>
      </x:c>
      <x:c r="P15" s="91" t="str">
        <x:f>IF(COUNTIFS('Master Timeline'!$C$2:$C$327,2026,'Master Timeline'!$D$2:$D$327,"Q1",'Master Timeline'!$F$2:$F$327,"safety_lifecycle")=0,"·",$B15&amp;COUNTIFS('Master Timeline'!$C$2:$C$327,2026,'Master Timeline'!$D$2:$D$327,"Q1",'Master Timeline'!$F$2:$F$327,"safety_lifecycle")&amp;"★"&amp;COUNTIFS('Master Timeline'!$C$2:$C$327,2026,'Master Timeline'!$D$2:$D$327,"Q1",'Master Timeline'!$F$2:$F$327,"safety_lifecycle",'Master Timeline'!$R$2:$R$327,"landmark"))</x:f>
        <x:v>!3★0</x:v>
      </x:c>
      <x:c r="Q15" s="91" t="str">
        <x:f>IF(COUNTIFS('Master Timeline'!$C$2:$C$327,2026,'Master Timeline'!$D$2:$D$327,"Q2",'Master Timeline'!$F$2:$F$327,"safety_lifecycle")=0,"·",$B15&amp;COUNTIFS('Master Timeline'!$C$2:$C$327,2026,'Master Timeline'!$D$2:$D$327,"Q2",'Master Timeline'!$F$2:$F$327,"safety_lifecycle")&amp;"★"&amp;COUNTIFS('Master Timeline'!$C$2:$C$327,2026,'Master Timeline'!$D$2:$D$327,"Q2",'Master Timeline'!$F$2:$F$327,"safety_lifecycle",'Master Timeline'!$R$2:$R$327,"landmark"))</x:f>
        <x:v>!8★1</x:v>
      </x:c>
      <x:c r="R15" s="92" t="str">
        <x:f>IF(COUNTIFS('Master Timeline'!$C$2:$C$327,2026,'Master Timeline'!$D$2:$D$327,"Q3",'Master Timeline'!$F$2:$F$327,"safety_lifecycle")=0,"·",$B15&amp;COUNTIFS('Master Timeline'!$C$2:$C$327,2026,'Master Timeline'!$D$2:$D$327,"Q3",'Master Timeline'!$F$2:$F$327,"safety_lifecycle")&amp;"★"&amp;COUNTIFS('Master Timeline'!$C$2:$C$327,2026,'Master Timeline'!$D$2:$D$327,"Q3",'Master Timeline'!$F$2:$F$327,"safety_lifecycle",'Master Timeline'!$R$2:$R$327,"landmark"))</x:f>
        <x:v>!1★0</x:v>
      </x:c>
    </x:row>
  </x:sheetData>
  <x:mergeCells>
    <x:mergeCell ref="A1:R2"/>
    <x:mergeCell ref="A3:R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40" hidden="0" customWidth="1"/>
    <x:col min="3" max="3" width="62" hidden="0" customWidth="1"/>
    <x:col min="4" max="4" width="27" hidden="0" customWidth="1"/>
    <x:col min="5" max="5" width="48" hidden="0" customWidth="1"/>
    <x:col min="6" max="6" width="22" hidden="0" customWidth="1"/>
    <x:col min="7" max="7" width="16" hidden="0" customWidth="1"/>
    <x:col min="8" max="8" width="14" hidden="0" customWidth="1"/>
    <x:col min="9" max="9" width="18" hidden="0" customWidth="1"/>
  </x:cols>
  <x:sheetData>
    <x:row r="1" ht="30" customHeight="1">
      <x:c r="A1" s="20" t="str">
        <x:v>source_id</x:v>
      </x:c>
      <x:c r="B1" s="20" t="str">
        <x:v>title</x:v>
      </x:c>
      <x:c r="C1" s="20" t="str">
        <x:v>official_url</x:v>
      </x:c>
      <x:c r="D1" s="20" t="str">
        <x:v>source_kind</x:v>
      </x:c>
      <x:c r="E1" s="20" t="str">
        <x:v>product_scope</x:v>
      </x:c>
      <x:c r="F1" s="20" t="str">
        <x:v>retrieved_at</x:v>
      </x:c>
      <x:c r="G1" s="20" t="str">
        <x:v>snapshot_bytes</x:v>
      </x:c>
      <x:c r="H1" s="20" t="str">
        <x:v>status</x:v>
      </x:c>
      <x:c r="I1" s="20" t="str">
        <x:v>coverage_status</x:v>
      </x:c>
    </x:row>
    <x:row r="2" ht="34" customHeight="1">
      <x:c r="A2" s="50" t="str">
        <x:v>chatgpt-release-notes</x:v>
      </x:c>
      <x:c r="B2" s="50" t="str">
        <x:v>ChatGPT — Release Notes</x:v>
      </x:c>
      <x:c r="C2" s="50" t="str">
        <x:v>https://help.openai.com/en/articles/6825453-chatgpt-release-notes</x:v>
      </x:c>
      <x:c r="D2" s="50" t="str">
        <x:v>help_center_release_notes</x:v>
      </x:c>
      <x:c r="E2" s="50" t="str">
        <x:v>chatgpt_core | multimodal | memory_knowledge | search_commerce</x:v>
      </x:c>
      <x:c r="F2" s="102" t="n">
        <x:v>46216.35176893519</x:v>
      </x:c>
      <x:c r="G2" s="105" t="n">
        <x:v>239356</x:v>
      </x:c>
      <x:c r="H2" s="50" t="str">
        <x:v>retrieved</x:v>
      </x:c>
      <x:c r="I2" s="50" t="str">
        <x:v>parsed</x:v>
      </x:c>
    </x:row>
    <x:row r="3" ht="34" customHeight="1">
      <x:c r="A3" s="52" t="str">
        <x:v>model-release-notes</x:v>
      </x:c>
      <x:c r="B3" s="52" t="str">
        <x:v>Model Release Notes</x:v>
      </x:c>
      <x:c r="C3" s="52" t="str">
        <x:v>https://help.openai.com/en/articles/9624314-model-release-notes</x:v>
      </x:c>
      <x:c r="D3" s="52" t="str">
        <x:v>help_center_release_notes</x:v>
      </x:c>
      <x:c r="E3" s="52" t="str">
        <x:v>models_reasoning | safety_lifecycle</x:v>
      </x:c>
      <x:c r="F3" s="103" t="n">
        <x:v>46216.35176893519</x:v>
      </x:c>
      <x:c r="G3" s="106" t="n">
        <x:v>39366</x:v>
      </x:c>
      <x:c r="H3" s="52" t="str">
        <x:v>retrieved</x:v>
      </x:c>
      <x:c r="I3" s="52" t="str">
        <x:v>parsed</x:v>
      </x:c>
    </x:row>
    <x:row r="4" ht="34" customHeight="1">
      <x:c r="A4" s="52" t="str">
        <x:v>chatgpt-agent-release-notes</x:v>
      </x:c>
      <x:c r="B4" s="52" t="str">
        <x:v>ChatGPT agent — Release Notes</x:v>
      </x:c>
      <x:c r="C4" s="52" t="str">
        <x:v>https://help.openai.com/en/articles/11794368-chatgpt-agent-release-notes</x:v>
      </x:c>
      <x:c r="D4" s="52" t="str">
        <x:v>help_center_release_notes</x:v>
      </x:c>
      <x:c r="E4" s="52" t="str">
        <x:v>agents_research</x:v>
      </x:c>
      <x:c r="F4" s="103" t="n">
        <x:v>46216.35176893519</x:v>
      </x:c>
      <x:c r="G4" s="106" t="n">
        <x:v>1125</x:v>
      </x:c>
      <x:c r="H4" s="52" t="str">
        <x:v>retrieved</x:v>
      </x:c>
      <x:c r="I4" s="52" t="str">
        <x:v>parsed</x:v>
      </x:c>
    </x:row>
    <x:row r="5" ht="34" customHeight="1">
      <x:c r="A5" s="52" t="str">
        <x:v>business-release-notes</x:v>
      </x:c>
      <x:c r="B5" s="52" t="str">
        <x:v>ChatGPT Business — Release Notes</x:v>
      </x:c>
      <x:c r="C5" s="52" t="str">
        <x:v>https://help.openai.com/en/articles/11391654-chatgpt-business-release-notes</x:v>
      </x:c>
      <x:c r="D5" s="52" t="str">
        <x:v>help_center_release_notes</x:v>
      </x:c>
      <x:c r="E5" s="52" t="str">
        <x:v>enterprise_vertical</x:v>
      </x:c>
      <x:c r="F5" s="103" t="n">
        <x:v>46216.35176893519</x:v>
      </x:c>
      <x:c r="G5" s="106" t="n">
        <x:v>73921</x:v>
      </x:c>
      <x:c r="H5" s="52" t="str">
        <x:v>retrieved</x:v>
      </x:c>
      <x:c r="I5" s="52" t="str">
        <x:v>parsed</x:v>
      </x:c>
    </x:row>
    <x:row r="6" ht="34" customHeight="1">
      <x:c r="A6" s="52" t="str">
        <x:v>enterprise-edu-release-notes</x:v>
      </x:c>
      <x:c r="B6" s="52" t="str">
        <x:v>ChatGPT Enterprise &amp; Edu — Release Notes</x:v>
      </x:c>
      <x:c r="C6" s="52" t="str">
        <x:v>https://help.openai.com/en/articles/10128477-chatgpt-enterprise-edu-release-notes</x:v>
      </x:c>
      <x:c r="D6" s="52" t="str">
        <x:v>help_center_release_notes</x:v>
      </x:c>
      <x:c r="E6" s="52" t="str">
        <x:v>enterprise_vertical</x:v>
      </x:c>
      <x:c r="F6" s="103" t="n">
        <x:v>46216.35176893519</x:v>
      </x:c>
      <x:c r="G6" s="106" t="n">
        <x:v>121450</x:v>
      </x:c>
      <x:c r="H6" s="52" t="str">
        <x:v>retrieved</x:v>
      </x:c>
      <x:c r="I6" s="52" t="str">
        <x:v>parsed</x:v>
      </x:c>
    </x:row>
    <x:row r="7" ht="34" customHeight="1">
      <x:c r="A7" s="52" t="str">
        <x:v>macos-release-notes</x:v>
      </x:c>
      <x:c r="B7" s="52" t="str">
        <x:v>ChatGPT macOS app release notes</x:v>
      </x:c>
      <x:c r="C7" s="52" t="str">
        <x:v>https://help.openai.com/en/articles/9703738-desktop-app-release-notes</x:v>
      </x:c>
      <x:c r="D7" s="52" t="str">
        <x:v>help_center_release_notes</x:v>
      </x:c>
      <x:c r="E7" s="52" t="str">
        <x:v>clients_surfaces</x:v>
      </x:c>
      <x:c r="F7" s="103" t="n">
        <x:v>46216.35176893519</x:v>
      </x:c>
      <x:c r="G7" s="106" t="n">
        <x:v>10130</x:v>
      </x:c>
      <x:c r="H7" s="52" t="str">
        <x:v>retrieved</x:v>
      </x:c>
      <x:c r="I7" s="52" t="str">
        <x:v>parsed</x:v>
      </x:c>
    </x:row>
    <x:row r="8" ht="34" customHeight="1">
      <x:c r="A8" s="52" t="str">
        <x:v>windows-release-notes</x:v>
      </x:c>
      <x:c r="B8" s="52" t="str">
        <x:v>Windows App — Release Notes</x:v>
      </x:c>
      <x:c r="C8" s="52" t="str">
        <x:v>https://help.openai.com/en/articles/10003026-windows-app-release-notes</x:v>
      </x:c>
      <x:c r="D8" s="52" t="str">
        <x:v>help_center_release_notes</x:v>
      </x:c>
      <x:c r="E8" s="52" t="str">
        <x:v>clients_surfaces</x:v>
      </x:c>
      <x:c r="F8" s="103" t="n">
        <x:v>46216.35176893519</x:v>
      </x:c>
      <x:c r="G8" s="106" t="n">
        <x:v>4277</x:v>
      </x:c>
      <x:c r="H8" s="52" t="str">
        <x:v>retrieved</x:v>
      </x:c>
      <x:c r="I8" s="52" t="str">
        <x:v>parsed</x:v>
      </x:c>
    </x:row>
    <x:row r="9" ht="34" customHeight="1">
      <x:c r="A9" s="52" t="str">
        <x:v>atlas-release-notes</x:v>
      </x:c>
      <x:c r="B9" s="52" t="str">
        <x:v>ChatGPT Atlas — Release Notes</x:v>
      </x:c>
      <x:c r="C9" s="52" t="str">
        <x:v>https://help.openai.com/en/articles/12591856-chatgpt-atlas-release-notes</x:v>
      </x:c>
      <x:c r="D9" s="52" t="str">
        <x:v>help_center_release_notes</x:v>
      </x:c>
      <x:c r="E9" s="52" t="str">
        <x:v>clients_surfaces | agents_research</x:v>
      </x:c>
      <x:c r="F9" s="103" t="n">
        <x:v>46216.35176893519</x:v>
      </x:c>
      <x:c r="G9" s="106" t="n">
        <x:v>18361</x:v>
      </x:c>
      <x:c r="H9" s="52" t="str">
        <x:v>retrieved</x:v>
      </x:c>
      <x:c r="I9" s="52" t="str">
        <x:v>parsed</x:v>
      </x:c>
    </x:row>
    <x:row r="10" ht="34" customHeight="1">
      <x:c r="A10" s="52" t="str">
        <x:v>api-changelog</x:v>
      </x:c>
      <x:c r="B10" s="52" t="str">
        <x:v>OpenAI API Changelog</x:v>
      </x:c>
      <x:c r="C10" s="52" t="str">
        <x:v>https://platform.openai.com/docs/changelog</x:v>
      </x:c>
      <x:c r="D10" s="52" t="str">
        <x:v>developer_changelog</x:v>
      </x:c>
      <x:c r="E10" s="52" t="str">
        <x:v>developer_platform | models_reasoning</x:v>
      </x:c>
      <x:c r="F10" s="103" t="n">
        <x:v>46216.35176893519</x:v>
      </x:c>
      <x:c r="G10" s="106" t="n">
        <x:v>36037</x:v>
      </x:c>
      <x:c r="H10" s="52" t="str">
        <x:v>retrieved</x:v>
      </x:c>
      <x:c r="I10" s="52" t="str">
        <x:v>parsed</x:v>
      </x:c>
    </x:row>
    <x:row r="11" ht="34" customHeight="1">
      <x:c r="A11" s="52" t="str">
        <x:v>api-deprecations</x:v>
      </x:c>
      <x:c r="B11" s="52" t="str">
        <x:v>OpenAI API Deprecations</x:v>
      </x:c>
      <x:c r="C11" s="52" t="str">
        <x:v>https://platform.openai.com/docs/deprecations</x:v>
      </x:c>
      <x:c r="D11" s="52" t="str">
        <x:v>developer_deprecations</x:v>
      </x:c>
      <x:c r="E11" s="52" t="str">
        <x:v>developer_platform | safety_lifecycle</x:v>
      </x:c>
      <x:c r="F11" s="103" t="n">
        <x:v>46216.35176893519</x:v>
      </x:c>
      <x:c r="G11" s="106" t="n">
        <x:v>26171</x:v>
      </x:c>
      <x:c r="H11" s="52" t="str">
        <x:v>retrieved</x:v>
      </x:c>
      <x:c r="I11" s="52" t="str">
        <x:v>parsed</x:v>
      </x:c>
    </x:row>
    <x:row r="12" ht="34" customHeight="1">
      <x:c r="A12" s="52" t="str">
        <x:v>codex-changelog</x:v>
      </x:c>
      <x:c r="B12" s="52" t="str">
        <x:v>Codex Changelog</x:v>
      </x:c>
      <x:c r="C12" s="52" t="str">
        <x:v>https://developers.openai.com/codex/changelog/</x:v>
      </x:c>
      <x:c r="D12" s="52" t="str">
        <x:v>developer_changelog</x:v>
      </x:c>
      <x:c r="E12" s="52" t="str">
        <x:v>agents_research | developer_platform</x:v>
      </x:c>
      <x:c r="F12" s="103" t="n">
        <x:v>46216.35176893519</x:v>
      </x:c>
      <x:c r="G12" s="106" t="n">
        <x:v>77540</x:v>
      </x:c>
      <x:c r="H12" s="52" t="str">
        <x:v>retrieved</x:v>
      </x:c>
      <x:c r="I12" s="52" t="str">
        <x:v>parsed</x:v>
      </x:c>
    </x:row>
    <x:row r="13" ht="34" customHeight="1">
      <x:c r="A13" s="52" t="str">
        <x:v>apps-sdk-changelog</x:v>
      </x:c>
      <x:c r="B13" s="52" t="str">
        <x:v>Apps SDK Changelog</x:v>
      </x:c>
      <x:c r="C13" s="52" t="str">
        <x:v>https://developers.openai.com/apps-sdk/changelog/</x:v>
      </x:c>
      <x:c r="D13" s="52" t="str">
        <x:v>developer_changelog</x:v>
      </x:c>
      <x:c r="E13" s="52" t="str">
        <x:v>developer_platform</x:v>
      </x:c>
      <x:c r="F13" s="103" t="n">
        <x:v>46216.35176893519</x:v>
      </x:c>
      <x:c r="G13" s="106" t="n">
        <x:v>42531</x:v>
      </x:c>
      <x:c r="H13" s="52" t="str">
        <x:v>retrieved</x:v>
      </x:c>
      <x:c r="I13" s="52" t="str">
        <x:v>parsed</x:v>
      </x:c>
    </x:row>
    <x:row r="14" ht="34" customHeight="1">
      <x:c r="A14" s="52" t="str">
        <x:v>introducing-chatgpt</x:v>
      </x:c>
      <x:c r="B14" s="52" t="str">
        <x:v>Introducing ChatGPT</x:v>
      </x:c>
      <x:c r="C14" s="52" t="str">
        <x:v>https://openai.com/index/chatgpt/</x:v>
      </x:c>
      <x:c r="D14" s="52" t="str">
        <x:v>official_launch_post</x:v>
      </x:c>
      <x:c r="E14" s="52" t="str">
        <x:v>chatgpt_core</x:v>
      </x:c>
      <x:c r="F14" s="103" t="n">
        <x:v>46216.35176893519</x:v>
      </x:c>
      <x:c r="G14" s="106" t="n">
        <x:v>11789</x:v>
      </x:c>
      <x:c r="H14" s="52" t="str">
        <x:v>retrieved</x:v>
      </x:c>
      <x:c r="I14" s="52" t="str">
        <x:v>parsed</x:v>
      </x:c>
    </x:row>
    <x:row r="15" ht="34" customHeight="1">
      <x:c r="A15" s="52" t="str">
        <x:v>chatgpt-work-and-codex</x:v>
      </x:c>
      <x:c r="B15" s="52" t="str">
        <x:v>ChatGPT Work and Codex</x:v>
      </x:c>
      <x:c r="C15" s="52" t="str">
        <x:v>https://help.openai.com/en/articles/20001275-chatgpt-work-and-codex</x:v>
      </x:c>
      <x:c r="D15" s="52" t="str">
        <x:v>official_product_guide</x:v>
      </x:c>
      <x:c r="E15" s="52" t="str">
        <x:v>agents_research</x:v>
      </x:c>
      <x:c r="F15" s="103" t="n">
        <x:v>46216.35176893519</x:v>
      </x:c>
      <x:c r="G15" s="106" t="n">
        <x:v>8129</x:v>
      </x:c>
      <x:c r="H15" s="52" t="str">
        <x:v>retrieved</x:v>
      </x:c>
      <x:c r="I15" s="52" t="str">
        <x:v>parsed</x:v>
      </x:c>
    </x:row>
    <x:row r="16" ht="34" customHeight="1">
      <x:c r="A16" s="54" t="str">
        <x:v>sora-discontinuation</x:v>
      </x:c>
      <x:c r="B16" s="54" t="str">
        <x:v>What to know about the Sora discontinuation</x:v>
      </x:c>
      <x:c r="C16" s="54" t="str">
        <x:v>https://help.openai.com/en/articles/20001152-what-to-know-about-the-sora-discontinuation</x:v>
      </x:c>
      <x:c r="D16" s="54" t="str">
        <x:v>official_lifecycle_notice</x:v>
      </x:c>
      <x:c r="E16" s="54" t="str">
        <x:v>multimodal | safety_lifecycle</x:v>
      </x:c>
      <x:c r="F16" s="104" t="n">
        <x:v>46216.35176893519</x:v>
      </x:c>
      <x:c r="G16" s="107" t="n">
        <x:v>1280</x:v>
      </x:c>
      <x:c r="H16" s="54" t="str">
        <x:v>retrieved</x:v>
      </x:c>
      <x:c r="I16" s="54" t="str">
        <x:v>parsed</x:v>
      </x:c>
    </x:row>
  </x:sheetData>
  <x:pageMargins left="0.7" right="0.7" top="0.75" bottom="0.75" header="0.3" footer="0.3"/>
  <x:tableParts count="1">
    <x:tablePart xmlns:r="http://schemas.openxmlformats.org/officeDocument/2006/relationships" r:id="R40f25d86a2c3436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27" hidden="0" customWidth="1"/>
    <x:col min="3" max="3" width="22" hidden="0" customWidth="1"/>
    <x:col min="4" max="4" width="28" hidden="0" customWidth="1"/>
    <x:col min="5" max="5" width="9" hidden="0" customWidth="1"/>
    <x:col min="6" max="6" width="13" hidden="0" customWidth="1"/>
    <x:col min="7" max="7" width="9" hidden="0" customWidth="1"/>
    <x:col min="8" max="8" width="17" hidden="0" customWidth="1"/>
    <x:col min="9" max="9" width="18" hidden="0" customWidth="1"/>
    <x:col min="10" max="10" width="14" hidden="0" customWidth="1"/>
  </x:cols>
  <x:sheetData>
    <x:row r="1" ht="30" customHeight="1">
      <x:c r="A1" s="20" t="str">
        <x:v>family_id</x:v>
      </x:c>
      <x:c r="B1" s="20" t="str">
        <x:v>name_en</x:v>
      </x:c>
      <x:c r="C1" s="20" t="str">
        <x:v>name_zh</x:v>
      </x:c>
      <x:c r="D1" s="20" t="str">
        <x:v>map_region</x:v>
      </x:c>
      <x:c r="E1" s="20" t="str">
        <x:v>glyph</x:v>
      </x:c>
      <x:c r="F1" s="20" t="str">
        <x:v>color</x:v>
      </x:c>
      <x:c r="G1" s="20" t="str">
        <x:v>lane</x:v>
      </x:c>
      <x:c r="H1" s="20" t="str">
        <x:v>pixel_icon</x:v>
      </x:c>
      <x:c r="I1" s="20" t="str">
        <x:v>canonical_nodes</x:v>
      </x:c>
      <x:c r="J1" s="20" t="str">
        <x:v>landmarks</x:v>
      </x:c>
    </x:row>
    <x:row r="2" ht="32" customHeight="1">
      <x:c r="A2" s="50" t="str">
        <x:v>chatgpt_core</x:v>
      </x:c>
      <x:c r="B2" s="50" t="str">
        <x:v>ChatGPT Core</x:v>
      </x:c>
      <x:c r="C2" s="50" t="str">
        <x:v>ChatGPT 核心</x:v>
      </x:c>
      <x:c r="D2" s="50" t="str">
        <x:v>Origin Plaza</x:v>
      </x:c>
      <x:c r="E2" s="114" t="str">
        <x:v>@</x:v>
      </x:c>
      <x:c r="F2" s="50" t="str">
        <x:v>#58f6d0</x:v>
      </x:c>
      <x:c r="G2" s="59" t="n">
        <x:v>0</x:v>
      </x:c>
      <x:c r="H2" s="59" t="str">
        <x:v>home</x:v>
      </x:c>
      <x:c r="I2" s="59" t="n">
        <x:v>23</x:v>
      </x:c>
      <x:c r="J2" s="59" t="n">
        <x:v>5</x:v>
      </x:c>
    </x:row>
    <x:row r="3" ht="32" customHeight="1">
      <x:c r="A3" s="52" t="str">
        <x:v>models_reasoning</x:v>
      </x:c>
      <x:c r="B3" s="52" t="str">
        <x:v>Models &amp; Reasoning</x:v>
      </x:c>
      <x:c r="C3" s="52" t="str">
        <x:v>模型與推理</x:v>
      </x:c>
      <x:c r="D3" s="52" t="str">
        <x:v>Model Mountains</x:v>
      </x:c>
      <x:c r="E3" s="115" t="str">
        <x:v>^</x:v>
      </x:c>
      <x:c r="F3" s="52" t="str">
        <x:v>#f7d85b</x:v>
      </x:c>
      <x:c r="G3" s="60" t="n">
        <x:v>1</x:v>
      </x:c>
      <x:c r="H3" s="60" t="str">
        <x:v>peak</x:v>
      </x:c>
      <x:c r="I3" s="60" t="n">
        <x:v>69</x:v>
      </x:c>
      <x:c r="J3" s="60" t="n">
        <x:v>24</x:v>
      </x:c>
    </x:row>
    <x:row r="4" ht="32" customHeight="1">
      <x:c r="A4" s="52" t="str">
        <x:v>agents_research</x:v>
      </x:c>
      <x:c r="B4" s="52" t="str">
        <x:v>Agents &amp; Research</x:v>
      </x:c>
      <x:c r="C4" s="52" t="str">
        <x:v>代理與研究</x:v>
      </x:c>
      <x:c r="D4" s="52" t="str">
        <x:v>Agentic Frontier</x:v>
      </x:c>
      <x:c r="E4" s="115" t="str">
        <x:v>&gt;</x:v>
      </x:c>
      <x:c r="F4" s="52" t="str">
        <x:v>#ff8e5b</x:v>
      </x:c>
      <x:c r="G4" s="60" t="n">
        <x:v>2</x:v>
      </x:c>
      <x:c r="H4" s="60" t="str">
        <x:v>compass</x:v>
      </x:c>
      <x:c r="I4" s="60" t="n">
        <x:v>65</x:v>
      </x:c>
      <x:c r="J4" s="60" t="n">
        <x:v>23</x:v>
      </x:c>
    </x:row>
    <x:row r="5" ht="32" customHeight="1">
      <x:c r="A5" s="52" t="str">
        <x:v>developer_platform</x:v>
      </x:c>
      <x:c r="B5" s="52" t="str">
        <x:v>Developer Platform</x:v>
      </x:c>
      <x:c r="C5" s="52" t="str">
        <x:v>開發者平台</x:v>
      </x:c>
      <x:c r="D5" s="52" t="str">
        <x:v>Toolsmith Harbor</x:v>
      </x:c>
      <x:c r="E5" s="115" t="str">
        <x:v>#</x:v>
      </x:c>
      <x:c r="F5" s="52" t="str">
        <x:v>#6ec8ff</x:v>
      </x:c>
      <x:c r="G5" s="60" t="n">
        <x:v>3</x:v>
      </x:c>
      <x:c r="H5" s="60" t="str">
        <x:v>terminal</x:v>
      </x:c>
      <x:c r="I5" s="60" t="n">
        <x:v>32</x:v>
      </x:c>
      <x:c r="J5" s="60" t="n">
        <x:v>1</x:v>
      </x:c>
    </x:row>
    <x:row r="6" ht="32" customHeight="1">
      <x:c r="A6" s="52" t="str">
        <x:v>multimodal</x:v>
      </x:c>
      <x:c r="B6" s="52" t="str">
        <x:v>Multimodal</x:v>
      </x:c>
      <x:c r="C6" s="52" t="str">
        <x:v>多模態</x:v>
      </x:c>
      <x:c r="D6" s="52" t="str">
        <x:v>Multimodal Coast</x:v>
      </x:c>
      <x:c r="E6" s="115" t="str">
        <x:v>~</x:v>
      </x:c>
      <x:c r="F6" s="52" t="str">
        <x:v>#a995ff</x:v>
      </x:c>
      <x:c r="G6" s="60" t="n">
        <x:v>4</x:v>
      </x:c>
      <x:c r="H6" s="60" t="str">
        <x:v>wave</x:v>
      </x:c>
      <x:c r="I6" s="60" t="n">
        <x:v>35</x:v>
      </x:c>
      <x:c r="J6" s="60" t="n">
        <x:v>10</x:v>
      </x:c>
    </x:row>
    <x:row r="7" ht="32" customHeight="1">
      <x:c r="A7" s="52" t="str">
        <x:v>memory_knowledge</x:v>
      </x:c>
      <x:c r="B7" s="52" t="str">
        <x:v>Memory &amp; Knowledge</x:v>
      </x:c>
      <x:c r="C7" s="52" t="str">
        <x:v>記憶與知識</x:v>
      </x:c>
      <x:c r="D7" s="52" t="str">
        <x:v>Memory Forest</x:v>
      </x:c>
      <x:c r="E7" s="115" t="str">
        <x:v>&amp;</x:v>
      </x:c>
      <x:c r="F7" s="52" t="str">
        <x:v>#87e36f</x:v>
      </x:c>
      <x:c r="G7" s="60" t="n">
        <x:v>5</x:v>
      </x:c>
      <x:c r="H7" s="60" t="str">
        <x:v>tree</x:v>
      </x:c>
      <x:c r="I7" s="60" t="n">
        <x:v>17</x:v>
      </x:c>
      <x:c r="J7" s="60" t="n">
        <x:v>2</x:v>
      </x:c>
    </x:row>
    <x:row r="8" ht="32" customHeight="1">
      <x:c r="A8" s="52" t="str">
        <x:v>search_commerce</x:v>
      </x:c>
      <x:c r="B8" s="52" t="str">
        <x:v>Search &amp; Commerce</x:v>
      </x:c>
      <x:c r="C8" s="52" t="str">
        <x:v>搜尋與商務</x:v>
      </x:c>
      <x:c r="D8" s="52" t="str">
        <x:v>Commerce Bazaar</x:v>
      </x:c>
      <x:c r="E8" s="115" t="str">
        <x:v>$</x:v>
      </x:c>
      <x:c r="F8" s="52" t="str">
        <x:v>#ffb65b</x:v>
      </x:c>
      <x:c r="G8" s="60" t="n">
        <x:v>6</x:v>
      </x:c>
      <x:c r="H8" s="60" t="str">
        <x:v>shop</x:v>
      </x:c>
      <x:c r="I8" s="60" t="n">
        <x:v>16</x:v>
      </x:c>
      <x:c r="J8" s="60" t="n">
        <x:v>2</x:v>
      </x:c>
    </x:row>
    <x:row r="9" ht="32" customHeight="1">
      <x:c r="A9" s="52" t="str">
        <x:v>enterprise_vertical</x:v>
      </x:c>
      <x:c r="B9" s="52" t="str">
        <x:v>Enterprise &amp; Vertical</x:v>
      </x:c>
      <x:c r="C9" s="52" t="str">
        <x:v>企業與垂直領域</x:v>
      </x:c>
      <x:c r="D9" s="52" t="str">
        <x:v>Enterprise Citadel</x:v>
      </x:c>
      <x:c r="E9" s="115" t="str">
        <x:v>H</x:v>
      </x:c>
      <x:c r="F9" s="52" t="str">
        <x:v>#e69dff</x:v>
      </x:c>
      <x:c r="G9" s="60" t="n">
        <x:v>7</x:v>
      </x:c>
      <x:c r="H9" s="60" t="str">
        <x:v>citadel</x:v>
      </x:c>
      <x:c r="I9" s="60" t="n">
        <x:v>18</x:v>
      </x:c>
      <x:c r="J9" s="60" t="n">
        <x:v>9</x:v>
      </x:c>
    </x:row>
    <x:row r="10" ht="32" customHeight="1">
      <x:c r="A10" s="52" t="str">
        <x:v>clients_surfaces</x:v>
      </x:c>
      <x:c r="B10" s="52" t="str">
        <x:v>Clients &amp; Surfaces</x:v>
      </x:c>
      <x:c r="C10" s="52" t="str">
        <x:v>客戶端與介面</x:v>
      </x:c>
      <x:c r="D10" s="52" t="str">
        <x:v>Client Archipelago</x:v>
      </x:c>
      <x:c r="E10" s="115" t="str">
        <x:v>+</x:v>
      </x:c>
      <x:c r="F10" s="52" t="str">
        <x:v>#7fd7ff</x:v>
      </x:c>
      <x:c r="G10" s="60" t="n">
        <x:v>8</x:v>
      </x:c>
      <x:c r="H10" s="60" t="str">
        <x:v>island</x:v>
      </x:c>
      <x:c r="I10" s="60" t="n">
        <x:v>17</x:v>
      </x:c>
      <x:c r="J10" s="60" t="n">
        <x:v>6</x:v>
      </x:c>
    </x:row>
    <x:row r="11" ht="32" customHeight="1">
      <x:c r="A11" s="54" t="str">
        <x:v>safety_lifecycle</x:v>
      </x:c>
      <x:c r="B11" s="54" t="str">
        <x:v>Safety &amp; Lifecycle</x:v>
      </x:c>
      <x:c r="C11" s="54" t="str">
        <x:v>安全與生命週期</x:v>
      </x:c>
      <x:c r="D11" s="54" t="str">
        <x:v>Safety Wall</x:v>
      </x:c>
      <x:c r="E11" s="116" t="str">
        <x:v>!</x:v>
      </x:c>
      <x:c r="F11" s="54" t="str">
        <x:v>#ff6f75</x:v>
      </x:c>
      <x:c r="G11" s="61" t="n">
        <x:v>9</x:v>
      </x:c>
      <x:c r="H11" s="61" t="str">
        <x:v>shield</x:v>
      </x:c>
      <x:c r="I11" s="61" t="n">
        <x:v>34</x:v>
      </x:c>
      <x:c r="J11" s="61" t="n">
        <x:v>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9" hidden="0" customWidth="1"/>
    <x:col min="2" max="2" width="18" hidden="0" customWidth="1"/>
    <x:col min="3" max="3" width="54" hidden="0" customWidth="1"/>
    <x:col min="4" max="4" width="44" hidden="0" customWidth="1"/>
    <x:col min="5" max="5" width="47" hidden="0" customWidth="1"/>
    <x:col min="6" max="6" width="16" hidden="0" customWidth="1"/>
  </x:cols>
  <x:sheetData>
    <x:row r="1">
      <x:c r="A1" s="5" t="str">
        <x:v>COVERAGE &amp; QA // KNOWN BOUNDARIES</x:v>
      </x:c>
      <x:c r="B1" s="5" t="str">
        <x:v>COVERAGE &amp; QA // KNOWN BOUNDARIES</x:v>
      </x:c>
      <x:c r="C1" s="5" t="str">
        <x:v>COVERAGE &amp; QA // KNOWN BOUNDARIES</x:v>
      </x:c>
      <x:c r="D1" s="5" t="str">
        <x:v>COVERAGE &amp; QA // KNOWN BOUNDARIES</x:v>
      </x:c>
      <x:c r="E1" s="5" t="str">
        <x:v>COVERAGE &amp; QA // KNOWN BOUNDARIES</x:v>
      </x:c>
      <x:c r="F1" s="5" t="str">
        <x:v>COVERAGE &amp; QA // KNOWN BOUNDARIES</x:v>
      </x:c>
    </x:row>
    <x:row r="2">
      <x:c r="A2" s="5" t="str">
        <x:v>COVERAGE &amp; QA // KNOWN BOUNDARIES</x:v>
      </x:c>
      <x:c r="B2" s="5" t="str">
        <x:v>COVERAGE &amp; QA // KNOWN BOUNDARIES</x:v>
      </x:c>
      <x:c r="C2" s="5" t="str">
        <x:v>COVERAGE &amp; QA // KNOWN BOUNDARIES</x:v>
      </x:c>
      <x:c r="D2" s="5" t="str">
        <x:v>COVERAGE &amp; QA // KNOWN BOUNDARIES</x:v>
      </x:c>
      <x:c r="E2" s="5" t="str">
        <x:v>COVERAGE &amp; QA // KNOWN BOUNDARIES</x:v>
      </x:c>
      <x:c r="F2" s="5" t="str">
        <x:v>COVERAGE &amp; QA // KNOWN BOUNDARIES</x:v>
      </x:c>
    </x:row>
    <x:row r="4" ht="30" customHeight="1">
      <x:c r="A4" s="20" t="str">
        <x:v>area</x:v>
      </x:c>
      <x:c r="B4" s="20" t="str">
        <x:v>status</x:v>
      </x:c>
      <x:c r="C4" s="20" t="str">
        <x:v>evidence / method</x:v>
      </x:c>
      <x:c r="D4" s="20" t="str">
        <x:v>risk</x:v>
      </x:c>
      <x:c r="E4" s="20" t="str">
        <x:v>follow-up</x:v>
      </x:c>
      <x:c r="F4" s="20" t="str">
        <x:v>owner</x:v>
      </x:c>
    </x:row>
    <x:row r="5" ht="52" customHeight="1">
      <x:c r="A5" s="62" t="str">
        <x:v>ChatGPT consumer notes</x:v>
      </x:c>
      <x:c r="B5" s="62" t="str">
        <x:v>parsed</x:v>
      </x:c>
      <x:c r="C5" s="62" t="str">
        <x:v>Living release-notes headings atomized into events</x:v>
      </x:c>
      <x:c r="D5" s="62" t="str">
        <x:v>Page can be edited retroactively</x:v>
      </x:c>
      <x:c r="E5" s="62" t="str">
        <x:v>Re-snapshot and diff before v0.2</x:v>
      </x:c>
      <x:c r="F5" s="62" t="str">
        <x:v>dataset</x:v>
      </x:c>
    </x:row>
    <x:row r="6" ht="52" customHeight="1">
      <x:c r="A6" s="63" t="str">
        <x:v>Model release notes</x:v>
      </x:c>
      <x:c r="B6" s="63" t="str">
        <x:v>parsed</x:v>
      </x:c>
      <x:c r="C6" s="63" t="str">
        <x:v>Dated model headings plus official launch corroboration</x:v>
      </x:c>
      <x:c r="D6" s="63" t="str">
        <x:v>Best-effort notes may omit minor changes</x:v>
      </x:c>
      <x:c r="E6" s="63" t="str">
        <x:v>Maintain launch-post registry</x:v>
      </x:c>
      <x:c r="F6" s="63" t="str">
        <x:v>dataset</x:v>
      </x:c>
    </x:row>
    <x:row r="7" ht="52" customHeight="1">
      <x:c r="A7" s="63" t="str">
        <x:v>API changelog</x:v>
      </x:c>
      <x:c r="B7" s="63" t="str">
        <x:v>parsed</x:v>
      </x:c>
      <x:c r="C7" s="63" t="str">
        <x:v>143 platform cards captured by platform lane</x:v>
      </x:c>
      <x:c r="D7" s="63" t="str">
        <x:v>Changelog begins in Oct 2023</x:v>
      </x:c>
      <x:c r="E7" s="63" t="str">
        <x:v>Keep pre-2023 launch posts</x:v>
      </x:c>
      <x:c r="F7" s="63" t="str">
        <x:v>platform</x:v>
      </x:c>
    </x:row>
    <x:row r="8" ht="52" customHeight="1">
      <x:c r="A8" s="63" t="str">
        <x:v>API deprecations</x:v>
      </x:c>
      <x:c r="B8" s="63" t="str">
        <x:v>parsed</x:v>
      </x:c>
      <x:c r="C8" s="63" t="str">
        <x:v>29 dated deprecation groups</x:v>
      </x:c>
      <x:c r="D8" s="63" t="str">
        <x:v>Announcement and shutdown dates differ</x:v>
      </x:c>
      <x:c r="E8" s="63" t="str">
        <x:v>Preserve lifecycle semantics</x:v>
      </x:c>
      <x:c r="F8" s="63" t="str">
        <x:v>platform</x:v>
      </x:c>
    </x:row>
    <x:row r="9" ht="52" customHeight="1">
      <x:c r="A9" s="63" t="str">
        <x:v>Codex changelog</x:v>
      </x:c>
      <x:c r="B9" s="63" t="str">
        <x:v>parsed</x:v>
      </x:c>
      <x:c r="C9" s="63" t="str">
        <x:v>88 dated Codex releases</x:v>
      </x:c>
      <x:c r="D9" s="63" t="str">
        <x:v>High-frequency patch notes</x:v>
      </x:c>
      <x:c r="E9" s="63" t="str">
        <x:v>Continue deduplication QA</x:v>
      </x:c>
      <x:c r="F9" s="63" t="str">
        <x:v>platform</x:v>
      </x:c>
    </x:row>
    <x:row r="10" ht="52" customHeight="1">
      <x:c r="A10" s="63" t="str">
        <x:v>Apps SDK / MCP</x:v>
      </x:c>
      <x:c r="B10" s="63" t="str">
        <x:v>parsed</x:v>
      </x:c>
      <x:c r="C10" s="63" t="str">
        <x:v>13 dated updates</x:v>
      </x:c>
      <x:c r="D10" s="63" t="str">
        <x:v>Early history is sparse</x:v>
      </x:c>
      <x:c r="E10" s="63" t="str">
        <x:v>Check immutable launch posts</x:v>
      </x:c>
      <x:c r="F10" s="63" t="str">
        <x:v>platform</x:v>
      </x:c>
    </x:row>
    <x:row r="11" ht="52" customHeight="1">
      <x:c r="A11" s="63" t="str">
        <x:v>Enterprise / Business</x:v>
      </x:c>
      <x:c r="B11" s="63" t="str">
        <x:v>landmark-level</x:v>
      </x:c>
      <x:c r="C11" s="63" t="str">
        <x:v>Admin and workspace notes represented as landmarks</x:v>
      </x:c>
      <x:c r="D11" s="63" t="str">
        <x:v>Parity updates intentionally not duplicated</x:v>
      </x:c>
      <x:c r="E11" s="63" t="str">
        <x:v>Expand only if map needs admin detail</x:v>
      </x:c>
      <x:c r="F11" s="63" t="str">
        <x:v>enterprise</x:v>
      </x:c>
    </x:row>
    <x:row r="12" ht="52" customHeight="1">
      <x:c r="A12" s="63" t="str">
        <x:v>Windows client</x:v>
      </x:c>
      <x:c r="B12" s="63" t="str">
        <x:v>known risk</x:v>
      </x:c>
      <x:c r="C12" s="63" t="str">
        <x:v>Legacy notes end Jan 2025</x:v>
      </x:c>
      <x:c r="D12" s="63" t="str">
        <x:v>Patch-level history is incomplete</x:v>
      </x:c>
      <x:c r="E12" s="63" t="str">
        <x:v>Track current client notes separately</x:v>
      </x:c>
      <x:c r="F12" s="63" t="str">
        <x:v>clients</x:v>
      </x:c>
    </x:row>
    <x:row r="13" ht="52" customHeight="1">
      <x:c r="A13" s="63" t="str">
        <x:v>Atlas lifecycle</x:v>
      </x:c>
      <x:c r="B13" s="63" t="str">
        <x:v>parsed</x:v>
      </x:c>
      <x:c r="C13" s="63" t="str">
        <x:v>Build notes through Mar 2026; Jul 2026 deprecation</x:v>
      </x:c>
      <x:c r="D13" s="63" t="str">
        <x:v>Gap before final notice</x:v>
      </x:c>
      <x:c r="E13" s="63" t="str">
        <x:v>Preserve both update and retirement nodes</x:v>
      </x:c>
      <x:c r="F13" s="63" t="str">
        <x:v>clients</x:v>
      </x:c>
    </x:row>
    <x:row r="14" ht="52" customHeight="1">
      <x:c r="A14" s="63" t="str">
        <x:v>Canonical selection</x:v>
      </x:c>
      <x:c r="B14" s="63" t="str">
        <x:v>validated</x:v>
      </x:c>
      <x:c r="C14" s="63" t="str">
        <x:v>326 nodes, quarter/family diversity constraints</x:v>
      </x:c>
      <x:c r="D14" s="63" t="str">
        <x:v>Curated layer omits low-signal raw rows</x:v>
      </x:c>
      <x:c r="E14" s="63" t="str">
        <x:v>Use Raw Source Entries for audit</x:v>
      </x:c>
      <x:c r="F14" s="63" t="str">
        <x:v>map</x:v>
      </x:c>
    </x:row>
    <x:row r="15" ht="52" customHeight="1">
      <x:c r="A15" s="63" t="str">
        <x:v>Bilingual fields</x:v>
      </x:c>
      <x:c r="B15" s="63" t="str">
        <x:v>validated</x:v>
      </x:c>
      <x:c r="C15" s="63" t="str">
        <x:v>Titles and summaries required by validator</x:v>
      </x:c>
      <x:c r="D15" s="63" t="str">
        <x:v>Some Chinese titles are concise generated translations</x:v>
      </x:c>
      <x:c r="E15" s="63" t="str">
        <x:v>Editorial translation pass for v0.2</x:v>
      </x:c>
      <x:c r="F15" s="63" t="str">
        <x:v>content</x:v>
      </x:c>
    </x:row>
    <x:row r="16" ht="52" customHeight="1">
      <x:c r="A16" s="64" t="str">
        <x:v>Source domains</x:v>
      </x:c>
      <x:c r="B16" s="64" t="str">
        <x:v>validated</x:v>
      </x:c>
      <x:c r="C16" s="64" t="str">
        <x:v>Official OpenAI domains only</x:v>
      </x:c>
      <x:c r="D16" s="64" t="str">
        <x:v>Extraction transport is not evidence URL</x:v>
      </x:c>
      <x:c r="E16" s="64" t="str">
        <x:v>Retain canonical URLs in every row</x:v>
      </x:c>
      <x:c r="F16" s="64" t="str">
        <x:v>provenance</x:v>
      </x:c>
    </x:row>
  </x:sheetData>
  <x:mergeCells>
    <x:mergeCell ref="A1:F2"/>
  </x:mergeCells>
  <x:conditionalFormatting sqref="B5:B16">
    <x:cfRule type="containsText" dxfId="2" priority="1" operator="containsText" text="validated"/>
    <x:cfRule type="containsText" dxfId="3" priority="2" operator="containsText" text="risk"/>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8" hidden="0" customWidth="1"/>
    <x:col min="4" max="4" width="24" hidden="0" customWidth="1"/>
    <x:col min="5" max="5" width="21" hidden="0" customWidth="1"/>
    <x:col min="6" max="6" width="18" hidden="0" customWidth="1"/>
    <x:col min="7" max="7" width="20" hidden="0" customWidth="1"/>
    <x:col min="8" max="8" width="42" hidden="0" customWidth="1"/>
    <x:col min="9" max="9" width="34" hidden="0" customWidth="1"/>
    <x:col min="10" max="10" width="58" hidden="0" customWidth="1"/>
    <x:col min="11" max="11" width="50" hidden="0" customWidth="1"/>
    <x:col min="12" max="12" width="58" hidden="0" customWidth="1"/>
    <x:col min="13" max="13" width="25" hidden="0" customWidth="1"/>
    <x:col min="14" max="14" width="18" hidden="0" customWidth="1"/>
    <x:col min="15" max="15" width="12" hidden="0" customWidth="1"/>
    <x:col min="16" max="16" width="20" hidden="0" customWidth="1"/>
    <x:col min="17" max="17" width="32" hidden="0" customWidth="1"/>
  </x:cols>
  <x:sheetData>
    <x:row r="1" ht="30" customHeight="1">
      <x:c r="A1" s="20" t="str">
        <x:v>date</x:v>
      </x:c>
      <x:c r="B1" s="20" t="str">
        <x:v>source_id</x:v>
      </x:c>
      <x:c r="C1" s="20" t="str">
        <x:v>source_name</x:v>
      </x:c>
      <x:c r="D1" s="20" t="str">
        <x:v>product_family</x:v>
      </x:c>
      <x:c r="E1" s="20" t="str">
        <x:v>product</x:v>
      </x:c>
      <x:c r="F1" s="20" t="str">
        <x:v>event_type</x:v>
      </x:c>
      <x:c r="G1" s="20" t="str">
        <x:v>lifecycle</x:v>
      </x:c>
      <x:c r="H1" s="20" t="str">
        <x:v>title_en</x:v>
      </x:c>
      <x:c r="I1" s="20" t="str">
        <x:v>title_zh</x:v>
      </x:c>
      <x:c r="J1" s="20" t="str">
        <x:v>summary_en</x:v>
      </x:c>
      <x:c r="K1" s="20" t="str">
        <x:v>summary_zh</x:v>
      </x:c>
      <x:c r="L1" s="20" t="str">
        <x:v>source_url</x:v>
      </x:c>
      <x:c r="M1" s="20" t="str">
        <x:v>source_kind</x:v>
      </x:c>
      <x:c r="N1" s="20" t="str">
        <x:v>coverage_status</x:v>
      </x:c>
      <x:c r="O1" s="20" t="str">
        <x:v>confidence</x:v>
      </x:c>
      <x:c r="P1" s="20" t="str">
        <x:v>supplied_importance</x:v>
      </x:c>
      <x:c r="Q1" s="20" t="str">
        <x:v>tags</x:v>
      </x:c>
    </x:row>
    <x:row r="2" ht="38" customHeight="1">
      <x:c r="A2" s="56" t="n">
        <x:v>44895</x:v>
      </x:c>
      <x:c r="B2" s="50" t="str">
        <x:v>introducing-chatgpt</x:v>
      </x:c>
      <x:c r="C2" s="50" t="str">
        <x:v>Introducing ChatGPT</x:v>
      </x:c>
      <x:c r="D2" s="50" t="str">
        <x:v>chatgpt_core</x:v>
      </x:c>
      <x:c r="E2" s="50" t="str">
        <x:v>ChatGPT</x:v>
      </x:c>
      <x:c r="F2" s="50" t="str">
        <x:v>launch</x:v>
      </x:c>
      <x:c r="G2" s="50" t="str">
        <x:v>research_preview</x:v>
      </x:c>
      <x:c r="H2" s="62" t="str">
        <x:v>Introducing ChatGPT</x:v>
      </x:c>
      <x:c r="I2" s="62" t="str">
        <x:v>ChatGPT 正式誕生</x:v>
      </x:c>
      <x:c r="J2" s="62" t="str">
        <x:v>OpenAI introduced ChatGPT as a free research preview, using a conversational format that could answer follow-up questions, acknowledge mistakes, challenge incorrect premises, and reject inappropriate requests.</x:v>
      </x:c>
      <x:c r="K2" s="62" t="str">
        <x:v>OpenAI 以免費研究預覽形式推出 ChatGPT；其對話介面能回答追問、承認錯誤、質疑不實前提並拒絕不當要求。</x:v>
      </x:c>
      <x:c r="L2" s="50" t="str">
        <x:v>https://openai.com/index/chatgpt/</x:v>
      </x:c>
      <x:c r="M2" s="50" t="str">
        <x:v>official_launch_post</x:v>
      </x:c>
      <x:c r="N2" s="50" t="str">
        <x:v>complete</x:v>
      </x:c>
      <x:c r="O2" s="50" t="str">
        <x:v>high</x:v>
      </x:c>
      <x:c r="P2" s="59" t="n">
        <x:v>5</x:v>
      </x:c>
      <x:c r="Q2" s="50" t="str">
        <x:v>chatgpt | research-preview | gpt-3.5 | origin</x:v>
      </x:c>
    </x:row>
    <x:row r="3" ht="38" customHeight="1">
      <x:c r="A3" s="57" t="n">
        <x:v>44910</x:v>
      </x:c>
      <x:c r="B3" s="52" t="str">
        <x:v>chatgpt-release-notes</x:v>
      </x:c>
      <x:c r="C3" s="52" t="str">
        <x:v>ChatGPT — Release Notes</x:v>
      </x:c>
      <x:c r="D3" s="52" t="str">
        <x:v>models_reasoning</x:v>
      </x:c>
      <x:c r="E3" s="52" t="str">
        <x:v>ChatGPT model</x:v>
      </x:c>
      <x:c r="F3" s="52" t="str">
        <x:v>model_update</x:v>
      </x:c>
      <x:c r="G3" s="52" t="str">
        <x:v>active</x:v>
      </x:c>
      <x:c r="H3" s="63" t="str">
        <x:v>ChatGPT performance update</x:v>
      </x:c>
      <x:c r="I3" s="63" t="str">
        <x:v>ChatGPT 效能更新</x:v>
      </x:c>
      <x:c r="J3" s="63" t="str">
        <x:v>We're excited to announce several updates to ChatGPT! Here's what's new: 1. General performance: Among other improvements, users will notice that ChatGPT is now less likely to refuse to answer questions.</x:v>
      </x:c>
      <x:c r="K3" s="63" t="str">
        <x:v>OpenAI 於 2022-12-15 為 ChatGPT 更新模型或體驗；此節點依官方發布記錄整理，完整能力、適用方案與限制請見來源。</x:v>
      </x:c>
      <x:c r="L3" s="52" t="str">
        <x:v>https://help.openai.com/en/articles/6825453-chatgpt-release-notes</x:v>
      </x:c>
      <x:c r="M3" s="52" t="str">
        <x:v>help_center_release_notes</x:v>
      </x:c>
      <x:c r="N3" s="52" t="str">
        <x:v>parsed</x:v>
      </x:c>
      <x:c r="O3" s="52" t="str">
        <x:v>high</x:v>
      </x:c>
      <x:c r="P3" s="60" t="n">
        <x:v>3</x:v>
      </x:c>
      <x:c r="Q3" s="52" t="str">
        <x:v>chatgpt | model-update | performance</x:v>
      </x:c>
    </x:row>
    <x:row r="4" ht="38" customHeight="1">
      <x:c r="A4" s="57" t="n">
        <x:v>44910</x:v>
      </x:c>
      <x:c r="B4" s="52" t="str">
        <x:v>chatgpt-release-notes</x:v>
      </x:c>
      <x:c r="C4" s="52" t="str">
        <x:v>ChatGPT — Release Notes</x:v>
      </x:c>
      <x:c r="D4" s="52" t="str">
        <x:v>chatgpt_core</x:v>
      </x:c>
      <x:c r="E4" s="52" t="str">
        <x:v>Conversation History</x:v>
      </x:c>
      <x:c r="F4" s="52" t="str">
        <x:v>feature</x:v>
      </x:c>
      <x:c r="G4" s="52" t="str">
        <x:v>active</x:v>
      </x:c>
      <x:c r="H4" s="63" t="str">
        <x:v>Conversation history begins rolling out</x:v>
      </x:c>
      <x:c r="I4" s="63" t="str">
        <x:v>對話紀錄開始推出</x:v>
      </x:c>
      <x:c r="J4" s="63" t="str">
        <x:v>OpenAI began rolling out saved conversation history with controls to view, rename, and delete past chats.</x:v>
      </x:c>
      <x:c r="K4" s="63" t="str">
        <x:v>OpenAI 開始推出已儲存的對話紀錄，使用者可查看、重新命名與刪除過往聊天。</x:v>
      </x:c>
      <x:c r="L4" s="52" t="str">
        <x:v>https://help.openai.com/en/articles/6825453-chatgpt-release-notes</x:v>
      </x:c>
      <x:c r="M4" s="52" t="str">
        <x:v>help_center_release_notes</x:v>
      </x:c>
      <x:c r="N4" s="52" t="str">
        <x:v>parsed</x:v>
      </x:c>
      <x:c r="O4" s="52" t="str">
        <x:v>high</x:v>
      </x:c>
      <x:c r="P4" s="60" t="n">
        <x:v>3</x:v>
      </x:c>
      <x:c r="Q4" s="52" t="str">
        <x:v>chatgpt | history | conversation-management</x:v>
      </x:c>
    </x:row>
    <x:row r="5" ht="38" customHeight="1">
      <x:c r="A5" s="57" t="n">
        <x:v>44910</x:v>
      </x:c>
      <x:c r="B5" s="52" t="str">
        <x:v>chatgpt-release-notes</x:v>
      </x:c>
      <x:c r="C5" s="52" t="str">
        <x:v>ChatGPT — Release Notes</x:v>
      </x:c>
      <x:c r="D5" s="52" t="str">
        <x:v>chatgpt_core</x:v>
      </x:c>
      <x:c r="E5" s="52" t="str">
        <x:v>ChatGPT Usage Limits</x:v>
      </x:c>
      <x:c r="F5" s="52" t="str">
        <x:v>pricing_quota</x:v>
      </x:c>
      <x:c r="G5" s="52" t="str">
        <x:v>research_preview</x:v>
      </x:c>
      <x:c r="H5" s="63" t="str">
        <x:v>Daily message-cap experiment</x:v>
      </x:c>
      <x:c r="I5" s="63" t="str">
        <x:v>每日訊息上限實驗</x:v>
      </x:c>
      <x:c r="J5" s="63" t="str">
        <x:v>OpenAI began testing a daily ChatGPT message cap for some users, with extended access available in exchange for feedback.</x:v>
      </x:c>
      <x:c r="K5" s="63" t="str">
        <x:v>OpenAI 對部分使用者測試 ChatGPT 每日訊息上限，並提供以回饋換取延長使用的選項。</x:v>
      </x:c>
      <x:c r="L5" s="52" t="str">
        <x:v>https://help.openai.com/en/articles/6825453-chatgpt-release-notes</x:v>
      </x:c>
      <x:c r="M5" s="52" t="str">
        <x:v>help_center_release_notes</x:v>
      </x:c>
      <x:c r="N5" s="52" t="str">
        <x:v>parsed</x:v>
      </x:c>
      <x:c r="O5" s="52" t="str">
        <x:v>high</x:v>
      </x:c>
      <x:c r="P5" s="60" t="n">
        <x:v>2</x:v>
      </x:c>
      <x:c r="Q5" s="52" t="str">
        <x:v>chatgpt | usage-limit | experiment</x:v>
      </x:c>
    </x:row>
    <x:row r="6" ht="38" customHeight="1">
      <x:c r="A6" s="57" t="n">
        <x:v>44935</x:v>
      </x:c>
      <x:c r="B6" s="52" t="str">
        <x:v>chatgpt-release-notes</x:v>
      </x:c>
      <x:c r="C6" s="52" t="str">
        <x:v>ChatGPT — Release Notes</x:v>
      </x:c>
      <x:c r="D6" s="52" t="str">
        <x:v>models_reasoning</x:v>
      </x:c>
      <x:c r="E6" s="52" t="str">
        <x:v>ChatGPT model</x:v>
      </x:c>
      <x:c r="F6" s="52" t="str">
        <x:v>model_update</x:v>
      </x:c>
      <x:c r="G6" s="52" t="str">
        <x:v>active</x:v>
      </x:c>
      <x:c r="H6" s="63" t="str">
        <x:v>ChatGPT quality and factuality update</x:v>
      </x:c>
      <x:c r="I6" s="63" t="str">
        <x:v>ChatGPT 品質與事實性更新</x:v>
      </x:c>
      <x:c r="J6" s="63" t="str">
        <x:v>OpenAI updated ChatGPT to perform better across a broad range of topics with improved factuality.</x:v>
      </x:c>
      <x:c r="K6" s="63" t="str">
        <x:v>OpenAI 更新 ChatGPT，使其在廣泛主題上的表現與事實準確度提升。</x:v>
      </x:c>
      <x:c r="L6" s="52" t="str">
        <x:v>https://help.openai.com/en/articles/6825453-chatgpt-release-notes</x:v>
      </x:c>
      <x:c r="M6" s="52" t="str">
        <x:v>help_center_release_notes</x:v>
      </x:c>
      <x:c r="N6" s="52" t="str">
        <x:v>parsed</x:v>
      </x:c>
      <x:c r="O6" s="52" t="str">
        <x:v>high</x:v>
      </x:c>
      <x:c r="P6" s="60" t="n">
        <x:v>3</x:v>
      </x:c>
      <x:c r="Q6" s="52" t="str">
        <x:v>chatgpt | model-update | factuality</x:v>
      </x:c>
    </x:row>
    <x:row r="7" ht="38" customHeight="1">
      <x:c r="A7" s="57" t="n">
        <x:v>44935</x:v>
      </x:c>
      <x:c r="B7" s="52" t="str">
        <x:v>chatgpt-release-notes</x:v>
      </x:c>
      <x:c r="C7" s="52" t="str">
        <x:v>ChatGPT — Release Notes</x:v>
      </x:c>
      <x:c r="D7" s="52" t="str">
        <x:v>chatgpt_core</x:v>
      </x:c>
      <x:c r="E7" s="52" t="str">
        <x:v>ChatGPT Composer</x:v>
      </x:c>
      <x:c r="F7" s="52" t="str">
        <x:v>feature</x:v>
      </x:c>
      <x:c r="G7" s="52" t="str">
        <x:v>general_availability</x:v>
      </x:c>
      <x:c r="H7" s="63" t="str">
        <x:v>Stop generating control</x:v>
      </x:c>
      <x:c r="I7" s="63" t="str">
        <x:v>新增停止生成控制</x:v>
      </x:c>
      <x:c r="J7" s="63" t="str">
        <x:v>ChatGPT added a control that lets users stop a response while it is being generated.</x:v>
      </x:c>
      <x:c r="K7" s="63" t="str">
        <x:v>ChatGPT 新增控制按鈕，讓使用者能在回覆生成途中立即停止。</x:v>
      </x:c>
      <x:c r="L7" s="52" t="str">
        <x:v>https://help.openai.com/en/articles/6825453-chatgpt-release-notes</x:v>
      </x:c>
      <x:c r="M7" s="52" t="str">
        <x:v>help_center_release_notes</x:v>
      </x:c>
      <x:c r="N7" s="52" t="str">
        <x:v>parsed</x:v>
      </x:c>
      <x:c r="O7" s="52" t="str">
        <x:v>high</x:v>
      </x:c>
      <x:c r="P7" s="60" t="n">
        <x:v>2</x:v>
      </x:c>
      <x:c r="Q7" s="52" t="str">
        <x:v>chatgpt | composer | stop-generation</x:v>
      </x:c>
    </x:row>
    <x:row r="8" ht="38" customHeight="1">
      <x:c r="A8" s="57" t="n">
        <x:v>44935</x:v>
      </x:c>
      <x:c r="B8" s="52" t="str">
        <x:v>chatgpt-release-notes</x:v>
      </x:c>
      <x:c r="C8" s="52" t="str">
        <x:v>ChatGPT — Release Notes</x:v>
      </x:c>
      <x:c r="D8" s="52" t="str">
        <x:v>models_reasoning</x:v>
      </x:c>
      <x:c r="E8" s="52" t="str">
        <x:v>ChatGPT</x:v>
      </x:c>
      <x:c r="F8" s="52" t="str">
        <x:v>model_update</x:v>
      </x:c>
      <x:c r="G8" s="52" t="str">
        <x:v>active</x:v>
      </x:c>
      <x:c r="H8" s="63" t="str">
        <x:v>Updates to ChatGPT</x:v>
      </x:c>
      <x:c r="I8" s="63" t="str">
        <x:v>更新：ChatGPT</x:v>
      </x:c>
      <x:c r="J8" s="63" t="str">
        <x:v>We're excited to announce several updates to ChatGPT! Here's what's new: 1. We made more improvements to the ChatGPT model! It should be generally better across a wide range of topics and has improved factuality.</x:v>
      </x:c>
      <x:c r="K8" s="63" t="str">
        <x:v>OpenAI 於 2023-01-09 為 ChatGPT 更新模型或體驗；此節點依官方發布記錄整理，完整能力、適用方案與限制請見來源。</x:v>
      </x:c>
      <x:c r="L8" s="52" t="str">
        <x:v>https://help.openai.com/en/articles/6825453-chatgpt-release-notes</x:v>
      </x:c>
      <x:c r="M8" s="52" t="str">
        <x:v>help_center_release_notes</x:v>
      </x:c>
      <x:c r="N8" s="52" t="str">
        <x:v>parsed</x:v>
      </x:c>
      <x:c r="O8" s="52" t="str">
        <x:v>high</x:v>
      </x:c>
      <x:c r="P8" s="60" t="n">
        <x:v>0</x:v>
      </x:c>
      <x:c r="Q8" s="52" t="str"/>
    </x:row>
    <x:row r="9" ht="38" customHeight="1">
      <x:c r="A9" s="57" t="n">
        <x:v>44956</x:v>
      </x:c>
      <x:c r="B9" s="52" t="str">
        <x:v>chatgpt-release-notes</x:v>
      </x:c>
      <x:c r="C9" s="52" t="str">
        <x:v>ChatGPT — Release Notes</x:v>
      </x:c>
      <x:c r="D9" s="52" t="str">
        <x:v>models_reasoning</x:v>
      </x:c>
      <x:c r="E9" s="52" t="str">
        <x:v>ChatGPT model</x:v>
      </x:c>
      <x:c r="F9" s="52" t="str">
        <x:v>model_update</x:v>
      </x:c>
      <x:c r="G9" s="52" t="str">
        <x:v>active</x:v>
      </x:c>
      <x:c r="H9" s="63" t="str">
        <x:v>Factuality and mathematical improvements</x:v>
      </x:c>
      <x:c r="I9" s="63" t="str">
        <x:v>事實性與數學能力改善</x:v>
      </x:c>
      <x:c r="J9" s="63" t="str">
        <x:v>OpenAI upgraded the ChatGPT model with improved factuality and mathematical capabilities.</x:v>
      </x:c>
      <x:c r="K9" s="63" t="str">
        <x:v>OpenAI 於 2023-01-30 為 ChatGPT 更新模型或體驗；此節點依官方發布記錄整理，完整能力、適用方案與限制請見來源。</x:v>
      </x:c>
      <x:c r="L9" s="52" t="str">
        <x:v>https://help.openai.com/en/articles/6825453-chatgpt-release-notes</x:v>
      </x:c>
      <x:c r="M9" s="52" t="str">
        <x:v>help_center_release_notes</x:v>
      </x:c>
      <x:c r="N9" s="52" t="str">
        <x:v>parsed</x:v>
      </x:c>
      <x:c r="O9" s="52" t="str">
        <x:v>high</x:v>
      </x:c>
      <x:c r="P9" s="60" t="n">
        <x:v>3</x:v>
      </x:c>
      <x:c r="Q9" s="52" t="str">
        <x:v>chatgpt | factuality | mathematics</x:v>
      </x:c>
    </x:row>
    <x:row r="10" ht="38" customHeight="1">
      <x:c r="A10" s="57" t="n">
        <x:v>44958</x:v>
      </x:c>
      <x:c r="B10" s="52" t="str">
        <x:v>lane-introducing-chatgpt-plus</x:v>
      </x:c>
      <x:c r="C10" s="52" t="str">
        <x:v>Introducing ChatGPT Plus</x:v>
      </x:c>
      <x:c r="D10" s="52" t="str">
        <x:v>chatgpt_core</x:v>
      </x:c>
      <x:c r="E10" s="52" t="str">
        <x:v>ChatGPT Plus</x:v>
      </x:c>
      <x:c r="F10" s="52" t="str">
        <x:v>launch</x:v>
      </x:c>
      <x:c r="G10" s="52" t="str">
        <x:v>active</x:v>
      </x:c>
      <x:c r="H10" s="63" t="str">
        <x:v>Introducing ChatGPT Plus</x:v>
      </x:c>
      <x:c r="I10" s="63" t="str">
        <x:v>推出 ChatGPT Plus</x:v>
      </x:c>
      <x:c r="J10" s="63" t="str">
        <x:v>OpenAI announced a $20-per-month ChatGPT plan with peak-time access, faster responses, and priority access to new features.</x:v>
      </x:c>
      <x:c r="K10" s="63" t="str">
        <x:v>OpenAI 宣布每月 20 美元的 ChatGPT 方案，提供尖峰時段存取、更快回覆與新功能優先使用權。</x:v>
      </x:c>
      <x:c r="L10" s="52" t="str">
        <x:v>https://openai.com/index/chatgpt-plus/</x:v>
      </x:c>
      <x:c r="M10" s="52" t="str">
        <x:v>launch_post</x:v>
      </x:c>
      <x:c r="N10" s="52" t="str">
        <x:v>complete</x:v>
      </x:c>
      <x:c r="O10" s="52" t="str">
        <x:v>high</x:v>
      </x:c>
      <x:c r="P10" s="60" t="n">
        <x:v>5</x:v>
      </x:c>
      <x:c r="Q10" s="52" t="str">
        <x:v>chatgpt | plus | subscription | pricing</x:v>
      </x:c>
    </x:row>
    <x:row r="11" ht="38" customHeight="1">
      <x:c r="A11" s="57" t="n">
        <x:v>44966</x:v>
      </x:c>
      <x:c r="B11" s="52" t="str">
        <x:v>chatgpt-release-notes</x:v>
      </x:c>
      <x:c r="C11" s="52" t="str">
        <x:v>ChatGPT — Release Notes</x:v>
      </x:c>
      <x:c r="D11" s="52" t="str">
        <x:v>models_reasoning</x:v>
      </x:c>
      <x:c r="E11" s="52" t="str">
        <x:v>ChatGPT model picker</x:v>
      </x:c>
      <x:c r="F11" s="52" t="str">
        <x:v>feature</x:v>
      </x:c>
      <x:c r="G11" s="52" t="str">
        <x:v>research_preview</x:v>
      </x:c>
      <x:c r="H11" s="63" t="str">
        <x:v>Default and Turbo model selector</x:v>
      </x:c>
      <x:c r="I11" s="63" t="str">
        <x:v>Default 與 Turbo 模型選擇器</x:v>
      </x:c>
      <x:c r="J11" s="63" t="str">
        <x:v>Plus users began receiving a model dropdown with Standard and speed-optimized Turbo options.</x:v>
      </x:c>
      <x:c r="K11" s="63" t="str">
        <x:v>Plus 使用者開始獲得模型下拉選單，可在標準版與速度最佳化的 Turbo 版之間切換。</x:v>
      </x:c>
      <x:c r="L11" s="52" t="str">
        <x:v>https://help.openai.com/en/articles/6825453-chatgpt-release-notes</x:v>
      </x:c>
      <x:c r="M11" s="52" t="str">
        <x:v>help_center_release_notes</x:v>
      </x:c>
      <x:c r="N11" s="52" t="str">
        <x:v>parsed</x:v>
      </x:c>
      <x:c r="O11" s="52" t="str">
        <x:v>high</x:v>
      </x:c>
      <x:c r="P11" s="60" t="n">
        <x:v>3</x:v>
      </x:c>
      <x:c r="Q11" s="52" t="str">
        <x:v>chatgpt | model-picker | turbo | plus</x:v>
      </x:c>
    </x:row>
    <x:row r="12" ht="38" customHeight="1">
      <x:c r="A12" s="57" t="n">
        <x:v>44966</x:v>
      </x:c>
      <x:c r="B12" s="52" t="str">
        <x:v>chatgpt-release-notes</x:v>
      </x:c>
      <x:c r="C12" s="52" t="str">
        <x:v>ChatGPT — Release Notes</x:v>
      </x:c>
      <x:c r="D12" s="52" t="str">
        <x:v>chatgpt_core</x:v>
      </x:c>
      <x:c r="E12" s="52" t="str">
        <x:v>ChatGPT Plus</x:v>
      </x:c>
      <x:c r="F12" s="52" t="str">
        <x:v>pricing_quota</x:v>
      </x:c>
      <x:c r="G12" s="52" t="str">
        <x:v>active</x:v>
      </x:c>
      <x:c r="H12" s="63" t="str">
        <x:v>Introducing ChatGPT Plus</x:v>
      </x:c>
      <x:c r="I12" s="63" t="str">
        <x:v>推出ChatGPT Plus</x:v>
      </x:c>
      <x:c r="J12" s="63" t="str">
        <x:v>As we recently announced, our Plus plan comes with early access to new, experimental features. We are beginning to roll out a way for Plus users the ability to choose between different versions of ChatGPT: Default: the standard ChatGPT model</x:v>
      </x:c>
      <x:c r="K12" s="63" t="str">
        <x:v>OpenAI 於 2023-02-09 為 ChatGPT Plus 調整方案、額度或計費；此節點依官方發布記錄整理，完整能力、適用方案與限制請見來源。</x:v>
      </x:c>
      <x:c r="L12" s="52" t="str">
        <x:v>https://help.openai.com/en/articles/6825453-chatgpt-release-notes</x:v>
      </x:c>
      <x:c r="M12" s="52" t="str">
        <x:v>help_center_release_notes</x:v>
      </x:c>
      <x:c r="N12" s="52" t="str">
        <x:v>parsed</x:v>
      </x:c>
      <x:c r="O12" s="52" t="str">
        <x:v>high</x:v>
      </x:c>
      <x:c r="P12" s="60" t="n">
        <x:v>0</x:v>
      </x:c>
      <x:c r="Q12" s="52" t="str"/>
    </x:row>
    <x:row r="13" ht="38" customHeight="1">
      <x:c r="A13" s="57" t="n">
        <x:v>44967</x:v>
      </x:c>
      <x:c r="B13" s="52" t="str">
        <x:v>lane-introducing-chatgpt-plus</x:v>
      </x:c>
      <x:c r="C13" s="52" t="str">
        <x:v>Introducing ChatGPT Plus</x:v>
      </x:c>
      <x:c r="D13" s="52" t="str">
        <x:v>chatgpt_core</x:v>
      </x:c>
      <x:c r="E13" s="52" t="str">
        <x:v>ChatGPT Plus</x:v>
      </x:c>
      <x:c r="F13" s="52" t="str">
        <x:v>availability</x:v>
      </x:c>
      <x:c r="G13" s="52" t="str">
        <x:v>active</x:v>
      </x:c>
      <x:c r="H13" s="63" t="str">
        <x:v>ChatGPT Plus expands internationally</x:v>
      </x:c>
      <x:c r="I13" s="63" t="str">
        <x:v>ChatGPT Plus 擴展至國際市場</x:v>
      </x:c>
      <x:c r="J13" s="63" t="str">
        <x:v>OpenAI expanded ChatGPT Plus availability beyond the United States to international customers.</x:v>
      </x:c>
      <x:c r="K13" s="63" t="str">
        <x:v>OpenAI 將 ChatGPT Plus 從美國擴展至其他國家的客戶。</x:v>
      </x:c>
      <x:c r="L13" s="52" t="str">
        <x:v>https://openai.com/index/chatgpt-plus/</x:v>
      </x:c>
      <x:c r="M13" s="52" t="str">
        <x:v>launch_post_update</x:v>
      </x:c>
      <x:c r="N13" s="52" t="str">
        <x:v>complete</x:v>
      </x:c>
      <x:c r="O13" s="52" t="str">
        <x:v>high</x:v>
      </x:c>
      <x:c r="P13" s="60" t="n">
        <x:v>3</x:v>
      </x:c>
      <x:c r="Q13" s="52" t="str">
        <x:v>chatgpt | plus | international | availability</x:v>
      </x:c>
    </x:row>
    <x:row r="14" ht="38" customHeight="1">
      <x:c r="A14" s="57" t="n">
        <x:v>44970</x:v>
      </x:c>
      <x:c r="B14" s="52" t="str">
        <x:v>chatgpt-release-notes</x:v>
      </x:c>
      <x:c r="C14" s="52" t="str">
        <x:v>ChatGPT — Release Notes</x:v>
      </x:c>
      <x:c r="D14" s="52" t="str">
        <x:v>models_reasoning</x:v>
      </x:c>
      <x:c r="E14" s="52" t="str">
        <x:v>ChatGPT Turbo</x:v>
      </x:c>
      <x:c r="F14" s="52" t="str">
        <x:v>availability</x:v>
      </x:c>
      <x:c r="G14" s="52" t="str">
        <x:v>general_availability</x:v>
      </x:c>
      <x:c r="H14" s="63" t="str">
        <x:v>Faster Turbo becomes the Plus default</x:v>
      </x:c>
      <x:c r="I14" s="63" t="str">
        <x:v>較快的 Turbo 成為 Plus 預設</x:v>
      </x:c>
      <x:c r="J14" s="63" t="str">
        <x:v>OpenAI made the faster model formerly called Turbo the default for Plus users while temporarily retaining the prior version.</x:v>
      </x:c>
      <x:c r="K14" s="63" t="str">
        <x:v>OpenAI 將先前稱為 Turbo 的較快模型設為 Plus 預設，同時暫時保留舊版本。</x:v>
      </x:c>
      <x:c r="L14" s="52" t="str">
        <x:v>https://help.openai.com/en/articles/6825453-chatgpt-release-notes</x:v>
      </x:c>
      <x:c r="M14" s="52" t="str">
        <x:v>help_center_release_notes</x:v>
      </x:c>
      <x:c r="N14" s="52" t="str">
        <x:v>parsed</x:v>
      </x:c>
      <x:c r="O14" s="52" t="str">
        <x:v>high</x:v>
      </x:c>
      <x:c r="P14" s="60" t="n">
        <x:v>3</x:v>
      </x:c>
      <x:c r="Q14" s="52" t="str">
        <x:v>chatgpt | turbo | plus | default-model</x:v>
      </x:c>
    </x:row>
    <x:row r="15" ht="38" customHeight="1">
      <x:c r="A15" s="57" t="n">
        <x:v>44970</x:v>
      </x:c>
      <x:c r="B15" s="52" t="str">
        <x:v>chatgpt-release-notes</x:v>
      </x:c>
      <x:c r="C15" s="52" t="str">
        <x:v>ChatGPT — Release Notes</x:v>
      </x:c>
      <x:c r="D15" s="52" t="str">
        <x:v>models_reasoning</x:v>
      </x:c>
      <x:c r="E15" s="52" t="str">
        <x:v>ChatGPT Free</x:v>
      </x:c>
      <x:c r="F15" s="52" t="str">
        <x:v>model_update</x:v>
      </x:c>
      <x:c r="G15" s="52" t="str">
        <x:v>active</x:v>
      </x:c>
      <x:c r="H15" s="63" t="str">
        <x:v>Free-plan performance update</x:v>
      </x:c>
      <x:c r="I15" s="63" t="str">
        <x:v>免費方案效能更新</x:v>
      </x:c>
      <x:c r="J15" s="63" t="str">
        <x:v>OpenAI updated the ChatGPT model used on the free plan to serve more users.</x:v>
      </x:c>
      <x:c r="K15" s="63" t="str">
        <x:v>OpenAI 更新免費方案所使用的 ChatGPT 模型，以服務更多使用者。</x:v>
      </x:c>
      <x:c r="L15" s="52" t="str">
        <x:v>https://help.openai.com/en/articles/6825453-chatgpt-release-notes</x:v>
      </x:c>
      <x:c r="M15" s="52" t="str">
        <x:v>help_center_release_notes</x:v>
      </x:c>
      <x:c r="N15" s="52" t="str">
        <x:v>parsed</x:v>
      </x:c>
      <x:c r="O15" s="52" t="str">
        <x:v>high</x:v>
      </x:c>
      <x:c r="P15" s="60" t="n">
        <x:v>2</x:v>
      </x:c>
      <x:c r="Q15" s="52" t="str">
        <x:v>chatgpt | free | performance</x:v>
      </x:c>
    </x:row>
    <x:row r="16" ht="38" customHeight="1">
      <x:c r="A16" s="57" t="n">
        <x:v>44970</x:v>
      </x:c>
      <x:c r="B16" s="52" t="str">
        <x:v>chatgpt-release-notes</x:v>
      </x:c>
      <x:c r="C16" s="52" t="str">
        <x:v>ChatGPT — Release Notes</x:v>
      </x:c>
      <x:c r="D16" s="52" t="str">
        <x:v>models_reasoning</x:v>
      </x:c>
      <x:c r="E16" s="52" t="str">
        <x:v>ChatGPT</x:v>
      </x:c>
      <x:c r="F16" s="52" t="str">
        <x:v>pricing_quota</x:v>
      </x:c>
      <x:c r="G16" s="52" t="str">
        <x:v>active</x:v>
      </x:c>
      <x:c r="H16" s="63" t="str">
        <x:v>Updates to ChatGPT</x:v>
      </x:c>
      <x:c r="I16" s="63" t="str">
        <x:v>更新：ChatGPT</x:v>
      </x:c>
      <x:c r="J16" s="63" t="str">
        <x:v>We’ve made several updates to ChatGPT! Here's what's new: We’ve updated performance of the ChatGPT model on our free plan in order to serve more users.</x:v>
      </x:c>
      <x:c r="K16" s="63" t="str">
        <x:v>OpenAI 於 2023-02-13 為 ChatGPT 調整方案、額度或計費；此節點依官方發布記錄整理，完整能力、適用方案與限制請見來源。</x:v>
      </x:c>
      <x:c r="L16" s="52" t="str">
        <x:v>https://help.openai.com/en/articles/6825453-chatgpt-release-notes</x:v>
      </x:c>
      <x:c r="M16" s="52" t="str">
        <x:v>help_center_release_notes</x:v>
      </x:c>
      <x:c r="N16" s="52" t="str">
        <x:v>parsed</x:v>
      </x:c>
      <x:c r="O16" s="52" t="str">
        <x:v>high</x:v>
      </x:c>
      <x:c r="P16" s="60" t="n">
        <x:v>0</x:v>
      </x:c>
      <x:c r="Q16" s="52" t="str"/>
    </x:row>
    <x:row r="17" ht="38" customHeight="1">
      <x:c r="A17" s="57" t="n">
        <x:v>44986</x:v>
      </x:c>
      <x:c r="B17" s="52" t="str">
        <x:v>lane-introducing-apis-for-gpt-3-5-turbo-and-whisper</x:v>
      </x:c>
      <x:c r="C17" s="52" t="str">
        <x:v>Introducing APIs for GPT-3.5 Turbo and Whisper</x:v>
      </x:c>
      <x:c r="D17" s="52" t="str">
        <x:v>developer_platform</x:v>
      </x:c>
      <x:c r="E17" s="52" t="str">
        <x:v>OpenAI API Platform</x:v>
      </x:c>
      <x:c r="F17" s="52" t="str">
        <x:v>launch</x:v>
      </x:c>
      <x:c r="G17" s="52" t="str">
        <x:v>active</x:v>
      </x:c>
      <x:c r="H17" s="63" t="str">
        <x:v>GPT-3.5 Turbo and Whisper APIs</x:v>
      </x:c>
      <x:c r="I17" s="63" t="str">
        <x:v>GPT‑3.5 Turbo 與 Whisper API</x:v>
      </x:c>
      <x:c r="J17" s="63" t="str">
        <x:v>GPT‑3.5 Turbo and Whisper became available through the OpenAI API, adding chat-oriented language generation and hosted speech-to-text.</x:v>
      </x:c>
      <x:c r="K17" s="63" t="str">
        <x:v>GPT‑3.5 Turbo 與 Whisper 正式進入 OpenAI API，帶來聊天式生成與託管語音轉文字。</x:v>
      </x:c>
      <x:c r="L17" s="52" t="str">
        <x:v>https://openai.com/index/introducing-chatgpt-and-whisper-apis/</x:v>
      </x:c>
      <x:c r="M17" s="52" t="str">
        <x:v>official_launch_post</x:v>
      </x:c>
      <x:c r="N17" s="52" t="str">
        <x:v>parsed</x:v>
      </x:c>
      <x:c r="O17" s="52" t="str">
        <x:v>high</x:v>
      </x:c>
      <x:c r="P17" s="60" t="n">
        <x:v>5</x:v>
      </x:c>
      <x:c r="Q17" s="52" t="str">
        <x:v>api | gpt-3.5 | whisper</x:v>
      </x:c>
    </x:row>
    <x:row r="18" ht="38" customHeight="1">
      <x:c r="A18" s="57" t="n">
        <x:v>44999</x:v>
      </x:c>
      <x:c r="B18" s="52" t="str">
        <x:v>chatgpt-release-notes</x:v>
      </x:c>
      <x:c r="C18" s="52" t="str">
        <x:v>ChatGPT — Release Notes</x:v>
      </x:c>
      <x:c r="D18" s="52" t="str">
        <x:v>chatgpt_core</x:v>
      </x:c>
      <x:c r="E18" s="52" t="str">
        <x:v>ChatGPT Plus</x:v>
      </x:c>
      <x:c r="F18" s="52" t="str">
        <x:v>feature</x:v>
      </x:c>
      <x:c r="G18" s="52" t="str">
        <x:v>active</x:v>
      </x:c>
      <x:c r="H18" s="63" t="str">
        <x:v>Announcing GPT-4 in ChatGPT</x:v>
      </x:c>
      <x:c r="I18" s="63" t="str">
        <x:v>Announcing GPT-4 於 ChatGPT</x:v>
      </x:c>
      <x:c r="J18" s="63" t="str">
        <x:v>We’re excited to bring GPT-4, our latest model, to our ChatGPT Plus subscribers. GPT-4 has enhanced capabilities in:</x:v>
      </x:c>
      <x:c r="K18" s="63" t="str">
        <x:v>OpenAI 於 2023-03-14 為 ChatGPT Plus 新增功能；此節點依官方發布記錄整理，完整能力、適用方案與限制請見來源。</x:v>
      </x:c>
      <x:c r="L18" s="52" t="str">
        <x:v>https://help.openai.com/en/articles/6825453-chatgpt-release-notes</x:v>
      </x:c>
      <x:c r="M18" s="52" t="str">
        <x:v>help_center_release_notes</x:v>
      </x:c>
      <x:c r="N18" s="52" t="str">
        <x:v>parsed</x:v>
      </x:c>
      <x:c r="O18" s="52" t="str">
        <x:v>high</x:v>
      </x:c>
      <x:c r="P18" s="60" t="n">
        <x:v>0</x:v>
      </x:c>
      <x:c r="Q18" s="52" t="str"/>
    </x:row>
    <x:row r="19" ht="38" customHeight="1">
      <x:c r="A19" s="57" t="n">
        <x:v>44999</x:v>
      </x:c>
      <x:c r="B19" s="52" t="str">
        <x:v>lane-gpt-4</x:v>
      </x:c>
      <x:c r="C19" s="52" t="str">
        <x:v>GPT-4</x:v>
      </x:c>
      <x:c r="D19" s="52" t="str">
        <x:v>models_reasoning</x:v>
      </x:c>
      <x:c r="E19" s="52" t="str">
        <x:v>GPT-4</x:v>
      </x:c>
      <x:c r="F19" s="52" t="str">
        <x:v>model_release</x:v>
      </x:c>
      <x:c r="G19" s="52" t="str">
        <x:v>active</x:v>
      </x:c>
      <x:c r="H19" s="63" t="str">
        <x:v>GPT-4 launches in ChatGPT Plus</x:v>
      </x:c>
      <x:c r="I19" s="63" t="str">
        <x:v>GPT-4 登陸 ChatGPT Plus</x:v>
      </x:c>
      <x:c r="J19" s="63" t="str">
        <x:v>OpenAI released GPT-4, a large multimodal model with stronger reasoning and instruction following, and made it available to ChatGPT Plus subscribers.</x:v>
      </x:c>
      <x:c r="K19" s="63" t="str">
        <x:v>OpenAI 發布具更強推理與指令遵循能力的大型多模態模型 GPT-4，並向 ChatGPT Plus 訂閱者開放。</x:v>
      </x:c>
      <x:c r="L19" s="52" t="str">
        <x:v>https://openai.com/index/gpt-4-research/</x:v>
      </x:c>
      <x:c r="M19" s="52" t="str">
        <x:v>model_release_post</x:v>
      </x:c>
      <x:c r="N19" s="52" t="str">
        <x:v>complete</x:v>
      </x:c>
      <x:c r="O19" s="52" t="str">
        <x:v>high</x:v>
      </x:c>
      <x:c r="P19" s="60" t="n">
        <x:v>5</x:v>
      </x:c>
      <x:c r="Q19" s="52" t="str">
        <x:v>gpt-4 | chatgpt-plus | multimodal | reasoning</x:v>
      </x:c>
    </x:row>
    <x:row r="20" ht="38" customHeight="1">
      <x:c r="A20" s="57" t="n">
        <x:v>44999</x:v>
      </x:c>
      <x:c r="B20" s="52" t="str">
        <x:v>lane-gpt-4</x:v>
      </x:c>
      <x:c r="C20" s="52" t="str">
        <x:v>GPT-4</x:v>
      </x:c>
      <x:c r="D20" s="52" t="str">
        <x:v>models_reasoning</x:v>
      </x:c>
      <x:c r="E20" s="52" t="str">
        <x:v>GPT-4</x:v>
      </x:c>
      <x:c r="F20" s="52" t="str">
        <x:v>model_release</x:v>
      </x:c>
      <x:c r="G20" s="52" t="str">
        <x:v>active</x:v>
      </x:c>
      <x:c r="H20" s="63" t="str">
        <x:v>GPT-4 launches in ChatGPT Plus and the API</x:v>
      </x:c>
      <x:c r="I20" s="63" t="str">
        <x:v>GPT‑4 在 ChatGPT Plus 與 API 發布</x:v>
      </x:c>
      <x:c r="J20" s="63" t="str">
        <x:v>OpenAI released GPT-4 with access in ChatGPT Plus and through an API waitlist for developers.</x:v>
      </x:c>
      <x:c r="K20" s="63" t="str">
        <x:v>OpenAI 發布 GPT‑4，並透過 ChatGPT Plus 與開發者 API 候補名單提供存取。</x:v>
      </x:c>
      <x:c r="L20" s="52" t="str">
        <x:v>https://openai.com/index/gpt-4/</x:v>
      </x:c>
      <x:c r="M20" s="52" t="str">
        <x:v>official_launch_post</x:v>
      </x:c>
      <x:c r="N20" s="52" t="str">
        <x:v>parsed</x:v>
      </x:c>
      <x:c r="O20" s="52" t="str">
        <x:v>high</x:v>
      </x:c>
      <x:c r="P20" s="60" t="n">
        <x:v>5</x:v>
      </x:c>
      <x:c r="Q20" s="52" t="str">
        <x:v>api | gpt-4</x:v>
      </x:c>
    </x:row>
    <x:row r="21" ht="38" customHeight="1">
      <x:c r="A21" s="57" t="n">
        <x:v>45005</x:v>
      </x:c>
      <x:c r="B21" s="52" t="str">
        <x:v>api-deprecations</x:v>
      </x:c>
      <x:c r="C21" s="52" t="str">
        <x:v>OpenAI API Deprecations</x:v>
      </x:c>
      <x:c r="D21" s="52" t="str">
        <x:v>safety_lifecycle</x:v>
      </x:c>
      <x:c r="E21" s="52" t="str">
        <x:v>Codex</x:v>
      </x:c>
      <x:c r="F21" s="52" t="str">
        <x:v>deprecation</x:v>
      </x:c>
      <x:c r="G21" s="52" t="str">
        <x:v>deprecated</x:v>
      </x:c>
      <x:c r="H21" s="63" t="str">
        <x:v>Codex models</x:v>
      </x:c>
      <x:c r="I21" s="63" t="str">
        <x:v>淘汰通知：Codex models</x:v>
      </x:c>
      <x:c r="J21" s="63" t="str">
        <x:v>Codex models.</x:v>
      </x:c>
      <x:c r="K21" s="63" t="str">
        <x:v>OpenAI 於 2023-03-20 為 Codex 公布淘汰計畫；此節點依官方發布記錄整理，完整能力、適用方案與限制請見來源。</x:v>
      </x:c>
      <x:c r="L21" s="52" t="str">
        <x:v>https://platform.openai.com/docs/deprecations</x:v>
      </x:c>
      <x:c r="M21" s="52" t="str">
        <x:v>developer_deprecations</x:v>
      </x:c>
      <x:c r="N21" s="52" t="str">
        <x:v>parsed</x:v>
      </x:c>
      <x:c r="O21" s="52" t="str">
        <x:v>high</x:v>
      </x:c>
      <x:c r="P21" s="60" t="n">
        <x:v>0</x:v>
      </x:c>
      <x:c r="Q21" s="52" t="str"/>
    </x:row>
    <x:row r="22" ht="38" customHeight="1">
      <x:c r="A22" s="57" t="n">
        <x:v>45005</x:v>
      </x:c>
      <x:c r="B22" s="52" t="str">
        <x:v>lane-openai-api-deprecations</x:v>
      </x:c>
      <x:c r="C22" s="52" t="str">
        <x:v>OpenAI API Deprecations</x:v>
      </x:c>
      <x:c r="D22" s="52" t="str">
        <x:v>safety_lifecycle</x:v>
      </x:c>
      <x:c r="E22" s="52" t="str">
        <x:v>Model Platform</x:v>
      </x:c>
      <x:c r="F22" s="52" t="str">
        <x:v>deprecation</x:v>
      </x:c>
      <x:c r="G22" s="52" t="str">
        <x:v>deprecated</x:v>
      </x:c>
      <x:c r="H22" s="63" t="str">
        <x:v>Codex models deprecation</x:v>
      </x:c>
      <x:c r="I22" s="63" t="str">
        <x:v>Codex models 棄用公告</x:v>
      </x:c>
      <x:c r="J22" s="63" t="str">
        <x:v>Schedule/replacements: 2023-03-23 code-davinci-002 gpt-4o; 2023-03-23 code-davinci-001 gpt-4o; 2023-03-23 code-cushman-002 gpt-4o; 2023-03-23 code-cushman-001 gpt-4o</x:v>
      </x:c>
      <x:c r="K22" s="63" t="str">
        <x:v>OpenAI 於 2023-03-20 公告 Codex models 的棄用或下線時程，並列出替代方案與遷移方向。</x:v>
      </x:c>
      <x:c r="L22" s="52" t="str">
        <x:v>https://developers.openai.com/api/docs/deprecations#2023-03-20-codex-models</x:v>
      </x:c>
      <x:c r="M22" s="52" t="str">
        <x:v>official_deprecation_registry</x:v>
      </x:c>
      <x:c r="N22" s="52" t="str">
        <x:v>complete</x:v>
      </x:c>
      <x:c r="O22" s="52" t="str">
        <x:v>high</x:v>
      </x:c>
      <x:c r="P22" s="60" t="n">
        <x:v>4</x:v>
      </x:c>
      <x:c r="Q22" s="52" t="str">
        <x:v>api | deprecation | model-platform</x:v>
      </x:c>
    </x:row>
    <x:row r="23" ht="38" customHeight="1">
      <x:c r="A23" s="57" t="n">
        <x:v>45008</x:v>
      </x:c>
      <x:c r="B23" s="52" t="str">
        <x:v>lane-chatgpt-plugins</x:v>
      </x:c>
      <x:c r="C23" s="52" t="str">
        <x:v>ChatGPT plugins</x:v>
      </x:c>
      <x:c r="D23" s="52" t="str">
        <x:v>search_commerce</x:v>
      </x:c>
      <x:c r="E23" s="52" t="str">
        <x:v>ChatGPT Browsing</x:v>
      </x:c>
      <x:c r="F23" s="52" t="str">
        <x:v>feature</x:v>
      </x:c>
      <x:c r="G23" s="52" t="str">
        <x:v>research_preview</x:v>
      </x:c>
      <x:c r="H23" s="63" t="str">
        <x:v>Browsing plugin preview</x:v>
      </x:c>
      <x:c r="I23" s="63" t="str">
        <x:v>瀏覽外掛預覽</x:v>
      </x:c>
      <x:c r="J23" s="63" t="str">
        <x:v>OpenAI introduced an experimental browsing model that could retrieve up-to-date web information for ChatGPT.</x:v>
      </x:c>
      <x:c r="K23" s="63" t="str">
        <x:v>OpenAI 推出實驗性瀏覽模型，讓 ChatGPT 能擷取最新網路資訊。</x:v>
      </x:c>
      <x:c r="L23" s="52" t="str">
        <x:v>https://openai.com/index/chatgpt-plugins/</x:v>
      </x:c>
      <x:c r="M23" s="52" t="str">
        <x:v>launch_post</x:v>
      </x:c>
      <x:c r="N23" s="52" t="str">
        <x:v>complete</x:v>
      </x:c>
      <x:c r="O23" s="52" t="str">
        <x:v>high</x:v>
      </x:c>
      <x:c r="P23" s="60" t="n">
        <x:v>4</x:v>
      </x:c>
      <x:c r="Q23" s="52" t="str">
        <x:v>chatgpt | browsing | web | plugins</x:v>
      </x:c>
    </x:row>
    <x:row r="24" ht="38" customHeight="1">
      <x:c r="A24" s="57" t="n">
        <x:v>45008</x:v>
      </x:c>
      <x:c r="B24" s="52" t="str">
        <x:v>lane-chatgpt-plugins</x:v>
      </x:c>
      <x:c r="C24" s="52" t="str">
        <x:v>ChatGPT plugins</x:v>
      </x:c>
      <x:c r="D24" s="52" t="str">
        <x:v>developer_platform</x:v>
      </x:c>
      <x:c r="E24" s="52" t="str">
        <x:v>Code Interpreter</x:v>
      </x:c>
      <x:c r="F24" s="52" t="str">
        <x:v>feature</x:v>
      </x:c>
      <x:c r="G24" s="52" t="str">
        <x:v>research_preview</x:v>
      </x:c>
      <x:c r="H24" s="63" t="str">
        <x:v>Code Interpreter preview</x:v>
      </x:c>
      <x:c r="I24" s="63" t="str">
        <x:v>程式碼直譯器預覽</x:v>
      </x:c>
      <x:c r="J24" s="63" t="str">
        <x:v>OpenAI introduced an experimental ChatGPT model that could run Python and handle file uploads and downloads.</x:v>
      </x:c>
      <x:c r="K24" s="63" t="str">
        <x:v>OpenAI 推出可執行 Python 並處理檔案上傳與下載的實驗性 ChatGPT 模型。</x:v>
      </x:c>
      <x:c r="L24" s="52" t="str">
        <x:v>https://openai.com/index/chatgpt-plugins/</x:v>
      </x:c>
      <x:c r="M24" s="52" t="str">
        <x:v>launch_post</x:v>
      </x:c>
      <x:c r="N24" s="52" t="str">
        <x:v>complete</x:v>
      </x:c>
      <x:c r="O24" s="52" t="str">
        <x:v>high</x:v>
      </x:c>
      <x:c r="P24" s="60" t="n">
        <x:v>5</x:v>
      </x:c>
      <x:c r="Q24" s="52" t="str">
        <x:v>chatgpt | python | code-interpreter | files</x:v>
      </x:c>
    </x:row>
    <x:row r="25" ht="38" customHeight="1">
      <x:c r="A25" s="57" t="n">
        <x:v>45008</x:v>
      </x:c>
      <x:c r="B25" s="52" t="str">
        <x:v>lane-chatgpt-plugins</x:v>
      </x:c>
      <x:c r="C25" s="52" t="str">
        <x:v>ChatGPT plugins</x:v>
      </x:c>
      <x:c r="D25" s="52" t="str">
        <x:v>developer_platform</x:v>
      </x:c>
      <x:c r="E25" s="52" t="str">
        <x:v>ChatGPT Plugins</x:v>
      </x:c>
      <x:c r="F25" s="52" t="str">
        <x:v>platform</x:v>
      </x:c>
      <x:c r="G25" s="52" t="str">
        <x:v>research_preview</x:v>
      </x:c>
      <x:c r="H25" s="63" t="str">
        <x:v>Experimental ChatGPT plugin support</x:v>
      </x:c>
      <x:c r="I25" s="63" t="str">
        <x:v>ChatGPT 實驗性支援外掛</x:v>
      </x:c>
      <x:c r="J25" s="63" t="str">
        <x:v>OpenAI announced initial plugin support so ChatGPT could access current information, run computations, or use third-party services.</x:v>
      </x:c>
      <x:c r="K25" s="63" t="str">
        <x:v>OpenAI 宣布 ChatGPT 初步支援外掛，使其能取得即時資訊、執行運算或使用第三方服務。</x:v>
      </x:c>
      <x:c r="L25" s="52" t="str">
        <x:v>https://openai.com/index/chatgpt-plugins/</x:v>
      </x:c>
      <x:c r="M25" s="52" t="str">
        <x:v>launch_post</x:v>
      </x:c>
      <x:c r="N25" s="52" t="str">
        <x:v>complete</x:v>
      </x:c>
      <x:c r="O25" s="52" t="str">
        <x:v>high</x:v>
      </x:c>
      <x:c r="P25" s="60" t="n">
        <x:v>5</x:v>
      </x:c>
      <x:c r="Q25" s="52" t="str">
        <x:v>chatgpt | plugins | tools | ecosystem</x:v>
      </x:c>
    </x:row>
    <x:row r="26" ht="38" customHeight="1">
      <x:c r="A26" s="57" t="n">
        <x:v>45008</x:v>
      </x:c>
      <x:c r="B26" s="52" t="str">
        <x:v>chatgpt-release-notes</x:v>
      </x:c>
      <x:c r="C26" s="52" t="str">
        <x:v>ChatGPT — Release Notes</x:v>
      </x:c>
      <x:c r="D26" s="52" t="str">
        <x:v>chatgpt_core</x:v>
      </x:c>
      <x:c r="E26" s="52" t="str">
        <x:v>ChatGPT</x:v>
      </x:c>
      <x:c r="F26" s="52" t="str">
        <x:v>launch</x:v>
      </x:c>
      <x:c r="G26" s="52" t="str">
        <x:v>active</x:v>
      </x:c>
      <x:c r="H26" s="63" t="str">
        <x:v>Introducing plugins in ChatGPT</x:v>
      </x:c>
      <x:c r="I26" s="63" t="str">
        <x:v>推出plugins 於 ChatGPT</x:v>
      </x:c>
      <x:c r="J26" s="63" t="str">
        <x:v>We are announcing experimental support for AI plugins in ChatGPT — tools designed specifically for language models. Plugins can help ChatGPT access up-to-date information, run computations, or use third-party services. You can learn more about plugins here. Today, we will begin extending plugin access to users and developers from our waitlist. The plugins we are rolling out with are:</x:v>
      </x:c>
      <x:c r="K26" s="63" t="str">
        <x:v>OpenAI 於 2023-03-23 為 ChatGPT 推出新產品或能力；此節點依官方發布記錄整理，完整能力、適用方案與限制請見來源。</x:v>
      </x:c>
      <x:c r="L26" s="52" t="str">
        <x:v>https://help.openai.com/en/articles/6825453-chatgpt-release-notes</x:v>
      </x:c>
      <x:c r="M26" s="52" t="str">
        <x:v>help_center_release_notes</x:v>
      </x:c>
      <x:c r="N26" s="52" t="str">
        <x:v>parsed</x:v>
      </x:c>
      <x:c r="O26" s="52" t="str">
        <x:v>high</x:v>
      </x:c>
      <x:c r="P26" s="60" t="n">
        <x:v>0</x:v>
      </x:c>
      <x:c r="Q26" s="52" t="str"/>
    </x:row>
    <x:row r="27" ht="38" customHeight="1">
      <x:c r="A27" s="57" t="n">
        <x:v>45041</x:v>
      </x:c>
      <x:c r="B27" s="52" t="str">
        <x:v>lane-new-ways-to-manage-your-data-in-chatgpt</x:v>
      </x:c>
      <x:c r="C27" s="52" t="str">
        <x:v>New ways to manage your data in ChatGPT</x:v>
      </x:c>
      <x:c r="D27" s="52" t="str">
        <x:v>safety_lifecycle</x:v>
      </x:c>
      <x:c r="E27" s="52" t="str">
        <x:v>ChatGPT Data Export</x:v>
      </x:c>
      <x:c r="F27" s="52" t="str">
        <x:v>feature</x:v>
      </x:c>
      <x:c r="G27" s="52" t="str">
        <x:v>general_availability</x:v>
      </x:c>
      <x:c r="H27" s="63" t="str">
        <x:v>ChatGPT data export</x:v>
      </x:c>
      <x:c r="I27" s="63" t="str">
        <x:v>ChatGPT 資料匯出</x:v>
      </x:c>
      <x:c r="J27" s="63" t="str">
        <x:v>OpenAI added an export option that emails users a file containing their conversations and other relevant ChatGPT account data.</x:v>
      </x:c>
      <x:c r="K27" s="63" t="str">
        <x:v>OpenAI 新增匯出選項，會以電子郵件寄送包含對話與其他相關 ChatGPT 帳戶資料的檔案。</x:v>
      </x:c>
      <x:c r="L27" s="52" t="str">
        <x:v>https://openai.com/index/new-ways-to-manage-your-data-in-chatgpt/</x:v>
      </x:c>
      <x:c r="M27" s="52" t="str">
        <x:v>product_post</x:v>
      </x:c>
      <x:c r="N27" s="52" t="str">
        <x:v>complete</x:v>
      </x:c>
      <x:c r="O27" s="52" t="str">
        <x:v>high</x:v>
      </x:c>
      <x:c r="P27" s="60" t="n">
        <x:v>3</x:v>
      </x:c>
      <x:c r="Q27" s="52" t="str">
        <x:v>chatgpt | privacy | export | data-portability</x:v>
      </x:c>
    </x:row>
    <x:row r="28" ht="38" customHeight="1">
      <x:c r="A28" s="57" t="n">
        <x:v>45041</x:v>
      </x:c>
      <x:c r="B28" s="52" t="str">
        <x:v>lane-new-ways-to-manage-your-data-in-chatgpt</x:v>
      </x:c>
      <x:c r="C28" s="52" t="str">
        <x:v>New ways to manage your data in ChatGPT</x:v>
      </x:c>
      <x:c r="D28" s="52" t="str">
        <x:v>safety_lifecycle</x:v>
      </x:c>
      <x:c r="E28" s="52" t="str">
        <x:v>ChatGPT Data Controls</x:v>
      </x:c>
      <x:c r="F28" s="52" t="str">
        <x:v>safety</x:v>
      </x:c>
      <x:c r="G28" s="52" t="str">
        <x:v>active</x:v>
      </x:c>
      <x:c r="H28" s="63" t="str">
        <x:v>Disable chat history</x:v>
      </x:c>
      <x:c r="I28" s="63" t="str">
        <x:v>可關閉聊天紀錄</x:v>
      </x:c>
      <x:c r="J28" s="63" t="str">
        <x:v>ChatGPT added a setting to turn off history; those conversations would not train models, would not appear in the sidebar, and would be retained for 30 days for abuse monitoring.</x:v>
      </x:c>
      <x:c r="K28" s="63" t="str">
        <x:v>ChatGPT 新增關閉聊天紀錄的設定；相關對話不會用於模型訓練、不會出現在側邊欄，僅為濫用監測保留 30 天。</x:v>
      </x:c>
      <x:c r="L28" s="52" t="str">
        <x:v>https://openai.com/index/new-ways-to-manage-your-data-in-chatgpt/</x:v>
      </x:c>
      <x:c r="M28" s="52" t="str">
        <x:v>product_post</x:v>
      </x:c>
      <x:c r="N28" s="52" t="str">
        <x:v>complete</x:v>
      </x:c>
      <x:c r="O28" s="52" t="str">
        <x:v>high</x:v>
      </x:c>
      <x:c r="P28" s="60" t="n">
        <x:v>4</x:v>
      </x:c>
      <x:c r="Q28" s="52" t="str">
        <x:v>chatgpt | privacy | history | data-controls</x:v>
      </x:c>
    </x:row>
    <x:row r="29" ht="38" customHeight="1">
      <x:c r="A29" s="57" t="n">
        <x:v>45049</x:v>
      </x:c>
      <x:c r="B29" s="52" t="str">
        <x:v>chatgpt-release-notes</x:v>
      </x:c>
      <x:c r="C29" s="52" t="str">
        <x:v>ChatGPT — Release Notes</x:v>
      </x:c>
      <x:c r="D29" s="52" t="str">
        <x:v>safety_lifecycle</x:v>
      </x:c>
      <x:c r="E29" s="52" t="str">
        <x:v>GPT-3.5 Legacy</x:v>
      </x:c>
      <x:c r="F29" s="52" t="str">
        <x:v>deprecation</x:v>
      </x:c>
      <x:c r="G29" s="52" t="str">
        <x:v>deprecated</x:v>
      </x:c>
      <x:c r="H29" s="63" t="str">
        <x:v>Legacy GPT-3.5 model deprecation announced</x:v>
      </x:c>
      <x:c r="I29" s="63" t="str">
        <x:v>宣布淘汰 Legacy GPT-3.5 模型</x:v>
      </x:c>
      <x:c r="J29" s="63" t="str">
        <x:v>OpenAI announced that the Legacy GPT-3.5 option would be deprecated on May 10; existing conversations could continue but new messages would use the default model.</x:v>
      </x:c>
      <x:c r="K29" s="63" t="str">
        <x:v>OpenAI 宣布 Legacy GPT-3.5 選項將於 5 月 10 日淘汰；既有對話仍可延續，但新訊息會改用預設模型。</x:v>
      </x:c>
      <x:c r="L29" s="52" t="str">
        <x:v>https://help.openai.com/en/articles/6825453-chatgpt-release-notes</x:v>
      </x:c>
      <x:c r="M29" s="52" t="str">
        <x:v>help_center_release_notes</x:v>
      </x:c>
      <x:c r="N29" s="52" t="str">
        <x:v>parsed</x:v>
      </x:c>
      <x:c r="O29" s="52" t="str">
        <x:v>high</x:v>
      </x:c>
      <x:c r="P29" s="60" t="n">
        <x:v>3</x:v>
      </x:c>
      <x:c r="Q29" s="52" t="str">
        <x:v>gpt-3.5 | legacy | deprecation | chatgpt</x:v>
      </x:c>
    </x:row>
    <x:row r="30" ht="38" customHeight="1">
      <x:c r="A30" s="57" t="n">
        <x:v>45049</x:v>
      </x:c>
      <x:c r="B30" s="52" t="str">
        <x:v>chatgpt-release-notes</x:v>
      </x:c>
      <x:c r="C30" s="52" t="str">
        <x:v>ChatGPT — Release Notes</x:v>
      </x:c>
      <x:c r="D30" s="52" t="str">
        <x:v>chatgpt_core</x:v>
      </x:c>
      <x:c r="E30" s="52" t="str">
        <x:v>ChatGPT</x:v>
      </x:c>
      <x:c r="F30" s="52" t="str">
        <x:v>model_update</x:v>
      </x:c>
      <x:c r="G30" s="52" t="str">
        <x:v>active</x:v>
      </x:c>
      <x:c r="H30" s="63" t="str">
        <x:v>Updates to ChatGPT</x:v>
      </x:c>
      <x:c r="I30" s="63" t="str">
        <x:v>更新：ChatGPT</x:v>
      </x:c>
      <x:c r="J30" s="63" t="str">
        <x:v>We’ve made several updates to ChatGPT! Here's what's new: You can now turn off chat history and export your data from the ChatGPT settings. Conversations that are started when chat history is disabled won’t be used to train and improve our models, and won’t appear in the history sidebar.</x:v>
      </x:c>
      <x:c r="K30" s="63" t="str">
        <x:v>OpenAI 於 2023-05-03 為 ChatGPT 更新模型或體驗；此節點依官方發布記錄整理，完整能力、適用方案與限制請見來源。</x:v>
      </x:c>
      <x:c r="L30" s="52" t="str">
        <x:v>https://help.openai.com/en/articles/6825453-chatgpt-release-notes</x:v>
      </x:c>
      <x:c r="M30" s="52" t="str">
        <x:v>help_center_release_notes</x:v>
      </x:c>
      <x:c r="N30" s="52" t="str">
        <x:v>parsed</x:v>
      </x:c>
      <x:c r="O30" s="52" t="str">
        <x:v>high</x:v>
      </x:c>
      <x:c r="P30" s="60" t="n">
        <x:v>0</x:v>
      </x:c>
      <x:c r="Q30" s="52" t="str"/>
    </x:row>
    <x:row r="31" ht="38" customHeight="1">
      <x:c r="A31" s="57" t="n">
        <x:v>45058</x:v>
      </x:c>
      <x:c r="B31" s="52" t="str">
        <x:v>chatgpt-release-notes</x:v>
      </x:c>
      <x:c r="C31" s="52" t="str">
        <x:v>ChatGPT — Release Notes</x:v>
      </x:c>
      <x:c r="D31" s="52" t="str">
        <x:v>chatgpt_core</x:v>
      </x:c>
      <x:c r="E31" s="52" t="str">
        <x:v>ChatGPT Composer</x:v>
      </x:c>
      <x:c r="F31" s="52" t="str">
        <x:v>feature</x:v>
      </x:c>
      <x:c r="G31" s="52" t="str">
        <x:v>general_availability</x:v>
      </x:c>
      <x:c r="H31" s="63" t="str">
        <x:v>Continue generating beyond token limit</x:v>
      </x:c>
      <x:c r="I31" s="63" t="str">
        <x:v>超出長度後可繼續生成</x:v>
      </x:c>
      <x:c r="J31" s="63" t="str">
        <x:v>ChatGPT added a control to continue a response beyond its maximum token limit, counting each continuation against the message allowance.</x:v>
      </x:c>
      <x:c r="K31" s="63" t="str">
        <x:v>ChatGPT 新增在回覆達到最大 token 長度後繼續生成的功能，每次續寫會計入訊息額度。</x:v>
      </x:c>
      <x:c r="L31" s="52" t="str">
        <x:v>https://help.openai.com/en/articles/6825453-chatgpt-release-notes</x:v>
      </x:c>
      <x:c r="M31" s="52" t="str">
        <x:v>help_center_release_notes</x:v>
      </x:c>
      <x:c r="N31" s="52" t="str">
        <x:v>parsed</x:v>
      </x:c>
      <x:c r="O31" s="52" t="str">
        <x:v>high</x:v>
      </x:c>
      <x:c r="P31" s="60" t="n">
        <x:v>2</x:v>
      </x:c>
      <x:c r="Q31" s="52" t="str">
        <x:v>chatgpt | continuation | token-limit</x:v>
      </x:c>
    </x:row>
    <x:row r="32" ht="38" customHeight="1">
      <x:c r="A32" s="57" t="n">
        <x:v>45058</x:v>
      </x:c>
      <x:c r="B32" s="52" t="str">
        <x:v>chatgpt-release-notes</x:v>
      </x:c>
      <x:c r="C32" s="52" t="str">
        <x:v>ChatGPT — Release Notes</x:v>
      </x:c>
      <x:c r="D32" s="52" t="str">
        <x:v>developer_platform</x:v>
      </x:c>
      <x:c r="E32" s="52" t="str">
        <x:v>ChatGPT Plugins</x:v>
      </x:c>
      <x:c r="F32" s="52" t="str">
        <x:v>availability</x:v>
      </x:c>
      <x:c r="G32" s="52" t="str">
        <x:v>beta</x:v>
      </x:c>
      <x:c r="H32" s="63" t="str">
        <x:v>Plugins beta rolls out to Plus</x:v>
      </x:c>
      <x:c r="I32" s="63" t="str">
        <x:v>外掛 Beta 推向 Plus</x:v>
      </x:c>
      <x:c r="J32" s="63" t="str">
        <x:v>OpenAI began rolling third-party plugins and the Plugin Store to all Plus users through the beta-features panel.</x:v>
      </x:c>
      <x:c r="K32" s="63" t="str">
        <x:v>OpenAI 開始透過 Beta 功能面板，向所有 Plus 使用者推出第三方外掛與 Plugin Store。</x:v>
      </x:c>
      <x:c r="L32" s="52" t="str">
        <x:v>https://help.openai.com/en/articles/6825453-chatgpt-release-notes</x:v>
      </x:c>
      <x:c r="M32" s="52" t="str">
        <x:v>help_center_release_notes</x:v>
      </x:c>
      <x:c r="N32" s="52" t="str">
        <x:v>parsed</x:v>
      </x:c>
      <x:c r="O32" s="52" t="str">
        <x:v>high</x:v>
      </x:c>
      <x:c r="P32" s="60" t="n">
        <x:v>4</x:v>
      </x:c>
      <x:c r="Q32" s="52" t="str">
        <x:v>chatgpt | plugins | plugin-store | plus</x:v>
      </x:c>
    </x:row>
    <x:row r="33" ht="38" customHeight="1">
      <x:c r="A33" s="57" t="n">
        <x:v>45058</x:v>
      </x:c>
      <x:c r="B33" s="52" t="str">
        <x:v>chatgpt-release-notes</x:v>
      </x:c>
      <x:c r="C33" s="52" t="str">
        <x:v>ChatGPT — Release Notes</x:v>
      </x:c>
      <x:c r="D33" s="52" t="str">
        <x:v>chatgpt_core</x:v>
      </x:c>
      <x:c r="E33" s="52" t="str">
        <x:v>ChatGPT Plus</x:v>
      </x:c>
      <x:c r="F33" s="52" t="str">
        <x:v>availability</x:v>
      </x:c>
      <x:c r="G33" s="52" t="str">
        <x:v>beta</x:v>
      </x:c>
      <x:c r="H33" s="63" t="str">
        <x:v>Web browsing and Plugins are now rolling out in beta</x:v>
      </x:c>
      <x:c r="I33" s="63" t="str">
        <x:v>開放使用：ChatGPT Plus</x:v>
      </x:c>
      <x:c r="J33" s="63" t="str">
        <x:v>If you are a ChatGPT Plus user, enjoy early access to experimental new features, which may change during development. We’ll be making these features accessible via a new beta panel in your settings, which is rolling out to all Plus users over the course of the next week. Once the beta panel rolls out to you, you’ll be able to try two new features:</x:v>
      </x:c>
      <x:c r="K33" s="63" t="str">
        <x:v>OpenAI 於 2023-05-12 為 ChatGPT Plus 擴大開放範圍；此節點依官方發布記錄整理，完整能力、適用方案與限制請見來源。</x:v>
      </x:c>
      <x:c r="L33" s="52" t="str">
        <x:v>https://help.openai.com/en/articles/6825453-chatgpt-release-notes</x:v>
      </x:c>
      <x:c r="M33" s="52" t="str">
        <x:v>help_center_release_notes</x:v>
      </x:c>
      <x:c r="N33" s="52" t="str">
        <x:v>parsed</x:v>
      </x:c>
      <x:c r="O33" s="52" t="str">
        <x:v>high</x:v>
      </x:c>
      <x:c r="P33" s="60" t="n">
        <x:v>0</x:v>
      </x:c>
      <x:c r="Q33" s="52" t="str"/>
    </x:row>
    <x:row r="34" ht="38" customHeight="1">
      <x:c r="A34" s="57" t="n">
        <x:v>45058</x:v>
      </x:c>
      <x:c r="B34" s="52" t="str">
        <x:v>chatgpt-release-notes</x:v>
      </x:c>
      <x:c r="C34" s="52" t="str">
        <x:v>ChatGPT — Release Notes</x:v>
      </x:c>
      <x:c r="D34" s="52" t="str">
        <x:v>search_commerce</x:v>
      </x:c>
      <x:c r="E34" s="52" t="str">
        <x:v>ChatGPT Browsing</x:v>
      </x:c>
      <x:c r="F34" s="52" t="str">
        <x:v>availability</x:v>
      </x:c>
      <x:c r="G34" s="52" t="str">
        <x:v>beta</x:v>
      </x:c>
      <x:c r="H34" s="63" t="str">
        <x:v>Web browsing beta rolls out to Plus</x:v>
      </x:c>
      <x:c r="I34" s="63" t="str">
        <x:v>網路瀏覽 Beta 推向 Plus</x:v>
      </x:c>
      <x:c r="J34" s="63" t="str">
        <x:v>OpenAI began rolling web browsing to all Plus users through a new beta-features settings panel.</x:v>
      </x:c>
      <x:c r="K34" s="63" t="str">
        <x:v>OpenAI 開始透過新的 Beta 功能設定面板，向所有 Plus 使用者推出網路瀏覽。</x:v>
      </x:c>
      <x:c r="L34" s="52" t="str">
        <x:v>https://help.openai.com/en/articles/6825453-chatgpt-release-notes</x:v>
      </x:c>
      <x:c r="M34" s="52" t="str">
        <x:v>help_center_release_notes</x:v>
      </x:c>
      <x:c r="N34" s="52" t="str">
        <x:v>parsed</x:v>
      </x:c>
      <x:c r="O34" s="52" t="str">
        <x:v>high</x:v>
      </x:c>
      <x:c r="P34" s="60" t="n">
        <x:v>4</x:v>
      </x:c>
      <x:c r="Q34" s="52" t="str">
        <x:v>chatgpt | browsing | plus | beta</x:v>
      </x:c>
    </x:row>
    <x:row r="35" ht="38" customHeight="1">
      <x:c r="A35" s="57" t="n">
        <x:v>45064</x:v>
      </x:c>
      <x:c r="B35" s="52" t="str">
        <x:v>lane-introducing-the-chatgpt-app-for-ios</x:v>
      </x:c>
      <x:c r="C35" s="52" t="str">
        <x:v>Introducing the ChatGPT app for iOS</x:v>
      </x:c>
      <x:c r="D35" s="52" t="str">
        <x:v>clients_surfaces</x:v>
      </x:c>
      <x:c r="E35" s="52" t="str">
        <x:v>ChatGPT iOS</x:v>
      </x:c>
      <x:c r="F35" s="52" t="str">
        <x:v>platform</x:v>
      </x:c>
      <x:c r="G35" s="52" t="str">
        <x:v>active</x:v>
      </x:c>
      <x:c r="H35" s="63" t="str">
        <x:v>Introducing the ChatGPT app for iOS</x:v>
      </x:c>
      <x:c r="I35" s="63" t="str">
        <x:v>推出 ChatGPT iOS App</x:v>
      </x:c>
      <x:c r="J35" s="63" t="str">
        <x:v>OpenAI launched a free iOS app in the United States with conversation syncing, Whisper voice input, and Plus access to GPT-4.</x:v>
      </x:c>
      <x:c r="K35" s="63" t="str">
        <x:v>OpenAI 在美國推出免費 iOS App，支援對話同步、Whisper 語音輸入，以及 Plus 使用 GPT-4。</x:v>
      </x:c>
      <x:c r="L35" s="52" t="str">
        <x:v>https://openai.com/index/introducing-the-chatgpt-app-for-ios/</x:v>
      </x:c>
      <x:c r="M35" s="52" t="str">
        <x:v>launch_post</x:v>
      </x:c>
      <x:c r="N35" s="52" t="str">
        <x:v>complete</x:v>
      </x:c>
      <x:c r="O35" s="52" t="str">
        <x:v>high</x:v>
      </x:c>
      <x:c r="P35" s="60" t="n">
        <x:v>5</x:v>
      </x:c>
      <x:c r="Q35" s="52" t="str">
        <x:v>chatgpt | ios | mobile | whisper</x:v>
      </x:c>
    </x:row>
    <x:row r="36" ht="38" customHeight="1">
      <x:c r="A36" s="57" t="n">
        <x:v>45070</x:v>
      </x:c>
      <x:c r="B36" s="52" t="str">
        <x:v>chatgpt-release-notes</x:v>
      </x:c>
      <x:c r="C36" s="52" t="str">
        <x:v>ChatGPT — Release Notes</x:v>
      </x:c>
      <x:c r="D36" s="52" t="str">
        <x:v>clients_surfaces</x:v>
      </x:c>
      <x:c r="E36" s="52" t="str">
        <x:v>ChatGPT iOS</x:v>
      </x:c>
      <x:c r="F36" s="52" t="str">
        <x:v>availability</x:v>
      </x:c>
      <x:c r="G36" s="52" t="str">
        <x:v>active</x:v>
      </x:c>
      <x:c r="H36" s="63" t="str">
        <x:v>ChatGPT iOS expands to 11 more countries</x:v>
      </x:c>
      <x:c r="I36" s="63" t="str">
        <x:v>ChatGPT iOS 再擴展至 11 國</x:v>
      </x:c>
      <x:c r="J36" s="63" t="str">
        <x:v>OpenAI expanded the iOS app from its U.S. launch to 11 additional countries and regions.</x:v>
      </x:c>
      <x:c r="K36" s="63" t="str">
        <x:v>OpenAI 將 iOS App 從美國擴展至另外 11 個國家與地區。</x:v>
      </x:c>
      <x:c r="L36" s="52" t="str">
        <x:v>https://help.openai.com/en/articles/6825453-chatgpt-release-notes</x:v>
      </x:c>
      <x:c r="M36" s="52" t="str">
        <x:v>help_center_release_notes</x:v>
      </x:c>
      <x:c r="N36" s="52" t="str">
        <x:v>parsed</x:v>
      </x:c>
      <x:c r="O36" s="52" t="str">
        <x:v>high</x:v>
      </x:c>
      <x:c r="P36" s="60" t="n">
        <x:v>3</x:v>
      </x:c>
      <x:c r="Q36" s="52" t="str">
        <x:v>chatgpt | ios | international | mobile</x:v>
      </x:c>
    </x:row>
    <x:row r="37" ht="38" customHeight="1">
      <x:c r="A37" s="57" t="n">
        <x:v>45070</x:v>
      </x:c>
      <x:c r="B37" s="52" t="str">
        <x:v>chatgpt-release-notes</x:v>
      </x:c>
      <x:c r="C37" s="52" t="str">
        <x:v>ChatGPT — Release Notes</x:v>
      </x:c>
      <x:c r="D37" s="52" t="str">
        <x:v>search_commerce</x:v>
      </x:c>
      <x:c r="E37" s="52" t="str">
        <x:v>Browse with Bing</x:v>
      </x:c>
      <x:c r="F37" s="52" t="str">
        <x:v>integration</x:v>
      </x:c>
      <x:c r="G37" s="52" t="str">
        <x:v>beta</x:v>
      </x:c>
      <x:c r="H37" s="63" t="str">
        <x:v>Deeper Browse with Bing integration</x:v>
      </x:c>
      <x:c r="I37" s="63" t="str">
        <x:v>更深入整合 Browse with Bing</x:v>
      </x:c>
      <x:c r="J37" s="63" t="str">
        <x:v>ChatGPT browsing exposed clickable Bing queries so users could inspect the searches the model performed.</x:v>
      </x:c>
      <x:c r="K37" s="63" t="str">
        <x:v>ChatGPT 瀏覽功能加入可點擊的 Bing 查詢，讓使用者檢視模型執行的搜尋。</x:v>
      </x:c>
      <x:c r="L37" s="52" t="str">
        <x:v>https://help.openai.com/en/articles/6825453-chatgpt-release-notes</x:v>
      </x:c>
      <x:c r="M37" s="52" t="str">
        <x:v>help_center_release_notes</x:v>
      </x:c>
      <x:c r="N37" s="52" t="str">
        <x:v>parsed</x:v>
      </x:c>
      <x:c r="O37" s="52" t="str">
        <x:v>high</x:v>
      </x:c>
      <x:c r="P37" s="60" t="n">
        <x:v>3</x:v>
      </x:c>
      <x:c r="Q37" s="52" t="str">
        <x:v>chatgpt | bing | browsing | transparency</x:v>
      </x:c>
    </x:row>
    <x:row r="38" ht="38" customHeight="1">
      <x:c r="A38" s="57" t="n">
        <x:v>45070</x:v>
      </x:c>
      <x:c r="B38" s="52" t="str">
        <x:v>chatgpt-release-notes</x:v>
      </x:c>
      <x:c r="C38" s="52" t="str">
        <x:v>ChatGPT — Release Notes</x:v>
      </x:c>
      <x:c r="D38" s="52" t="str">
        <x:v>safety_lifecycle</x:v>
      </x:c>
      <x:c r="E38" s="52" t="str">
        <x:v>ChatGPT iOS Data Controls</x:v>
      </x:c>
      <x:c r="F38" s="52" t="str">
        <x:v>safety</x:v>
      </x:c>
      <x:c r="G38" s="52" t="str">
        <x:v>general_availability</x:v>
      </x:c>
      <x:c r="H38" s="63" t="str">
        <x:v>Disable chat history on iOS</x:v>
      </x:c>
      <x:c r="I38" s="63" t="str">
        <x:v>iOS 可關閉聊天紀錄</x:v>
      </x:c>
      <x:c r="J38" s="63" t="str">
        <x:v>The iOS app added a local control to disable chat history and model-training use for new conversations.</x:v>
      </x:c>
      <x:c r="K38" s="63" t="str">
        <x:v>iOS App 新增本機控制，可關閉新對話的聊天紀錄與模型訓練用途。</x:v>
      </x:c>
      <x:c r="L38" s="52" t="str">
        <x:v>https://help.openai.com/en/articles/6825453-chatgpt-release-notes</x:v>
      </x:c>
      <x:c r="M38" s="52" t="str">
        <x:v>help_center_release_notes</x:v>
      </x:c>
      <x:c r="N38" s="52" t="str">
        <x:v>parsed</x:v>
      </x:c>
      <x:c r="O38" s="52" t="str">
        <x:v>high</x:v>
      </x:c>
      <x:c r="P38" s="60" t="n">
        <x:v>3</x:v>
      </x:c>
      <x:c r="Q38" s="52" t="str">
        <x:v>chatgpt | ios | privacy | history</x:v>
      </x:c>
    </x:row>
    <x:row r="39" ht="38" customHeight="1">
      <x:c r="A39" s="57" t="n">
        <x:v>45070</x:v>
      </x:c>
      <x:c r="B39" s="52" t="str">
        <x:v>chatgpt-release-notes</x:v>
      </x:c>
      <x:c r="C39" s="52" t="str">
        <x:v>ChatGPT — Release Notes</x:v>
      </x:c>
      <x:c r="D39" s="52" t="str">
        <x:v>clients_surfaces</x:v>
      </x:c>
      <x:c r="E39" s="52" t="str">
        <x:v>ChatGPT</x:v>
      </x:c>
      <x:c r="F39" s="52" t="str">
        <x:v>availability</x:v>
      </x:c>
      <x:c r="G39" s="52" t="str">
        <x:v>active</x:v>
      </x:c>
      <x:c r="H39" s="63" t="str">
        <x:v>iOS app available in more countries, shared links in alpha, Bing Plugin, disable history on iOS</x:v>
      </x:c>
      <x:c r="I39" s="63" t="str">
        <x:v>開放使用：ChatGPT</x:v>
      </x:c>
      <x:c r="J39" s="63" t="str">
        <x:v>ChatGPT app for iOS in more countries Good news! We’re expanding availability of the ChatGPT app for iOS to more countries and regions. Users in 11 countries can now download the ChatGPT app in the Apple App Store including the United States: Albania, Croatia, France, Germany, Ireland, Jamaica, Korea, New Zealand, Nicaragua, Nigeria, and the United Kingdom.</x:v>
      </x:c>
      <x:c r="K39" s="63" t="str">
        <x:v>OpenAI 於 2023-05-24 為 ChatGPT 擴大開放範圍；此節點依官方發布記錄整理，完整能力、適用方案與限制請見來源。</x:v>
      </x:c>
      <x:c r="L39" s="52" t="str">
        <x:v>https://help.openai.com/en/articles/6825453-chatgpt-release-notes</x:v>
      </x:c>
      <x:c r="M39" s="52" t="str">
        <x:v>help_center_release_notes</x:v>
      </x:c>
      <x:c r="N39" s="52" t="str">
        <x:v>parsed</x:v>
      </x:c>
      <x:c r="O39" s="52" t="str">
        <x:v>high</x:v>
      </x:c>
      <x:c r="P39" s="60" t="n">
        <x:v>0</x:v>
      </x:c>
      <x:c r="Q39" s="52" t="str"/>
    </x:row>
    <x:row r="40" ht="38" customHeight="1">
      <x:c r="A40" s="57" t="n">
        <x:v>45070</x:v>
      </x:c>
      <x:c r="B40" s="52" t="str">
        <x:v>chatgpt-release-notes</x:v>
      </x:c>
      <x:c r="C40" s="52" t="str">
        <x:v>ChatGPT — Release Notes</x:v>
      </x:c>
      <x:c r="D40" s="52" t="str">
        <x:v>chatgpt_core</x:v>
      </x:c>
      <x:c r="E40" s="52" t="str">
        <x:v>Shared Links</x:v>
      </x:c>
      <x:c r="F40" s="52" t="str">
        <x:v>feature</x:v>
      </x:c>
      <x:c r="G40" s="52" t="str">
        <x:v>research_preview</x:v>
      </x:c>
      <x:c r="H40" s="63" t="str">
        <x:v>Shared Links alpha</x:v>
      </x:c>
      <x:c r="I40" s="63" t="str">
        <x:v>功能更新：Shared Links Alpha</x:v>
      </x:c>
      <x:c r="J40" s="63" t="str">
        <x:v>ChatGPT began testing shareable conversation links that recipients could view or copy into their own chats.</x:v>
      </x:c>
      <x:c r="K40" s="63" t="str">
        <x:v>ChatGPT 開始測試可分享的對話連結，接收者可查看或複製至自己的聊天。</x:v>
      </x:c>
      <x:c r="L40" s="52" t="str">
        <x:v>https://help.openai.com/en/articles/6825453-chatgpt-release-notes</x:v>
      </x:c>
      <x:c r="M40" s="52" t="str">
        <x:v>help_center_release_notes</x:v>
      </x:c>
      <x:c r="N40" s="52" t="str">
        <x:v>parsed</x:v>
      </x:c>
      <x:c r="O40" s="52" t="str">
        <x:v>high</x:v>
      </x:c>
      <x:c r="P40" s="60" t="n">
        <x:v>3</x:v>
      </x:c>
      <x:c r="Q40" s="52" t="str">
        <x:v>chatgpt | sharing | links | conversations</x:v>
      </x:c>
    </x:row>
    <x:row r="41" ht="38" customHeight="1">
      <x:c r="A41" s="57" t="n">
        <x:v>45090</x:v>
      </x:c>
      <x:c r="B41" s="52" t="str">
        <x:v>lane-function-calling-and-other-api-updates</x:v>
      </x:c>
      <x:c r="C41" s="52" t="str">
        <x:v>Function calling and other API updates</x:v>
      </x:c>
      <x:c r="D41" s="52" t="str">
        <x:v>developer_platform</x:v>
      </x:c>
      <x:c r="E41" s="52" t="str">
        <x:v>Chat Completions API</x:v>
      </x:c>
      <x:c r="F41" s="52" t="str">
        <x:v>feature</x:v>
      </x:c>
      <x:c r="G41" s="52" t="str">
        <x:v>active</x:v>
      </x:c>
      <x:c r="H41" s="63" t="str">
        <x:v>Function calling and other API updates</x:v>
      </x:c>
      <x:c r="I41" s="63" t="str">
        <x:v>API 函式調用與模型更新</x:v>
      </x:c>
      <x:c r="J41" s="63" t="str">
        <x:v>OpenAI added function calling to Chat Completions, released updated GPT-4 and GPT-3.5 Turbo snapshots, a 16K GPT-3.5 Turbo variant, lower prices, and deprecation schedules.</x:v>
      </x:c>
      <x:c r="K41" s="63" t="str">
        <x:v>Chat Completions 新增函式調用，並同步推出模型快照、16K 上下文、降價與棄用時程。</x:v>
      </x:c>
      <x:c r="L41" s="52" t="str">
        <x:v>https://openai.com/index/function-calling-and-other-api-updates/</x:v>
      </x:c>
      <x:c r="M41" s="52" t="str">
        <x:v>official_launch_post</x:v>
      </x:c>
      <x:c r="N41" s="52" t="str">
        <x:v>parsed</x:v>
      </x:c>
      <x:c r="O41" s="52" t="str">
        <x:v>high</x:v>
      </x:c>
      <x:c r="P41" s="60" t="n">
        <x:v>5</x:v>
      </x:c>
      <x:c r="Q41" s="52" t="str">
        <x:v>chat-completions | function-calling</x:v>
      </x:c>
    </x:row>
    <x:row r="42" ht="38" customHeight="1">
      <x:c r="A42" s="57" t="n">
        <x:v>45090</x:v>
      </x:c>
      <x:c r="B42" s="52" t="str">
        <x:v>api-deprecations</x:v>
      </x:c>
      <x:c r="C42" s="52" t="str">
        <x:v>OpenAI API Deprecations</x:v>
      </x:c>
      <x:c r="D42" s="52" t="str">
        <x:v>safety_lifecycle</x:v>
      </x:c>
      <x:c r="E42" s="52" t="str">
        <x:v>OpenAI API</x:v>
      </x:c>
      <x:c r="F42" s="52" t="str">
        <x:v>deprecation</x:v>
      </x:c>
      <x:c r="G42" s="52" t="str">
        <x:v>deprecated</x:v>
      </x:c>
      <x:c r="H42" s="63" t="str">
        <x:v>Updated chat models</x:v>
      </x:c>
      <x:c r="I42" s="63" t="str">
        <x:v>淘汰通知：Updated chat models</x:v>
      </x:c>
      <x:c r="J42" s="63" t="str">
        <x:v>On June 13, 2023, we announced new chat model versions in the Function calling and other API updates blog post. The three original versions will be retired in June 2024 at the earliest. As of January 10, 2024, only existing users of these models will be able to continue using them.</x:v>
      </x:c>
      <x:c r="K42" s="63" t="str">
        <x:v>OpenAI 於 2023-06-13 為 OpenAI API 公布淘汰計畫；此節點依官方發布記錄整理，完整能力、適用方案與限制請見來源。</x:v>
      </x:c>
      <x:c r="L42" s="52" t="str">
        <x:v>https://platform.openai.com/docs/deprecations</x:v>
      </x:c>
      <x:c r="M42" s="52" t="str">
        <x:v>developer_deprecations</x:v>
      </x:c>
      <x:c r="N42" s="52" t="str">
        <x:v>parsed</x:v>
      </x:c>
      <x:c r="O42" s="52" t="str">
        <x:v>high</x:v>
      </x:c>
      <x:c r="P42" s="60" t="n">
        <x:v>0</x:v>
      </x:c>
      <x:c r="Q42" s="52" t="str"/>
    </x:row>
    <x:row r="43" ht="38" customHeight="1">
      <x:c r="A43" s="57" t="n">
        <x:v>45090</x:v>
      </x:c>
      <x:c r="B43" s="52" t="str">
        <x:v>lane-openai-api-deprecations</x:v>
      </x:c>
      <x:c r="C43" s="52" t="str">
        <x:v>OpenAI API Deprecations</x:v>
      </x:c>
      <x:c r="D43" s="52" t="str">
        <x:v>safety_lifecycle</x:v>
      </x:c>
      <x:c r="E43" s="52" t="str">
        <x:v>Model Platform</x:v>
      </x:c>
      <x:c r="F43" s="52" t="str">
        <x:v>deprecation</x:v>
      </x:c>
      <x:c r="G43" s="52" t="str">
        <x:v>deprecated</x:v>
      </x:c>
      <x:c r="H43" s="63" t="str">
        <x:v>Updated chat models deprecation</x:v>
      </x:c>
      <x:c r="I43" s="63" t="str">
        <x:v>Updated chat models 棄用公告</x:v>
      </x:c>
      <x:c r="J43" s="63" t="str">
        <x:v>On June 13, 2023, we announced new chat model versions in the Function calling and other API updates blog post. The three original versions will be retired in June 2024 at the earliest. As of January 10, 2024, only existing users of these models will be able to continue using them. Schedule/replacements: at earliest 2024-06-13 gpt-4-0314 $30.00 / 1M input tokens + $60.00 / 1M output tokens gpt-4o; 2024-09-13 gpt-3.5-turbo-0301 $15.00…</x:v>
      </x:c>
      <x:c r="K43" s="63" t="str">
        <x:v>OpenAI 於 2023-06-13 公告 Updated chat models 的棄用或下線時程，並列出替代方案與遷移方向。</x:v>
      </x:c>
      <x:c r="L43" s="52" t="str">
        <x:v>https://developers.openai.com/api/docs/deprecations#2023-06-13-updated-chat-models</x:v>
      </x:c>
      <x:c r="M43" s="52" t="str">
        <x:v>official_deprecation_registry</x:v>
      </x:c>
      <x:c r="N43" s="52" t="str">
        <x:v>complete</x:v>
      </x:c>
      <x:c r="O43" s="52" t="str">
        <x:v>high</x:v>
      </x:c>
      <x:c r="P43" s="60" t="n">
        <x:v>4</x:v>
      </x:c>
      <x:c r="Q43" s="52" t="str">
        <x:v>api | deprecation | model-platform</x:v>
      </x:c>
    </x:row>
    <x:row r="44" ht="38" customHeight="1">
      <x:c r="A44" s="57" t="n">
        <x:v>45099</x:v>
      </x:c>
      <x:c r="B44" s="52" t="str">
        <x:v>chatgpt-release-notes</x:v>
      </x:c>
      <x:c r="C44" s="52" t="str">
        <x:v>ChatGPT — Release Notes</x:v>
      </x:c>
      <x:c r="D44" s="52" t="str">
        <x:v>clients_surfaces</x:v>
      </x:c>
      <x:c r="E44" s="52" t="str">
        <x:v>ChatGPT Search</x:v>
      </x:c>
      <x:c r="F44" s="52" t="str">
        <x:v>model_update</x:v>
      </x:c>
      <x:c r="G44" s="52" t="str">
        <x:v>active</x:v>
      </x:c>
      <x:c r="H44" s="63" t="str">
        <x:v>Browsing and search on mobile</x:v>
      </x:c>
      <x:c r="I44" s="63" t="str">
        <x:v>模型更新：ChatGPT Search</x:v>
      </x:c>
      <x:c r="J44" s="63" t="str">
        <x:v>We’ve made two updates to the mobile ChatGPT app: Browsing: Plus users can now use Browsing to get comprehensive answers and current insights on events and information that extend beyond the model's original training data. To try it out, enable Browsing in the “new features” section of your app settings. Then select GPT-4 in the model switcher and choose “Browse with Bing” in the drop-down.</x:v>
      </x:c>
      <x:c r="K44" s="63" t="str">
        <x:v>OpenAI 於 2023-06-22 為 ChatGPT Search 更新模型或體驗；此節點依官方發布記錄整理，完整能力、適用方案與限制請見來源。</x:v>
      </x:c>
      <x:c r="L44" s="52" t="str">
        <x:v>https://help.openai.com/en/articles/6825453-chatgpt-release-notes</x:v>
      </x:c>
      <x:c r="M44" s="52" t="str">
        <x:v>help_center_release_notes</x:v>
      </x:c>
      <x:c r="N44" s="52" t="str">
        <x:v>parsed</x:v>
      </x:c>
      <x:c r="O44" s="52" t="str">
        <x:v>high</x:v>
      </x:c>
      <x:c r="P44" s="60" t="n">
        <x:v>0</x:v>
      </x:c>
      <x:c r="Q44" s="52" t="str"/>
    </x:row>
    <x:row r="45" ht="38" customHeight="1">
      <x:c r="A45" s="57" t="n">
        <x:v>45099</x:v>
      </x:c>
      <x:c r="B45" s="52" t="str">
        <x:v>chatgpt-release-notes</x:v>
      </x:c>
      <x:c r="C45" s="52" t="str">
        <x:v>ChatGPT — Release Notes</x:v>
      </x:c>
      <x:c r="D45" s="52" t="str">
        <x:v>search_commerce</x:v>
      </x:c>
      <x:c r="E45" s="52" t="str">
        <x:v>Browse with Bing</x:v>
      </x:c>
      <x:c r="F45" s="52" t="str">
        <x:v>availability</x:v>
      </x:c>
      <x:c r="G45" s="52" t="str">
        <x:v>beta</x:v>
      </x:c>
      <x:c r="H45" s="63" t="str">
        <x:v>Browsing arrives on mobile</x:v>
      </x:c>
      <x:c r="I45" s="63" t="str">
        <x:v>瀏覽功能登陸行動版</x:v>
      </x:c>
      <x:c r="J45" s="63" t="str">
        <x:v>Plus users could enable Browse with Bing in the mobile app to answer questions with current web information.</x:v>
      </x:c>
      <x:c r="K45" s="63" t="str">
        <x:v>Plus 使用者可在行動 App 中啟用 Browse with Bing，以最新網路資訊回答問題。</x:v>
      </x:c>
      <x:c r="L45" s="52" t="str">
        <x:v>https://help.openai.com/en/articles/6825453-chatgpt-release-notes</x:v>
      </x:c>
      <x:c r="M45" s="52" t="str">
        <x:v>help_center_release_notes</x:v>
      </x:c>
      <x:c r="N45" s="52" t="str">
        <x:v>parsed</x:v>
      </x:c>
      <x:c r="O45" s="52" t="str">
        <x:v>high</x:v>
      </x:c>
      <x:c r="P45" s="60" t="n">
        <x:v>3</x:v>
      </x:c>
      <x:c r="Q45" s="52" t="str">
        <x:v>chatgpt | browsing | mobile | plus</x:v>
      </x:c>
    </x:row>
    <x:row r="46" ht="38" customHeight="1">
      <x:c r="A46" s="57" t="n">
        <x:v>45099</x:v>
      </x:c>
      <x:c r="B46" s="52" t="str">
        <x:v>chatgpt-release-notes</x:v>
      </x:c>
      <x:c r="C46" s="52" t="str">
        <x:v>ChatGPT — Release Notes</x:v>
      </x:c>
      <x:c r="D46" s="52" t="str">
        <x:v>clients_surfaces</x:v>
      </x:c>
      <x:c r="E46" s="52" t="str">
        <x:v>ChatGPT Mobile</x:v>
      </x:c>
      <x:c r="F46" s="52" t="str">
        <x:v>feature</x:v>
      </x:c>
      <x:c r="G46" s="52" t="str">
        <x:v>general_availability</x:v>
      </x:c>
      <x:c r="H46" s="63" t="str">
        <x:v>Mobile search-history deep links</x:v>
      </x:c>
      <x:c r="I46" s="63" t="str">
        <x:v>行動版搜尋紀錄深層連結</x:v>
      </x:c>
      <x:c r="J46" s="63" t="str">
        <x:v>Tapping a mobile search result began taking users directly to the corresponding point in a conversation.</x:v>
      </x:c>
      <x:c r="K46" s="63" t="str">
        <x:v>點擊行動版搜尋結果後，會直接跳至對話中的對應位置。</x:v>
      </x:c>
      <x:c r="L46" s="52" t="str">
        <x:v>https://help.openai.com/en/articles/6825453-chatgpt-release-notes</x:v>
      </x:c>
      <x:c r="M46" s="52" t="str">
        <x:v>help_center_release_notes</x:v>
      </x:c>
      <x:c r="N46" s="52" t="str">
        <x:v>parsed</x:v>
      </x:c>
      <x:c r="O46" s="52" t="str">
        <x:v>high</x:v>
      </x:c>
      <x:c r="P46" s="60" t="n">
        <x:v>2</x:v>
      </x:c>
      <x:c r="Q46" s="52" t="str">
        <x:v>chatgpt | mobile | search-history | navigation</x:v>
      </x:c>
    </x:row>
    <x:row r="47" ht="38" customHeight="1">
      <x:c r="A47" s="57" t="n">
        <x:v>45110</x:v>
      </x:c>
      <x:c r="B47" s="52" t="str">
        <x:v>chatgpt-release-notes</x:v>
      </x:c>
      <x:c r="C47" s="52" t="str">
        <x:v>ChatGPT — Release Notes</x:v>
      </x:c>
      <x:c r="D47" s="52" t="str">
        <x:v>chatgpt_core</x:v>
      </x:c>
      <x:c r="E47" s="52" t="str">
        <x:v>ChatGPT</x:v>
      </x:c>
      <x:c r="F47" s="52" t="str">
        <x:v>model_update</x:v>
      </x:c>
      <x:c r="G47" s="52" t="str">
        <x:v>active</x:v>
      </x:c>
      <x:c r="H47" s="63" t="str">
        <x:v>Browsing is temporarily disabled</x:v>
      </x:c>
      <x:c r="I47" s="63" t="str">
        <x:v>模型更新：Browsing is temporarily disabled</x:v>
      </x:c>
      <x:c r="J47" s="63" t="str">
        <x:v>We've learned that the browsing beta can occasionally display content in ways we don't want, e.g. if a user specifically asks for a URL's full text, it may inadvertently fulfill this request. We are temporarily disabling Browse while we fix this.</x:v>
      </x:c>
      <x:c r="K47" s="63" t="str">
        <x:v>OpenAI 於 2023-07-03 為 ChatGPT 更新模型或體驗；此節點依官方發布記錄整理，完整能力、適用方案與限制請見來源。</x:v>
      </x:c>
      <x:c r="L47" s="52" t="str">
        <x:v>https://help.openai.com/en/articles/6825453-chatgpt-release-notes</x:v>
      </x:c>
      <x:c r="M47" s="52" t="str">
        <x:v>help_center_release_notes</x:v>
      </x:c>
      <x:c r="N47" s="52" t="str">
        <x:v>parsed</x:v>
      </x:c>
      <x:c r="O47" s="52" t="str">
        <x:v>high</x:v>
      </x:c>
      <x:c r="P47" s="60" t="n">
        <x:v>0</x:v>
      </x:c>
      <x:c r="Q47" s="52" t="str"/>
    </x:row>
    <x:row r="48" ht="38" customHeight="1">
      <x:c r="A48" s="57" t="n">
        <x:v>45110</x:v>
      </x:c>
      <x:c r="B48" s="52" t="str">
        <x:v>chatgpt-release-notes</x:v>
      </x:c>
      <x:c r="C48" s="52" t="str">
        <x:v>ChatGPT — Release Notes</x:v>
      </x:c>
      <x:c r="D48" s="52" t="str">
        <x:v>safety_lifecycle</x:v>
      </x:c>
      <x:c r="E48" s="52" t="str">
        <x:v>ChatGPT Browsing</x:v>
      </x:c>
      <x:c r="F48" s="52" t="str">
        <x:v>safety</x:v>
      </x:c>
      <x:c r="G48" s="52" t="str">
        <x:v>active</x:v>
      </x:c>
      <x:c r="H48" s="63" t="str">
        <x:v>Browsing temporarily disabled</x:v>
      </x:c>
      <x:c r="I48" s="63" t="str">
        <x:v>瀏覽功能暫時停用</x:v>
      </x:c>
      <x:c r="J48" s="63" t="str">
        <x:v>OpenAI temporarily disabled Browse after finding it could reproduce page content in unintended ways, including fulfilling requests for full URL text.</x:v>
      </x:c>
      <x:c r="K48" s="63" t="str">
        <x:v>OpenAI 發現 Browse 可能以非預期方式重現頁面內容，包括滿足取得完整網址文字的要求，因此暫時停用。</x:v>
      </x:c>
      <x:c r="L48" s="52" t="str">
        <x:v>https://help.openai.com/en/articles/6825453-chatgpt-release-notes</x:v>
      </x:c>
      <x:c r="M48" s="52" t="str">
        <x:v>help_center_release_notes</x:v>
      </x:c>
      <x:c r="N48" s="52" t="str">
        <x:v>parsed</x:v>
      </x:c>
      <x:c r="O48" s="52" t="str">
        <x:v>high</x:v>
      </x:c>
      <x:c r="P48" s="60" t="n">
        <x:v>4</x:v>
      </x:c>
      <x:c r="Q48" s="52" t="str">
        <x:v>chatgpt | browsing | suspension | content-safety</x:v>
      </x:c>
    </x:row>
    <x:row r="49" ht="38" customHeight="1">
      <x:c r="A49" s="57" t="n">
        <x:v>45113</x:v>
      </x:c>
      <x:c r="B49" s="52" t="str">
        <x:v>chatgpt-release-notes</x:v>
      </x:c>
      <x:c r="C49" s="52" t="str">
        <x:v>ChatGPT — Release Notes</x:v>
      </x:c>
      <x:c r="D49" s="52" t="str">
        <x:v>developer_platform</x:v>
      </x:c>
      <x:c r="E49" s="52" t="str">
        <x:v>Code Interpreter</x:v>
      </x:c>
      <x:c r="F49" s="52" t="str">
        <x:v>availability</x:v>
      </x:c>
      <x:c r="G49" s="52" t="str">
        <x:v>beta</x:v>
      </x:c>
      <x:c r="H49" s="63" t="str">
        <x:v>Code Interpreter beta rolls out to all Plus users</x:v>
      </x:c>
      <x:c r="I49" s="63" t="str">
        <x:v>Code Interpreter Beta 推向所有 Plus 使用者</x:v>
      </x:c>
      <x:c r="J49" s="63" t="str">
        <x:v>OpenAI began rolling Code Interpreter on the web to every Plus user, enabling code execution and uploaded-file analysis.</x:v>
      </x:c>
      <x:c r="K49" s="63" t="str">
        <x:v>OpenAI 開始向所有 Plus 使用者推出網頁版 Code Interpreter，可執行程式碼並分析上傳檔案。</x:v>
      </x:c>
      <x:c r="L49" s="52" t="str">
        <x:v>https://help.openai.com/en/articles/6825453-chatgpt-release-notes</x:v>
      </x:c>
      <x:c r="M49" s="52" t="str">
        <x:v>help_center_release_notes</x:v>
      </x:c>
      <x:c r="N49" s="52" t="str">
        <x:v>parsed</x:v>
      </x:c>
      <x:c r="O49" s="52" t="str">
        <x:v>high</x:v>
      </x:c>
      <x:c r="P49" s="60" t="n">
        <x:v>5</x:v>
      </x:c>
      <x:c r="Q49" s="52" t="str">
        <x:v>chatgpt | code-interpreter | python | plus</x:v>
      </x:c>
    </x:row>
    <x:row r="50" ht="38" customHeight="1">
      <x:c r="A50" s="57" t="n">
        <x:v>45113</x:v>
      </x:c>
      <x:c r="B50" s="52" t="str">
        <x:v>chatgpt-release-notes</x:v>
      </x:c>
      <x:c r="C50" s="52" t="str">
        <x:v>ChatGPT — Release Notes</x:v>
      </x:c>
      <x:c r="D50" s="52" t="str">
        <x:v>chatgpt_core</x:v>
      </x:c>
      <x:c r="E50" s="52" t="str">
        <x:v>ChatGPT Plus</x:v>
      </x:c>
      <x:c r="F50" s="52" t="str">
        <x:v>availability</x:v>
      </x:c>
      <x:c r="G50" s="52" t="str">
        <x:v>beta</x:v>
      </x:c>
      <x:c r="H50" s="63" t="str">
        <x:v>Code interpreter is now rolling out in beta on web</x:v>
      </x:c>
      <x:c r="I50" s="63" t="str">
        <x:v>開放使用：ChatGPT Plus</x:v>
      </x:c>
      <x:c r="J50" s="63" t="str">
        <x:v>We’re rolling out code interpreter to all ChatGPT Plus users over the next week. It lets ChatGPT run code, optionally with access to files you've uploaded. You can ask ChatGPT to analyze data, create charts, edit files, perform math, etc.</x:v>
      </x:c>
      <x:c r="K50" s="63" t="str">
        <x:v>OpenAI 於 2023-07-06 為 ChatGPT Plus 擴大開放範圍；此節點依官方發布記錄整理，完整能力、適用方案與限制請見來源。</x:v>
      </x:c>
      <x:c r="L50" s="52" t="str">
        <x:v>https://help.openai.com/en/articles/6825453-chatgpt-release-notes</x:v>
      </x:c>
      <x:c r="M50" s="52" t="str">
        <x:v>help_center_release_notes</x:v>
      </x:c>
      <x:c r="N50" s="52" t="str">
        <x:v>parsed</x:v>
      </x:c>
      <x:c r="O50" s="52" t="str">
        <x:v>high</x:v>
      </x:c>
      <x:c r="P50" s="60" t="n">
        <x:v>0</x:v>
      </x:c>
      <x:c r="Q50" s="52" t="str"/>
    </x:row>
    <x:row r="51" ht="38" customHeight="1">
      <x:c r="A51" s="57" t="n">
        <x:v>45113</x:v>
      </x:c>
      <x:c r="B51" s="52" t="str">
        <x:v>api-deprecations</x:v>
      </x:c>
      <x:c r="C51" s="52" t="str">
        <x:v>OpenAI API Deprecations</x:v>
      </x:c>
      <x:c r="D51" s="52" t="str">
        <x:v>safety_lifecycle</x:v>
      </x:c>
      <x:c r="E51" s="52" t="str">
        <x:v>OpenAI API</x:v>
      </x:c>
      <x:c r="F51" s="52" t="str">
        <x:v>deprecation</x:v>
      </x:c>
      <x:c r="G51" s="52" t="str">
        <x:v>deprecated</x:v>
      </x:c>
      <x:c r="H51" s="63" t="str">
        <x:v>GPT and embeddings</x:v>
      </x:c>
      <x:c r="I51" s="63" t="str">
        <x:v>淘汰通知：GPT and embeddings</x:v>
      </x:c>
      <x:c r="J51" s="63" t="str">
        <x:v>On July 06, 2023, we announced the upcoming retirements of older GPT-3 and GPT-3.5 models served via the completions endpoint. We also announced the upcoming retirement of our first-generation text embedding models. They will be shut down on January 04, 2024. InstructGPT models</x:v>
      </x:c>
      <x:c r="K51" s="63" t="str">
        <x:v>OpenAI 於 2023-07-06 為 OpenAI API 公布淘汰計畫；此節點依官方發布記錄整理，完整能力、適用方案與限制請見來源。</x:v>
      </x:c>
      <x:c r="L51" s="52" t="str">
        <x:v>https://platform.openai.com/docs/deprecations</x:v>
      </x:c>
      <x:c r="M51" s="52" t="str">
        <x:v>developer_deprecations</x:v>
      </x:c>
      <x:c r="N51" s="52" t="str">
        <x:v>parsed</x:v>
      </x:c>
      <x:c r="O51" s="52" t="str">
        <x:v>high</x:v>
      </x:c>
      <x:c r="P51" s="60" t="n">
        <x:v>0</x:v>
      </x:c>
      <x:c r="Q51" s="52" t="str"/>
    </x:row>
    <x:row r="52" ht="38" customHeight="1">
      <x:c r="A52" s="57" t="n">
        <x:v>45113</x:v>
      </x:c>
      <x:c r="B52" s="52" t="str">
        <x:v>lane-openai-api-deprecations</x:v>
      </x:c>
      <x:c r="C52" s="52" t="str">
        <x:v>OpenAI API Deprecations</x:v>
      </x:c>
      <x:c r="D52" s="52" t="str">
        <x:v>safety_lifecycle</x:v>
      </x:c>
      <x:c r="E52" s="52" t="str">
        <x:v>Model Platform</x:v>
      </x:c>
      <x:c r="F52" s="52" t="str">
        <x:v>deprecation</x:v>
      </x:c>
      <x:c r="G52" s="52" t="str">
        <x:v>deprecated</x:v>
      </x:c>
      <x:c r="H52" s="63" t="str">
        <x:v>GPT and embeddings deprecation</x:v>
      </x:c>
      <x:c r="I52" s="63" t="str">
        <x:v>GPT and embeddings 棄用公告</x:v>
      </x:c>
      <x:c r="J52" s="63" t="str">
        <x:v>On July 06, 2023, we announced the upcoming retirements of older GPT-3 and GPT-3.5 models served via the completions endpoint. We also announced the upcoming retirement of our first-generation text embedding models. They will be shut down on January 04, 2024. Shutdown date Deprecated model Deprecated model price Recommended replacement 2024-01-04 text-ada-001 $0.40 / 1M tokens gpt-3.5-turbo-instruct 2024-01-04 text-babbage-001 $0.50…</x:v>
      </x:c>
      <x:c r="K52" s="63" t="str">
        <x:v>OpenAI 於 2023-07-06 公告 GPT and embeddings 的棄用或下線時程，並列出替代方案與遷移方向。</x:v>
      </x:c>
      <x:c r="L52" s="52" t="str">
        <x:v>https://developers.openai.com/api/docs/deprecations#2023-07-06-gpt-and-embeddings</x:v>
      </x:c>
      <x:c r="M52" s="52" t="str">
        <x:v>official_deprecation_registry</x:v>
      </x:c>
      <x:c r="N52" s="52" t="str">
        <x:v>complete</x:v>
      </x:c>
      <x:c r="O52" s="52" t="str">
        <x:v>high</x:v>
      </x:c>
      <x:c r="P52" s="60" t="n">
        <x:v>4</x:v>
      </x:c>
      <x:c r="Q52" s="52" t="str">
        <x:v>api | deprecation | model-platform</x:v>
      </x:c>
    </x:row>
    <x:row r="53" ht="38" customHeight="1">
      <x:c r="A53" s="57" t="n">
        <x:v>45113</x:v>
      </x:c>
      <x:c r="B53" s="52" t="str">
        <x:v>lane-gpt-4-api-general-availability</x:v>
      </x:c>
      <x:c r="C53" s="52" t="str">
        <x:v>GPT-4 API general availability</x:v>
      </x:c>
      <x:c r="D53" s="52" t="str">
        <x:v>developer_platform</x:v>
      </x:c>
      <x:c r="E53" s="52" t="str">
        <x:v>OpenAI API Platform</x:v>
      </x:c>
      <x:c r="F53" s="52" t="str">
        <x:v>availability</x:v>
      </x:c>
      <x:c r="G53" s="52" t="str">
        <x:v>general_availability</x:v>
      </x:c>
      <x:c r="H53" s="63" t="str">
        <x:v>GPT-4 API reaches general availability</x:v>
      </x:c>
      <x:c r="I53" s="63" t="str">
        <x:v>GPT‑4 API 正式 GA</x:v>
      </x:c>
      <x:c r="J53" s="63" t="str">
        <x:v>All paying API customers gained GPT-4 access; GPT-3.5 Turbo, DALL·E and Whisper APIs were declared generally available, while older Completions, embeddings and Edits systems received retirement plans.</x:v>
      </x:c>
      <x:c r="K53" s="63" t="str">
        <x:v>所有付費 API 客戶取得 GPT‑4 存取；GPT‑3.5 Turbo、DALL·E 與 Whisper API 進入 GA，舊系統同步公布退役計畫。</x:v>
      </x:c>
      <x:c r="L53" s="52" t="str">
        <x:v>https://openai.com/index/gpt-4-api-general-availability/</x:v>
      </x:c>
      <x:c r="M53" s="52" t="str">
        <x:v>official_launch_post</x:v>
      </x:c>
      <x:c r="N53" s="52" t="str">
        <x:v>parsed</x:v>
      </x:c>
      <x:c r="O53" s="52" t="str">
        <x:v>high</x:v>
      </x:c>
      <x:c r="P53" s="60" t="n">
        <x:v>5</x:v>
      </x:c>
      <x:c r="Q53" s="52" t="str">
        <x:v>deprecation | ga | gpt-4</x:v>
      </x:c>
    </x:row>
    <x:row r="54" ht="38" customHeight="1">
      <x:c r="A54" s="57" t="n">
        <x:v>45126</x:v>
      </x:c>
      <x:c r="B54" s="52" t="str">
        <x:v>chatgpt-release-notes</x:v>
      </x:c>
      <x:c r="C54" s="52" t="str">
        <x:v>ChatGPT — Release Notes</x:v>
      </x:c>
      <x:c r="D54" s="52" t="str">
        <x:v>models_reasoning</x:v>
      </x:c>
      <x:c r="E54" s="52" t="str">
        <x:v>GPT-4 in ChatGPT</x:v>
      </x:c>
      <x:c r="F54" s="52" t="str">
        <x:v>pricing_quota</x:v>
      </x:c>
      <x:c r="G54" s="52" t="str">
        <x:v>active</x:v>
      </x:c>
      <x:c r="H54" s="63" t="str">
        <x:v>GPT-4 message limit doubled</x:v>
      </x:c>
      <x:c r="I54" s="63" t="str">
        <x:v>GPT-4 訊息上限加倍</x:v>
      </x:c>
      <x:c r="J54" s="63" t="str">
        <x:v>OpenAI doubled the GPT-4 allowance for Plus users to 40 messages every three hours.</x:v>
      </x:c>
      <x:c r="K54" s="63" t="str">
        <x:v>OpenAI 將 Plus 使用者的 GPT-4 額度加倍至每三小時 40 則訊息。</x:v>
      </x:c>
      <x:c r="L54" s="52" t="str">
        <x:v>https://help.openai.com/en/articles/6825453-chatgpt-release-notes</x:v>
      </x:c>
      <x:c r="M54" s="52" t="str">
        <x:v>help_center_release_notes</x:v>
      </x:c>
      <x:c r="N54" s="52" t="str">
        <x:v>parsed</x:v>
      </x:c>
      <x:c r="O54" s="52" t="str">
        <x:v>high</x:v>
      </x:c>
      <x:c r="P54" s="60" t="n">
        <x:v>3</x:v>
      </x:c>
      <x:c r="Q54" s="52" t="str">
        <x:v>gpt-4 | plus | message-limit | quota</x:v>
      </x:c>
    </x:row>
    <x:row r="55" ht="38" customHeight="1">
      <x:c r="A55" s="57" t="n">
        <x:v>45126</x:v>
      </x:c>
      <x:c r="B55" s="52" t="str">
        <x:v>chatgpt-release-notes</x:v>
      </x:c>
      <x:c r="C55" s="52" t="str">
        <x:v>ChatGPT — Release Notes</x:v>
      </x:c>
      <x:c r="D55" s="52" t="str">
        <x:v>chatgpt_core</x:v>
      </x:c>
      <x:c r="E55" s="52" t="str">
        <x:v>ChatGPT Plus</x:v>
      </x:c>
      <x:c r="F55" s="52" t="str">
        <x:v>pricing_quota</x:v>
      </x:c>
      <x:c r="G55" s="52" t="str">
        <x:v>active</x:v>
      </x:c>
      <x:c r="H55" s="63" t="str">
        <x:v>Higher message limits for GPT-4</x:v>
      </x:c>
      <x:c r="I55" s="63" t="str">
        <x:v>方案更新：Higher message limits for GPT-4</x:v>
      </x:c>
      <x:c r="J55" s="63" t="str">
        <x:v>We're doubling the number of messages ChatGPT Plus customers can send with GPT-4. Rolling out over the next week, the new message limit will be 40 every 3 hours.</x:v>
      </x:c>
      <x:c r="K55" s="63" t="str">
        <x:v>OpenAI 於 2023-07-19 為 ChatGPT Plus 調整方案、額度或計費；此節點依官方發布記錄整理，完整能力、適用方案與限制請見來源。</x:v>
      </x:c>
      <x:c r="L55" s="52" t="str">
        <x:v>https://help.openai.com/en/articles/6825453-chatgpt-release-notes</x:v>
      </x:c>
      <x:c r="M55" s="52" t="str">
        <x:v>help_center_release_notes</x:v>
      </x:c>
      <x:c r="N55" s="52" t="str">
        <x:v>parsed</x:v>
      </x:c>
      <x:c r="O55" s="52" t="str">
        <x:v>high</x:v>
      </x:c>
      <x:c r="P55" s="60" t="n">
        <x:v>0</x:v>
      </x:c>
      <x:c r="Q55" s="52" t="str"/>
    </x:row>
    <x:row r="56" ht="38" customHeight="1">
      <x:c r="A56" s="57" t="n">
        <x:v>45127</x:v>
      </x:c>
      <x:c r="B56" s="52" t="str">
        <x:v>chatgpt-release-notes</x:v>
      </x:c>
      <x:c r="C56" s="52" t="str">
        <x:v>ChatGPT — Release Notes</x:v>
      </x:c>
      <x:c r="D56" s="52" t="str">
        <x:v>developer_platform</x:v>
      </x:c>
      <x:c r="E56" s="52" t="str">
        <x:v>ChatGPT</x:v>
      </x:c>
      <x:c r="F56" s="52" t="str">
        <x:v>availability</x:v>
      </x:c>
      <x:c r="G56" s="52" t="str">
        <x:v>beta</x:v>
      </x:c>
      <x:c r="H56" s="63" t="str">
        <x:v>Custom instructions are rolling out in beta</x:v>
      </x:c>
      <x:c r="I56" s="63" t="str">
        <x:v>開放使用：Custom instructions are rolling out in beta</x:v>
      </x:c>
      <x:c r="J56" s="63" t="str">
        <x:v>We’re starting to roll out custom instructions, giving you more control over ChatGPT’s responses. Set your preferences once, and they’ll steer future conversations. You can read more about custom instructions in the blogpost here. Custom instructions are available to all Plus users and expanding to all users in the coming weeks.</x:v>
      </x:c>
      <x:c r="K56" s="63" t="str">
        <x:v>OpenAI 於 2023-07-20 為 ChatGPT 擴大開放範圍；此節點依官方發布記錄整理，完整能力、適用方案與限制請見來源。</x:v>
      </x:c>
      <x:c r="L56" s="52" t="str">
        <x:v>https://help.openai.com/en/articles/6825453-chatgpt-release-notes</x:v>
      </x:c>
      <x:c r="M56" s="52" t="str">
        <x:v>help_center_release_notes</x:v>
      </x:c>
      <x:c r="N56" s="52" t="str">
        <x:v>parsed</x:v>
      </x:c>
      <x:c r="O56" s="52" t="str">
        <x:v>high</x:v>
      </x:c>
      <x:c r="P56" s="60" t="n">
        <x:v>0</x:v>
      </x:c>
      <x:c r="Q56" s="52" t="str"/>
    </x:row>
    <x:row r="57" ht="38" customHeight="1">
      <x:c r="A57" s="57" t="n">
        <x:v>45127</x:v>
      </x:c>
      <x:c r="B57" s="52" t="str">
        <x:v>lane-custom-instructions-for-chatgpt</x:v>
      </x:c>
      <x:c r="C57" s="52" t="str">
        <x:v>Custom instructions for ChatGPT</x:v>
      </x:c>
      <x:c r="D57" s="52" t="str">
        <x:v>memory_knowledge</x:v>
      </x:c>
      <x:c r="E57" s="52" t="str">
        <x:v>Custom Instructions</x:v>
      </x:c>
      <x:c r="F57" s="52" t="str">
        <x:v>feature</x:v>
      </x:c>
      <x:c r="G57" s="52" t="str">
        <x:v>beta</x:v>
      </x:c>
      <x:c r="H57" s="63" t="str">
        <x:v>Custom Instructions beta</x:v>
      </x:c>
      <x:c r="I57" s="63" t="str">
        <x:v>自訂指示 Beta</x:v>
      </x:c>
      <x:c r="J57" s="63" t="str">
        <x:v>OpenAI introduced Custom Instructions for Plus users so persistent preferences could guide future ChatGPT conversations.</x:v>
      </x:c>
      <x:c r="K57" s="63" t="str">
        <x:v>OpenAI 向 Plus 使用者推出自訂指示，讓持久化偏好能引導之後的 ChatGPT 對話。</x:v>
      </x:c>
      <x:c r="L57" s="52" t="str">
        <x:v>https://openai.com/index/custom-instructions-for-chatgpt/</x:v>
      </x:c>
      <x:c r="M57" s="52" t="str">
        <x:v>launch_post</x:v>
      </x:c>
      <x:c r="N57" s="52" t="str">
        <x:v>complete</x:v>
      </x:c>
      <x:c r="O57" s="52" t="str">
        <x:v>high</x:v>
      </x:c>
      <x:c r="P57" s="60" t="n">
        <x:v>4</x:v>
      </x:c>
      <x:c r="Q57" s="52" t="str">
        <x:v>chatgpt | custom-instructions | personalization | plus</x:v>
      </x:c>
    </x:row>
    <x:row r="58" ht="38" customHeight="1">
      <x:c r="A58" s="57" t="n">
        <x:v>45132</x:v>
      </x:c>
      <x:c r="B58" s="52" t="str">
        <x:v>chatgpt-release-notes</x:v>
      </x:c>
      <x:c r="C58" s="52" t="str">
        <x:v>ChatGPT — Release Notes</x:v>
      </x:c>
      <x:c r="D58" s="52" t="str">
        <x:v>clients_surfaces</x:v>
      </x:c>
      <x:c r="E58" s="52" t="str">
        <x:v>ChatGPT Android</x:v>
      </x:c>
      <x:c r="F58" s="52" t="str">
        <x:v>platform</x:v>
      </x:c>
      <x:c r="G58" s="52" t="str">
        <x:v>active</x:v>
      </x:c>
      <x:c r="H58" s="63" t="str">
        <x:v>Introducing the ChatGPT app for Android</x:v>
      </x:c>
      <x:c r="I58" s="63" t="str">
        <x:v>推出 ChatGPT Android App</x:v>
      </x:c>
      <x:c r="J58" s="63" t="str">
        <x:v>ChatGPT for Android is now available for download in the United States, India, Bangladesh, and Brazil from the Google Play Store. We plan to expand the rollout to additional countries over the next week. You can track the Android rollout here.</x:v>
      </x:c>
      <x:c r="K58" s="63" t="str">
        <x:v>OpenAI 於 2023-07-25 為 ChatGPT 調整方案、額度或計費；此節點依官方發布記錄整理，完整能力、適用方案與限制請見來源。</x:v>
      </x:c>
      <x:c r="L58" s="52" t="str">
        <x:v>https://help.openai.com/en/articles/6825453-chatgpt-release-notes</x:v>
      </x:c>
      <x:c r="M58" s="52" t="str">
        <x:v>help_center_release_notes</x:v>
      </x:c>
      <x:c r="N58" s="52" t="str">
        <x:v>parsed</x:v>
      </x:c>
      <x:c r="O58" s="52" t="str">
        <x:v>high</x:v>
      </x:c>
      <x:c r="P58" s="60" t="n">
        <x:v>5</x:v>
      </x:c>
      <x:c r="Q58" s="52" t="str">
        <x:v>chatgpt | android | mobile | launch</x:v>
      </x:c>
    </x:row>
    <x:row r="59" ht="38" customHeight="1">
      <x:c r="A59" s="57" t="n">
        <x:v>45141</x:v>
      </x:c>
      <x:c r="B59" s="52" t="str">
        <x:v>chatgpt-release-notes</x:v>
      </x:c>
      <x:c r="C59" s="52" t="str">
        <x:v>ChatGPT — Release Notes</x:v>
      </x:c>
      <x:c r="D59" s="52" t="str">
        <x:v>models_reasoning</x:v>
      </x:c>
      <x:c r="E59" s="52" t="str">
        <x:v>ChatGPT model picker</x:v>
      </x:c>
      <x:c r="F59" s="52" t="str">
        <x:v>feature</x:v>
      </x:c>
      <x:c r="G59" s="52" t="str">
        <x:v>general_availability</x:v>
      </x:c>
      <x:c r="H59" s="63" t="str">
        <x:v>ChatGPT remembers the selected GPT-4 model</x:v>
      </x:c>
      <x:c r="I59" s="63" t="str">
        <x:v>ChatGPT 記住所選 GPT-4 模式</x:v>
      </x:c>
      <x:c r="J59" s="63" t="str">
        <x:v>Plus users no longer defaulted back to GPT-3.5 when starting a new chat; ChatGPT remembered the previously selected GPT-4 mode.</x:v>
      </x:c>
      <x:c r="K59" s="63" t="str">
        <x:v>Plus 使用者開新聊天時不再自動回到 GPT-3.5；ChatGPT 會記住所選的 GPT-4 模式。</x:v>
      </x:c>
      <x:c r="L59" s="52" t="str">
        <x:v>https://help.openai.com/en/articles/6825453-chatgpt-release-notes</x:v>
      </x:c>
      <x:c r="M59" s="52" t="str">
        <x:v>help_center_release_notes</x:v>
      </x:c>
      <x:c r="N59" s="52" t="str">
        <x:v>parsed</x:v>
      </x:c>
      <x:c r="O59" s="52" t="str">
        <x:v>high</x:v>
      </x:c>
      <x:c r="P59" s="60" t="n">
        <x:v>3</x:v>
      </x:c>
      <x:c r="Q59" s="52" t="str">
        <x:v>chatgpt | gpt-4 | model-picker | preference</x:v>
      </x:c>
    </x:row>
    <x:row r="60" ht="38" customHeight="1">
      <x:c r="A60" s="57" t="n">
        <x:v>45141</x:v>
      </x:c>
      <x:c r="B60" s="52" t="str">
        <x:v>chatgpt-release-notes</x:v>
      </x:c>
      <x:c r="C60" s="52" t="str">
        <x:v>ChatGPT — Release Notes</x:v>
      </x:c>
      <x:c r="D60" s="52" t="str">
        <x:v>developer_platform</x:v>
      </x:c>
      <x:c r="E60" s="52" t="str">
        <x:v>Code Interpreter</x:v>
      </x:c>
      <x:c r="F60" s="52" t="str">
        <x:v>feature</x:v>
      </x:c>
      <x:c r="G60" s="52" t="str">
        <x:v>beta</x:v>
      </x:c>
      <x:c r="H60" s="63" t="str">
        <x:v>Multiple-file upload for Code Interpreter</x:v>
      </x:c>
      <x:c r="I60" s="63" t="str">
        <x:v>Code Interpreter 支援多檔上傳</x:v>
      </x:c>
      <x:c r="J60" s="63" t="str">
        <x:v>Plus users could upload multiple files to Code Interpreter for combined data analysis and insight generation.</x:v>
      </x:c>
      <x:c r="K60" s="63" t="str">
        <x:v>Plus 使用者可向 Code Interpreter 上傳多個檔案，進行合併資料分析與洞察生成。</x:v>
      </x:c>
      <x:c r="L60" s="52" t="str">
        <x:v>https://help.openai.com/en/articles/6825453-chatgpt-release-notes</x:v>
      </x:c>
      <x:c r="M60" s="52" t="str">
        <x:v>help_center_release_notes</x:v>
      </x:c>
      <x:c r="N60" s="52" t="str">
        <x:v>parsed</x:v>
      </x:c>
      <x:c r="O60" s="52" t="str">
        <x:v>high</x:v>
      </x:c>
      <x:c r="P60" s="60" t="n">
        <x:v>4</x:v>
      </x:c>
      <x:c r="Q60" s="52" t="str">
        <x:v>chatgpt | code-interpreter | files | data-analysis</x:v>
      </x:c>
    </x:row>
    <x:row r="61" ht="38" customHeight="1">
      <x:c r="A61" s="57" t="n">
        <x:v>45141</x:v>
      </x:c>
      <x:c r="B61" s="52" t="str">
        <x:v>chatgpt-release-notes</x:v>
      </x:c>
      <x:c r="C61" s="52" t="str">
        <x:v>ChatGPT — Release Notes</x:v>
      </x:c>
      <x:c r="D61" s="52" t="str">
        <x:v>chatgpt_core</x:v>
      </x:c>
      <x:c r="E61" s="52" t="str">
        <x:v>ChatGPT Web</x:v>
      </x:c>
      <x:c r="F61" s="52" t="str">
        <x:v>feature</x:v>
      </x:c>
      <x:c r="G61" s="52" t="str">
        <x:v>active</x:v>
      </x:c>
      <x:c r="H61" s="63" t="str">
        <x:v>Prompt examples, suggested replies, and keyboard shortcuts</x:v>
      </x:c>
      <x:c r="I61" s="63" t="str">
        <x:v>提示範例、建議回覆與鍵盤捷徑</x:v>
      </x:c>
      <x:c r="J61" s="63" t="str">
        <x:v>ChatGPT added starter prompt examples, suggested follow-up replies, longer login sessions, and keyboard shortcuts.</x:v>
      </x:c>
      <x:c r="K61" s="63" t="str">
        <x:v>ChatGPT 新增起始提示範例、建議追問、更長的登入時效與鍵盤捷徑。</x:v>
      </x:c>
      <x:c r="L61" s="52" t="str">
        <x:v>https://help.openai.com/en/articles/6825453-chatgpt-release-notes</x:v>
      </x:c>
      <x:c r="M61" s="52" t="str">
        <x:v>help_center_release_notes</x:v>
      </x:c>
      <x:c r="N61" s="52" t="str">
        <x:v>parsed</x:v>
      </x:c>
      <x:c r="O61" s="52" t="str">
        <x:v>high</x:v>
      </x:c>
      <x:c r="P61" s="60" t="n">
        <x:v>2</x:v>
      </x:c>
      <x:c r="Q61" s="52" t="str">
        <x:v>chatgpt | web | usability | shortcuts</x:v>
      </x:c>
    </x:row>
    <x:row r="62" ht="38" customHeight="1">
      <x:c r="A62" s="57" t="n">
        <x:v>45141</x:v>
      </x:c>
      <x:c r="B62" s="52" t="str">
        <x:v>chatgpt-release-notes</x:v>
      </x:c>
      <x:c r="C62" s="52" t="str">
        <x:v>ChatGPT — Release Notes</x:v>
      </x:c>
      <x:c r="D62" s="52" t="str">
        <x:v>chatgpt_core</x:v>
      </x:c>
      <x:c r="E62" s="52" t="str">
        <x:v>ChatGPT</x:v>
      </x:c>
      <x:c r="F62" s="52" t="str">
        <x:v>availability</x:v>
      </x:c>
      <x:c r="G62" s="52" t="str">
        <x:v>active</x:v>
      </x:c>
      <x:c r="H62" s="63" t="str">
        <x:v>Updates to ChatGPT</x:v>
      </x:c>
      <x:c r="I62" s="63" t="str">
        <x:v>更新：ChatGPT</x:v>
      </x:c>
      <x:c r="J62" s="63" t="str">
        <x:v>We’re rolling out a bunch of small updates to improve the ChatGPT experience. Shipping over the next week: 1. Prompt examples: A blank page can be intimidating. At the beginning of a new chat, you’ll now see examples to help you get started.</x:v>
      </x:c>
      <x:c r="K62" s="63" t="str">
        <x:v>OpenAI 於 2023-08-03 為 ChatGPT 擴大開放範圍；此節點依官方發布記錄整理，完整能力、適用方案與限制請見來源。</x:v>
      </x:c>
      <x:c r="L62" s="52" t="str">
        <x:v>https://help.openai.com/en/articles/6825453-chatgpt-release-notes</x:v>
      </x:c>
      <x:c r="M62" s="52" t="str">
        <x:v>help_center_release_notes</x:v>
      </x:c>
      <x:c r="N62" s="52" t="str">
        <x:v>parsed</x:v>
      </x:c>
      <x:c r="O62" s="52" t="str">
        <x:v>high</x:v>
      </x:c>
      <x:c r="P62" s="60" t="n">
        <x:v>0</x:v>
      </x:c>
      <x:c r="Q62" s="52" t="str"/>
    </x:row>
    <x:row r="63" ht="38" customHeight="1">
      <x:c r="A63" s="57" t="n">
        <x:v>45147</x:v>
      </x:c>
      <x:c r="B63" s="52" t="str">
        <x:v>chatgpt-release-notes</x:v>
      </x:c>
      <x:c r="C63" s="52" t="str">
        <x:v>ChatGPT — Release Notes</x:v>
      </x:c>
      <x:c r="D63" s="52" t="str">
        <x:v>chatgpt_core</x:v>
      </x:c>
      <x:c r="E63" s="52" t="str">
        <x:v>ChatGPT</x:v>
      </x:c>
      <x:c r="F63" s="52" t="str">
        <x:v>pricing_quota</x:v>
      </x:c>
      <x:c r="G63" s="52" t="str">
        <x:v>active</x:v>
      </x:c>
      <x:c r="H63" s="63" t="str">
        <x:v>Custom instructions are now available to free users</x:v>
      </x:c>
      <x:c r="I63" s="63" t="str">
        <x:v>方案更新：Custom instructions are now available to free users</x:v>
      </x:c>
      <x:c r="J63" s="63" t="str">
        <x:v>Custom instructions are now available to ChatGPT users on the free plan, except for in the EU UK where we will be rolling it out soon! Customize your interactions with ChatGPT by providing specific details and guidelines for your chats.</x:v>
      </x:c>
      <x:c r="K63" s="63" t="str">
        <x:v>OpenAI 於 2023-08-09 為 ChatGPT 調整方案、額度或計費；此節點依官方發布記錄整理，完整能力、適用方案與限制請見來源。</x:v>
      </x:c>
      <x:c r="L63" s="52" t="str">
        <x:v>https://help.openai.com/en/articles/6825453-chatgpt-release-notes</x:v>
      </x:c>
      <x:c r="M63" s="52" t="str">
        <x:v>help_center_release_notes</x:v>
      </x:c>
      <x:c r="N63" s="52" t="str">
        <x:v>parsed</x:v>
      </x:c>
      <x:c r="O63" s="52" t="str">
        <x:v>high</x:v>
      </x:c>
      <x:c r="P63" s="60" t="n">
        <x:v>0</x:v>
      </x:c>
      <x:c r="Q63" s="52" t="str"/>
    </x:row>
    <x:row r="64" ht="38" customHeight="1">
      <x:c r="A64" s="57" t="n">
        <x:v>45147</x:v>
      </x:c>
      <x:c r="B64" s="52" t="str">
        <x:v>chatgpt-release-notes</x:v>
      </x:c>
      <x:c r="C64" s="52" t="str">
        <x:v>ChatGPT — Release Notes</x:v>
      </x:c>
      <x:c r="D64" s="52" t="str">
        <x:v>memory_knowledge</x:v>
      </x:c>
      <x:c r="E64" s="52" t="str">
        <x:v>Custom Instructions</x:v>
      </x:c>
      <x:c r="F64" s="52" t="str">
        <x:v>availability</x:v>
      </x:c>
      <x:c r="G64" s="52" t="str">
        <x:v>active</x:v>
      </x:c>
      <x:c r="H64" s="63" t="str">
        <x:v>Custom Instructions reaches free users</x:v>
      </x:c>
      <x:c r="I64" s="63" t="str">
        <x:v>自訂指示開放免費使用者</x:v>
      </x:c>
      <x:c r="J64" s="63" t="str">
        <x:v>Custom Instructions became available on the free plan outside the European Union and United Kingdom.</x:v>
      </x:c>
      <x:c r="K64" s="63" t="str">
        <x:v>自訂指示向歐盟與英國以外的免費方案使用者開放。</x:v>
      </x:c>
      <x:c r="L64" s="52" t="str">
        <x:v>https://help.openai.com/en/articles/6825453-chatgpt-release-notes</x:v>
      </x:c>
      <x:c r="M64" s="52" t="str">
        <x:v>help_center_release_notes</x:v>
      </x:c>
      <x:c r="N64" s="52" t="str">
        <x:v>parsed</x:v>
      </x:c>
      <x:c r="O64" s="52" t="str">
        <x:v>high</x:v>
      </x:c>
      <x:c r="P64" s="60" t="n">
        <x:v>3</x:v>
      </x:c>
      <x:c r="Q64" s="52" t="str">
        <x:v>chatgpt | custom-instructions | free | personalization</x:v>
      </x:c>
    </x:row>
    <x:row r="65" ht="38" customHeight="1">
      <x:c r="A65" s="57" t="n">
        <x:v>45159</x:v>
      </x:c>
      <x:c r="B65" s="52" t="str">
        <x:v>chatgpt-release-notes</x:v>
      </x:c>
      <x:c r="C65" s="52" t="str">
        <x:v>ChatGPT — Release Notes</x:v>
      </x:c>
      <x:c r="D65" s="52" t="str">
        <x:v>chatgpt_core</x:v>
      </x:c>
      <x:c r="E65" s="52" t="str">
        <x:v>ChatGPT</x:v>
      </x:c>
      <x:c r="F65" s="52" t="str">
        <x:v>availability</x:v>
      </x:c>
      <x:c r="G65" s="52" t="str">
        <x:v>active</x:v>
      </x:c>
      <x:c r="H65" s="63" t="str">
        <x:v>Custom instructions are now available to users in the EU &amp; UK</x:v>
      </x:c>
      <x:c r="I65" s="63" t="str">
        <x:v>開放使用：ChatGPT</x:v>
      </x:c>
      <x:c r="J65" s="63" t="str">
        <x:v>Custom instructions are now available to users in the European Union United Kingdom. To add your instructions:</x:v>
      </x:c>
      <x:c r="K65" s="63" t="str">
        <x:v>OpenAI 於 2023-08-21 為 ChatGPT 擴大開放範圍；此節點依官方發布記錄整理，完整能力、適用方案與限制請見來源。</x:v>
      </x:c>
      <x:c r="L65" s="52" t="str">
        <x:v>https://help.openai.com/en/articles/6825453-chatgpt-release-notes</x:v>
      </x:c>
      <x:c r="M65" s="52" t="str">
        <x:v>help_center_release_notes</x:v>
      </x:c>
      <x:c r="N65" s="52" t="str">
        <x:v>parsed</x:v>
      </x:c>
      <x:c r="O65" s="52" t="str">
        <x:v>high</x:v>
      </x:c>
      <x:c r="P65" s="60" t="n">
        <x:v>0</x:v>
      </x:c>
      <x:c r="Q65" s="52" t="str"/>
    </x:row>
    <x:row r="66" ht="38" customHeight="1">
      <x:c r="A66" s="57" t="n">
        <x:v>45159</x:v>
      </x:c>
      <x:c r="B66" s="52" t="str">
        <x:v>chatgpt-release-notes</x:v>
      </x:c>
      <x:c r="C66" s="52" t="str">
        <x:v>ChatGPT — Release Notes</x:v>
      </x:c>
      <x:c r="D66" s="52" t="str">
        <x:v>memory_knowledge</x:v>
      </x:c>
      <x:c r="E66" s="52" t="str">
        <x:v>Custom Instructions</x:v>
      </x:c>
      <x:c r="F66" s="52" t="str">
        <x:v>availability</x:v>
      </x:c>
      <x:c r="G66" s="52" t="str">
        <x:v>active</x:v>
      </x:c>
      <x:c r="H66" s="63" t="str">
        <x:v>Custom Instructions reaches the EU and UK</x:v>
      </x:c>
      <x:c r="I66" s="63" t="str">
        <x:v>自訂指示開放歐盟與英國</x:v>
      </x:c>
      <x:c r="J66" s="63" t="str">
        <x:v>OpenAI expanded Custom Instructions availability to users in the European Union and United Kingdom.</x:v>
      </x:c>
      <x:c r="K66" s="63" t="str">
        <x:v>OpenAI 將自訂指示擴展至歐盟與英國使用者。</x:v>
      </x:c>
      <x:c r="L66" s="52" t="str">
        <x:v>https://help.openai.com/en/articles/6825453-chatgpt-release-notes</x:v>
      </x:c>
      <x:c r="M66" s="52" t="str">
        <x:v>help_center_release_notes</x:v>
      </x:c>
      <x:c r="N66" s="52" t="str">
        <x:v>parsed</x:v>
      </x:c>
      <x:c r="O66" s="52" t="str">
        <x:v>high</x:v>
      </x:c>
      <x:c r="P66" s="60" t="n">
        <x:v>2</x:v>
      </x:c>
      <x:c r="Q66" s="52" t="str">
        <x:v>chatgpt | custom-instructions | eu | uk</x:v>
      </x:c>
    </x:row>
    <x:row r="67" ht="38" customHeight="1">
      <x:c r="A67" s="57" t="n">
        <x:v>45160</x:v>
      </x:c>
      <x:c r="B67" s="52" t="str">
        <x:v>api-deprecations</x:v>
      </x:c>
      <x:c r="C67" s="52" t="str">
        <x:v>OpenAI API Deprecations</x:v>
      </x:c>
      <x:c r="D67" s="52" t="str">
        <x:v>safety_lifecycle</x:v>
      </x:c>
      <x:c r="E67" s="52" t="str">
        <x:v>OpenAI API</x:v>
      </x:c>
      <x:c r="F67" s="52" t="str">
        <x:v>deprecation</x:v>
      </x:c>
      <x:c r="G67" s="52" t="str">
        <x:v>deprecated</x:v>
      </x:c>
      <x:c r="H67" s="63" t="str">
        <x:v>Fine-tunes endpoint</x:v>
      </x:c>
      <x:c r="I67" s="63" t="str">
        <x:v>淘汰通知：Fine-tunes endpoint</x:v>
      </x:c>
      <x:c r="J67" s="63" t="str">
        <x:v>On August 22nd, 2023, we announced the new fine-tuning API (/v1/finetuning/jobs) and that the original /v1/fine-tunes API along with legacy models (including those fine-tuned with the /v1/fine-tunes API) will be shut down on January 04, 2024. This means that models fine-tuned using the /v1/fine-tunes API will no longer be accessible and you would have to fine-tune new models with the updated endpoint and associated base models.</x:v>
      </x:c>
      <x:c r="K67" s="63" t="str">
        <x:v>OpenAI 於 2023-08-22 為 OpenAI API 公布淘汰計畫；此節點依官方發布記錄整理，完整能力、適用方案與限制請見來源。</x:v>
      </x:c>
      <x:c r="L67" s="52" t="str">
        <x:v>https://platform.openai.com/docs/deprecations</x:v>
      </x:c>
      <x:c r="M67" s="52" t="str">
        <x:v>developer_deprecations</x:v>
      </x:c>
      <x:c r="N67" s="52" t="str">
        <x:v>parsed</x:v>
      </x:c>
      <x:c r="O67" s="52" t="str">
        <x:v>high</x:v>
      </x:c>
      <x:c r="P67" s="60" t="n">
        <x:v>0</x:v>
      </x:c>
      <x:c r="Q67" s="52" t="str"/>
    </x:row>
    <x:row r="68" ht="38" customHeight="1">
      <x:c r="A68" s="57" t="n">
        <x:v>45160</x:v>
      </x:c>
      <x:c r="B68" s="52" t="str">
        <x:v>lane-openai-api-deprecations</x:v>
      </x:c>
      <x:c r="C68" s="52" t="str">
        <x:v>OpenAI API Deprecations</x:v>
      </x:c>
      <x:c r="D68" s="52" t="str">
        <x:v>safety_lifecycle</x:v>
      </x:c>
      <x:c r="E68" s="52" t="str">
        <x:v>Fine-tuning API</x:v>
      </x:c>
      <x:c r="F68" s="52" t="str">
        <x:v>deprecation</x:v>
      </x:c>
      <x:c r="G68" s="52" t="str">
        <x:v>deprecated</x:v>
      </x:c>
      <x:c r="H68" s="63" t="str">
        <x:v>Fine-tunes endpoint deprecation</x:v>
      </x:c>
      <x:c r="I68" s="63" t="str">
        <x:v>Fine-tunes endpoint 棄用公告</x:v>
      </x:c>
      <x:c r="J68" s="63" t="str">
        <x:v>On August 22nd, 2023, we announced the new fine-tuning API ( /v1/finetuning/jobs ) and that the original /v1/fine-tunes API along with legacy models (including those fine-tuned with the /v1/fine-tunes API) will be shut down on January 04, 2024. This means that models fine-tuned using the /v1/fine-tunes API will no longer be accessible and you would have to fine-tune new models with the updated endpoint and associated base models. Sch…</x:v>
      </x:c>
      <x:c r="K68" s="63" t="str">
        <x:v>OpenAI 於 2023-08-22 公告 Fine-tunes endpoint 的棄用或下線時程，並列出替代方案與遷移方向。</x:v>
      </x:c>
      <x:c r="L68" s="52" t="str">
        <x:v>https://developers.openai.com/api/docs/deprecations#2023-08-22-fine-tunes-endpoint</x:v>
      </x:c>
      <x:c r="M68" s="52" t="str">
        <x:v>official_deprecation_registry</x:v>
      </x:c>
      <x:c r="N68" s="52" t="str">
        <x:v>complete</x:v>
      </x:c>
      <x:c r="O68" s="52" t="str">
        <x:v>high</x:v>
      </x:c>
      <x:c r="P68" s="60" t="n">
        <x:v>4</x:v>
      </x:c>
      <x:c r="Q68" s="52" t="str">
        <x:v>api | deprecation | fine-tuning-api</x:v>
      </x:c>
    </x:row>
    <x:row r="69" ht="38" customHeight="1">
      <x:c r="A69" s="57" t="n">
        <x:v>45160</x:v>
      </x:c>
      <x:c r="B69" s="52" t="str">
        <x:v>lane-gpt-3-5-turbo-fine-tuning-and-api-updates</x:v>
      </x:c>
      <x:c r="C69" s="52" t="str">
        <x:v>GPT-3.5 Turbo fine-tuning and API updates</x:v>
      </x:c>
      <x:c r="D69" s="52" t="str">
        <x:v>developer_platform</x:v>
      </x:c>
      <x:c r="E69" s="52" t="str">
        <x:v>Fine-tuning API</x:v>
      </x:c>
      <x:c r="F69" s="52" t="str">
        <x:v>feature</x:v>
      </x:c>
      <x:c r="G69" s="52" t="str">
        <x:v>active</x:v>
      </x:c>
      <x:c r="H69" s="63" t="str">
        <x:v>GPT-3.5 Turbo fine-tuning</x:v>
      </x:c>
      <x:c r="I69" s="63" t="str">
        <x:v>GPT‑3.5 Turbo 自助微調</x:v>
      </x:c>
      <x:c r="J69" s="63" t="str">
        <x:v>OpenAI launched self-serve fine-tuning for GPT-3.5 Turbo, letting developers customize the model with their own data for narrow use cases.</x:v>
      </x:c>
      <x:c r="K69" s="63" t="str">
        <x:v>OpenAI 推出 GPT‑3.5 Turbo 自助微調，讓開發者可用自有資料針對特定任務客製模型。</x:v>
      </x:c>
      <x:c r="L69" s="52" t="str">
        <x:v>https://openai.com/index/gpt-3-5-turbo-fine-tuning-and-api-updates/</x:v>
      </x:c>
      <x:c r="M69" s="52" t="str">
        <x:v>official_launch_post</x:v>
      </x:c>
      <x:c r="N69" s="52" t="str">
        <x:v>parsed</x:v>
      </x:c>
      <x:c r="O69" s="52" t="str">
        <x:v>high</x:v>
      </x:c>
      <x:c r="P69" s="60" t="n">
        <x:v>4</x:v>
      </x:c>
      <x:c r="Q69" s="52" t="str">
        <x:v>fine-tuning | gpt-3.5</x:v>
      </x:c>
    </x:row>
    <x:row r="70" ht="38" customHeight="1">
      <x:c r="A70" s="57" t="n">
        <x:v>45166</x:v>
      </x:c>
      <x:c r="B70" s="52" t="str">
        <x:v>chatgpt-release-notes</x:v>
      </x:c>
      <x:c r="C70" s="52" t="str">
        <x:v>ChatGPT — Release Notes</x:v>
      </x:c>
      <x:c r="D70" s="52" t="str">
        <x:v>safety_lifecycle</x:v>
      </x:c>
      <x:c r="E70" s="52" t="str">
        <x:v>ChatGPT Windows</x:v>
      </x:c>
      <x:c r="F70" s="52" t="str">
        <x:v>safety</x:v>
      </x:c>
      <x:c r="G70" s="52" t="str">
        <x:v>active</x:v>
      </x:c>
      <x:c r="H70" s="63" t="str">
        <x:v>Introducing ChatGPT Enterprise</x:v>
      </x:c>
      <x:c r="I70" s="63" t="str">
        <x:v>推出ChatGPT Enterprise</x:v>
      </x:c>
      <x:c r="J70" s="63" t="str">
        <x:v>Today we’re launching ChatGPT Enterprise, which offers enterprise-grade security and privacy, unlimited higher-speed GPT-4 access, longer context windows for processing longer inputs, advanced data analysis capabilities, customization options, and much more. ChatGPT Enterprise also provides unlimited access to Advanced Data Analysis, previously known as Code Interpreter.</x:v>
      </x:c>
      <x:c r="K70" s="63" t="str">
        <x:v>OpenAI 於 2023-08-28 為 ChatGPT Windows 更新安全與治理機制；此節點依官方發布記錄整理，完整能力、適用方案與限制請見來源。</x:v>
      </x:c>
      <x:c r="L70" s="52" t="str">
        <x:v>https://help.openai.com/en/articles/6825453-chatgpt-release-notes</x:v>
      </x:c>
      <x:c r="M70" s="52" t="str">
        <x:v>help_center_release_notes</x:v>
      </x:c>
      <x:c r="N70" s="52" t="str">
        <x:v>parsed</x:v>
      </x:c>
      <x:c r="O70" s="52" t="str">
        <x:v>high</x:v>
      </x:c>
      <x:c r="P70" s="60" t="n">
        <x:v>0</x:v>
      </x:c>
      <x:c r="Q70" s="52" t="str"/>
    </x:row>
    <x:row r="71" ht="38" customHeight="1">
      <x:c r="A71" s="57" t="n">
        <x:v>45166</x:v>
      </x:c>
      <x:c r="B71" s="52" t="str">
        <x:v>lane-introducing-chatgpt-enterprise</x:v>
      </x:c>
      <x:c r="C71" s="52" t="str">
        <x:v>Introducing ChatGPT Enterprise</x:v>
      </x:c>
      <x:c r="D71" s="52" t="str">
        <x:v>enterprise_vertical</x:v>
      </x:c>
      <x:c r="E71" s="52" t="str">
        <x:v>ChatGPT Enterprise</x:v>
      </x:c>
      <x:c r="F71" s="52" t="str">
        <x:v>launch</x:v>
      </x:c>
      <x:c r="G71" s="52" t="str">
        <x:v>active</x:v>
      </x:c>
      <x:c r="H71" s="63" t="str">
        <x:v>Introducing ChatGPT Enterprise</x:v>
      </x:c>
      <x:c r="I71" s="63" t="str">
        <x:v>推出 ChatGPT Enterprise</x:v>
      </x:c>
      <x:c r="J71" s="63" t="str">
        <x:v>OpenAI launched ChatGPT Enterprise with enterprise security and privacy, higher-speed GPT-4, longer context, advanced data analysis, customization, and admin capabilities.</x:v>
      </x:c>
      <x:c r="K71" s="63" t="str">
        <x:v>OpenAI 推出 ChatGPT Enterprise，提供企業級隱私與安全、無上限高速 GPT-4、32K 上下文、進階資料分析與管理控制。</x:v>
      </x:c>
      <x:c r="L71" s="52" t="str">
        <x:v>https://openai.com/index/introducing-chatgpt-enterprise/</x:v>
      </x:c>
      <x:c r="M71" s="52" t="str">
        <x:v>launch_post</x:v>
      </x:c>
      <x:c r="N71" s="52" t="str">
        <x:v>complete</x:v>
      </x:c>
      <x:c r="O71" s="52" t="str">
        <x:v>high</x:v>
      </x:c>
      <x:c r="P71" s="60" t="n">
        <x:v>5</x:v>
      </x:c>
      <x:c r="Q71" s="52" t="str">
        <x:v>chatgpt | enterprise | admin | privacy</x:v>
      </x:c>
    </x:row>
    <x:row r="72" ht="38" customHeight="1">
      <x:c r="A72" s="57" t="n">
        <x:v>45180</x:v>
      </x:c>
      <x:c r="B72" s="52" t="str">
        <x:v>chatgpt-release-notes</x:v>
      </x:c>
      <x:c r="C72" s="52" t="str">
        <x:v>ChatGPT — Release Notes</x:v>
      </x:c>
      <x:c r="D72" s="52" t="str">
        <x:v>clients_surfaces</x:v>
      </x:c>
      <x:c r="E72" s="52" t="str">
        <x:v>ChatGPT Web</x:v>
      </x:c>
      <x:c r="F72" s="52" t="str">
        <x:v>feature</x:v>
      </x:c>
      <x:c r="G72" s="52" t="str">
        <x:v>research_preview</x:v>
      </x:c>
      <x:c r="H72" s="63" t="str">
        <x:v>ChatGPT interface language support alpha</x:v>
      </x:c>
      <x:c r="I72" s="63" t="str">
        <x:v>ChatGPT 介面語言支援 Alpha</x:v>
      </x:c>
      <x:c r="J72" s="63" t="str">
        <x:v>ChatGPT web began an opt-in alpha for nine interface languages, including Traditional Chinese.</x:v>
      </x:c>
      <x:c r="K72" s="63" t="str">
        <x:v>ChatGPT 網頁版開始測試九種介面語言的選用 Alpha，包括繁體中文。</x:v>
      </x:c>
      <x:c r="L72" s="52" t="str">
        <x:v>https://help.openai.com/en/articles/6825453-chatgpt-release-notes</x:v>
      </x:c>
      <x:c r="M72" s="52" t="str">
        <x:v>help_center_release_notes</x:v>
      </x:c>
      <x:c r="N72" s="52" t="str">
        <x:v>parsed</x:v>
      </x:c>
      <x:c r="O72" s="52" t="str">
        <x:v>high</x:v>
      </x:c>
      <x:c r="P72" s="60" t="n">
        <x:v>3</x:v>
      </x:c>
      <x:c r="Q72" s="52" t="str">
        <x:v>chatgpt | localization | traditional-chinese | web</x:v>
      </x:c>
    </x:row>
    <x:row r="73" ht="38" customHeight="1">
      <x:c r="A73" s="57" t="n">
        <x:v>45180</x:v>
      </x:c>
      <x:c r="B73" s="52" t="str">
        <x:v>chatgpt-release-notes</x:v>
      </x:c>
      <x:c r="C73" s="52" t="str">
        <x:v>ChatGPT — Release Notes</x:v>
      </x:c>
      <x:c r="D73" s="52" t="str">
        <x:v>chatgpt_core</x:v>
      </x:c>
      <x:c r="E73" s="52" t="str">
        <x:v>ChatGPT</x:v>
      </x:c>
      <x:c r="F73" s="52" t="str">
        <x:v>feature</x:v>
      </x:c>
      <x:c r="G73" s="52" t="str">
        <x:v>active</x:v>
      </x:c>
      <x:c r="H73" s="63" t="str">
        <x:v>ChatGPT language support - Alpha on web</x:v>
      </x:c>
      <x:c r="I73" s="63" t="str">
        <x:v>功能更新：ChatGPT language support - Alpha on web</x:v>
      </x:c>
      <x:c r="J73" s="63" t="str">
        <x:v>ChatGPT now supports a limited selection of languages in the interface: Portuguese (pt-BR)</x:v>
      </x:c>
      <x:c r="K73" s="63" t="str">
        <x:v>OpenAI 於 2023-09-11 為 ChatGPT 新增功能；此節點依官方發布記錄整理，完整能力、適用方案與限制請見來源。</x:v>
      </x:c>
      <x:c r="L73" s="52" t="str">
        <x:v>https://help.openai.com/en/articles/6825453-chatgpt-release-notes</x:v>
      </x:c>
      <x:c r="M73" s="52" t="str">
        <x:v>help_center_release_notes</x:v>
      </x:c>
      <x:c r="N73" s="52" t="str">
        <x:v>parsed</x:v>
      </x:c>
      <x:c r="O73" s="52" t="str">
        <x:v>high</x:v>
      </x:c>
      <x:c r="P73" s="60" t="n">
        <x:v>0</x:v>
      </x:c>
      <x:c r="Q73" s="52" t="str"/>
    </x:row>
    <x:row r="74" ht="38" customHeight="1">
      <x:c r="A74" s="57" t="n">
        <x:v>45194</x:v>
      </x:c>
      <x:c r="B74" s="52" t="str">
        <x:v>lane-chatgpt-can-now-see-hear-and-speak</x:v>
      </x:c>
      <x:c r="C74" s="52" t="str">
        <x:v>ChatGPT can now see, hear, and speak</x:v>
      </x:c>
      <x:c r="D74" s="52" t="str">
        <x:v>multimodal</x:v>
      </x:c>
      <x:c r="E74" s="52" t="str">
        <x:v>ChatGPT Vision</x:v>
      </x:c>
      <x:c r="F74" s="52" t="str">
        <x:v>feature</x:v>
      </x:c>
      <x:c r="G74" s="52" t="str">
        <x:v>active</x:v>
      </x:c>
      <x:c r="H74" s="63" t="str">
        <x:v>Image input for ChatGPT</x:v>
      </x:c>
      <x:c r="I74" s="63" t="str">
        <x:v>ChatGPT 圖像輸入</x:v>
      </x:c>
      <x:c r="J74" s="63" t="str">
        <x:v>OpenAI began making one-or-more-image input available to Plus users across platforms, including a mobile drawing tool to direct attention.</x:v>
      </x:c>
      <x:c r="K74" s="63" t="str">
        <x:v>OpenAI 開始向各平台 Plus 使用者開放一張或多張圖像輸入，並在行動版提供繪圖工具以指示關注區域。</x:v>
      </x:c>
      <x:c r="L74" s="52" t="str">
        <x:v>https://openai.com/index/chatgpt-can-now-see-hear-and-speak/</x:v>
      </x:c>
      <x:c r="M74" s="52" t="str">
        <x:v>launch_post</x:v>
      </x:c>
      <x:c r="N74" s="52" t="str">
        <x:v>complete</x:v>
      </x:c>
      <x:c r="O74" s="52" t="str">
        <x:v>high</x:v>
      </x:c>
      <x:c r="P74" s="60" t="n">
        <x:v>5</x:v>
      </x:c>
      <x:c r="Q74" s="52" t="str">
        <x:v>chatgpt | vision | image-input | multimodal</x:v>
      </x:c>
    </x:row>
    <x:row r="75" ht="38" customHeight="1">
      <x:c r="A75" s="57" t="n">
        <x:v>45194</x:v>
      </x:c>
      <x:c r="B75" s="52" t="str">
        <x:v>chatgpt-release-notes</x:v>
      </x:c>
      <x:c r="C75" s="52" t="str">
        <x:v>ChatGPT — Release Notes</x:v>
      </x:c>
      <x:c r="D75" s="52" t="str">
        <x:v>clients_surfaces</x:v>
      </x:c>
      <x:c r="E75" s="52" t="str">
        <x:v>ChatGPT Voice</x:v>
      </x:c>
      <x:c r="F75" s="52" t="str">
        <x:v>availability</x:v>
      </x:c>
      <x:c r="G75" s="52" t="str">
        <x:v>active</x:v>
      </x:c>
      <x:c r="H75" s="63" t="str">
        <x:v>New voice and image capabilities in ChatGPT</x:v>
      </x:c>
      <x:c r="I75" s="63" t="str">
        <x:v>新增voice and image capabilities 於 ChatGPT</x:v>
      </x:c>
      <x:c r="J75" s="63" t="str">
        <x:v>We are beginning to roll out new voice and image capabilities in ChatGPT. They offer a new, more intuitive type of interface by allowing you to have a voice conversation or show ChatGPT what you’re talking about. Learn more here. Voice (Beta) is now rolling out to Plus users on iOS and Android</x:v>
      </x:c>
      <x:c r="K75" s="63" t="str">
        <x:v>OpenAI 於 2023-09-25 為 ChatGPT Voice 擴大開放範圍；此節點依官方發布記錄整理，完整能力、適用方案與限制請見來源。</x:v>
      </x:c>
      <x:c r="L75" s="52" t="str">
        <x:v>https://help.openai.com/en/articles/6825453-chatgpt-release-notes</x:v>
      </x:c>
      <x:c r="M75" s="52" t="str">
        <x:v>help_center_release_notes</x:v>
      </x:c>
      <x:c r="N75" s="52" t="str">
        <x:v>parsed</x:v>
      </x:c>
      <x:c r="O75" s="52" t="str">
        <x:v>high</x:v>
      </x:c>
      <x:c r="P75" s="60" t="n">
        <x:v>0</x:v>
      </x:c>
      <x:c r="Q75" s="52" t="str"/>
    </x:row>
    <x:row r="76" ht="38" customHeight="1">
      <x:c r="A76" s="57" t="n">
        <x:v>45194</x:v>
      </x:c>
      <x:c r="B76" s="52" t="str">
        <x:v>lane-chatgpt-can-now-see-hear-and-speak</x:v>
      </x:c>
      <x:c r="C76" s="52" t="str">
        <x:v>ChatGPT can now see, hear, and speak</x:v>
      </x:c>
      <x:c r="D76" s="52" t="str">
        <x:v>multimodal</x:v>
      </x:c>
      <x:c r="E76" s="52" t="str">
        <x:v>ChatGPT Voice</x:v>
      </x:c>
      <x:c r="F76" s="52" t="str">
        <x:v>feature</x:v>
      </x:c>
      <x:c r="G76" s="52" t="str">
        <x:v>beta</x:v>
      </x:c>
      <x:c r="H76" s="63" t="str">
        <x:v>Voice conversations beta</x:v>
      </x:c>
      <x:c r="I76" s="63" t="str">
        <x:v>語音對話 Beta</x:v>
      </x:c>
      <x:c r="J76" s="63" t="str">
        <x:v>OpenAI began rolling two-way voice conversations with five preset voices to Plus users on iOS and Android.</x:v>
      </x:c>
      <x:c r="K76" s="63" t="str">
        <x:v>OpenAI 開始向 iOS 與 Android 的 Plus 使用者推出雙向語音對話，提供五種預設聲音。</x:v>
      </x:c>
      <x:c r="L76" s="52" t="str">
        <x:v>https://openai.com/index/chatgpt-can-now-see-hear-and-speak/</x:v>
      </x:c>
      <x:c r="M76" s="52" t="str">
        <x:v>launch_post</x:v>
      </x:c>
      <x:c r="N76" s="52" t="str">
        <x:v>complete</x:v>
      </x:c>
      <x:c r="O76" s="52" t="str">
        <x:v>high</x:v>
      </x:c>
      <x:c r="P76" s="60" t="n">
        <x:v>5</x:v>
      </x:c>
      <x:c r="Q76" s="52" t="str">
        <x:v>chatgpt | voice | audio | mobile</x:v>
      </x:c>
    </x:row>
    <x:row r="77" ht="38" customHeight="1">
      <x:c r="A77" s="57" t="n">
        <x:v>45196</x:v>
      </x:c>
      <x:c r="B77" s="52" t="str">
        <x:v>chatgpt-release-notes</x:v>
      </x:c>
      <x:c r="C77" s="52" t="str">
        <x:v>ChatGPT — Release Notes</x:v>
      </x:c>
      <x:c r="D77" s="52" t="str">
        <x:v>chatgpt_core</x:v>
      </x:c>
      <x:c r="E77" s="52" t="str">
        <x:v>ChatGPT</x:v>
      </x:c>
      <x:c r="F77" s="52" t="str">
        <x:v>availability</x:v>
      </x:c>
      <x:c r="G77" s="52" t="str">
        <x:v>active</x:v>
      </x:c>
      <x:c r="H77" s="63" t="str">
        <x:v>Browsing is rolling back out to Plus users</x:v>
      </x:c>
      <x:c r="I77" s="63" t="str">
        <x:v>開放使用：Browsing is rolling back out to Plus users</x:v>
      </x:c>
      <x:c r="J77" s="63" t="str">
        <x:v>Browsing is rolling out to all Plus users. ChatGPT can now browse the internet to provide you with current and authoritative information, complete with direct links to sources. It is no longer limited to data before September 2021. To try it out, enable Browsing in your beta features setting.</x:v>
      </x:c>
      <x:c r="K77" s="63" t="str">
        <x:v>OpenAI 於 2023-09-27 為 ChatGPT 擴大開放範圍；此節點依官方發布記錄整理，完整能力、適用方案與限制請見來源。</x:v>
      </x:c>
      <x:c r="L77" s="52" t="str">
        <x:v>https://help.openai.com/en/articles/6825453-chatgpt-release-notes</x:v>
      </x:c>
      <x:c r="M77" s="52" t="str">
        <x:v>help_center_release_notes</x:v>
      </x:c>
      <x:c r="N77" s="52" t="str">
        <x:v>parsed</x:v>
      </x:c>
      <x:c r="O77" s="52" t="str">
        <x:v>high</x:v>
      </x:c>
      <x:c r="P77" s="60" t="n">
        <x:v>0</x:v>
      </x:c>
      <x:c r="Q77" s="52" t="str"/>
    </x:row>
    <x:row r="78" ht="38" customHeight="1">
      <x:c r="A78" s="57" t="n">
        <x:v>45196</x:v>
      </x:c>
      <x:c r="B78" s="52" t="str">
        <x:v>chatgpt-release-notes</x:v>
      </x:c>
      <x:c r="C78" s="52" t="str">
        <x:v>ChatGPT — Release Notes</x:v>
      </x:c>
      <x:c r="D78" s="52" t="str">
        <x:v>search_commerce</x:v>
      </x:c>
      <x:c r="E78" s="52" t="str">
        <x:v>Browse with Bing</x:v>
      </x:c>
      <x:c r="F78" s="52" t="str">
        <x:v>availability</x:v>
      </x:c>
      <x:c r="G78" s="52" t="str">
        <x:v>beta</x:v>
      </x:c>
      <x:c r="H78" s="63" t="str">
        <x:v>Browsing returns to Plus</x:v>
      </x:c>
      <x:c r="I78" s="63" t="str">
        <x:v>瀏覽功能重返 Plus</x:v>
      </x:c>
      <x:c r="J78" s="63" t="str">
        <x:v>Browse with Bing returned to all Plus users with current web information and direct links to sources.</x:v>
      </x:c>
      <x:c r="K78" s="63" t="str">
        <x:v>Browse with Bing 重返所有 Plus 使用者，提供最新網路資訊與來源直接連結。</x:v>
      </x:c>
      <x:c r="L78" s="52" t="str">
        <x:v>https://help.openai.com/en/articles/6825453-chatgpt-release-notes</x:v>
      </x:c>
      <x:c r="M78" s="52" t="str">
        <x:v>help_center_release_notes</x:v>
      </x:c>
      <x:c r="N78" s="52" t="str">
        <x:v>parsed</x:v>
      </x:c>
      <x:c r="O78" s="52" t="str">
        <x:v>high</x:v>
      </x:c>
      <x:c r="P78" s="60" t="n">
        <x:v>4</x:v>
      </x:c>
      <x:c r="Q78" s="52" t="str">
        <x:v>chatgpt | browsing | relaunch | sources</x:v>
      </x:c>
    </x:row>
    <x:row r="79" ht="38" customHeight="1">
      <x:c r="A79" s="57" t="n">
        <x:v>45205</x:v>
      </x:c>
      <x:c r="B79" s="52" t="str">
        <x:v>lane-openai-api-changelog</x:v>
      </x:c>
      <x:c r="C79" s="52" t="str">
        <x:v>OpenAI API Changelog</x:v>
      </x:c>
      <x:c r="D79" s="52" t="str">
        <x:v>developer_platform</x:v>
      </x:c>
      <x:c r="E79" s="52" t="str">
        <x:v>Fine-tuning API</x:v>
      </x:c>
      <x:c r="F79" s="52" t="str">
        <x:v>platform</x:v>
      </x:c>
      <x:c r="G79" s="52" t="str">
        <x:v>active</x:v>
      </x:c>
      <x:c r="H79" s="63" t="str">
        <x:v>Added function calling support to the Fine-tuning API</x:v>
      </x:c>
      <x:c r="I79" s="63" t="str">
        <x:v>新增：function calling support to Fine-tuning API</x:v>
      </x:c>
      <x:c r="J79" s="63" t="str">
        <x:v>Added function calling support to the Fine-tuning API</x:v>
      </x:c>
      <x:c r="K79" s="63" t="str">
        <x:v>新增：function calling support to Fine-tuning API。OpenAI 將此列為 2023-10-06 的更新；重點涉及模型微調，模型、端點與參數名稱依官方英文保留。</x:v>
      </x:c>
      <x:c r="L79" s="52" t="str">
        <x:v>https://developers.openai.com/api/docs/changelog</x:v>
      </x:c>
      <x:c r="M79" s="52" t="str">
        <x:v>official_changelog</x:v>
      </x:c>
      <x:c r="N79" s="52" t="str">
        <x:v>complete</x:v>
      </x:c>
      <x:c r="O79" s="52" t="str">
        <x:v>high</x:v>
      </x:c>
      <x:c r="P79" s="60" t="n">
        <x:v>4</x:v>
      </x:c>
      <x:c r="Q79" s="52" t="str">
        <x:v>custom-models | fine-tuning | update</x:v>
      </x:c>
    </x:row>
    <x:row r="80" ht="38" customHeight="1">
      <x:c r="A80" s="57" t="n">
        <x:v>45215</x:v>
      </x:c>
      <x:c r="B80" s="52" t="str">
        <x:v>lane-openai-api-changelog</x:v>
      </x:c>
      <x:c r="C80" s="52" t="str">
        <x:v>OpenAI API Changelog</x:v>
      </x:c>
      <x:c r="D80" s="52" t="str">
        <x:v>safety_lifecycle</x:v>
      </x:c>
      <x:c r="E80" s="52" t="str">
        <x:v>Safety &amp; Security</x:v>
      </x:c>
      <x:c r="F80" s="52" t="str">
        <x:v>safety</x:v>
      </x:c>
      <x:c r="G80" s="52" t="str">
        <x:v>active</x:v>
      </x:c>
      <x:c r="H80" s="63" t="str">
        <x:v>Added encodingformat parameter to the Embeddings API</x:v>
      </x:c>
      <x:c r="I80" s="63" t="str">
        <x:v>安全更新：Safety &amp; Security</x:v>
      </x:c>
      <x:c r="J80" s="63" t="str">
        <x:v>Added encodingformat parameter to the Embeddings API Added maxtokens to the Moderation models</x:v>
      </x:c>
      <x:c r="K80" s="63" t="str">
        <x:v>新增：encodingformat parameter to Embeddings API Added maxtokens to Moderation 模型。OpenAI 將此列為 2023-10-16 的更新；重點涉及安全與治理、向量嵌入與檢索，模型、端點與參數名稱依官方英文保留。</x:v>
      </x:c>
      <x:c r="L80" s="52" t="str">
        <x:v>https://developers.openai.com/api/docs/changelog</x:v>
      </x:c>
      <x:c r="M80" s="52" t="str">
        <x:v>official_changelog</x:v>
      </x:c>
      <x:c r="N80" s="52" t="str">
        <x:v>complete</x:v>
      </x:c>
      <x:c r="O80" s="52" t="str">
        <x:v>high</x:v>
      </x:c>
      <x:c r="P80" s="60" t="n">
        <x:v>2</x:v>
      </x:c>
      <x:c r="Q80" s="52" t="str">
        <x:v>safety | security | update</x:v>
      </x:c>
    </x:row>
    <x:row r="81" ht="38" customHeight="1">
      <x:c r="A81" s="57" t="n">
        <x:v>45215</x:v>
      </x:c>
      <x:c r="B81" s="52" t="str">
        <x:v>chatgpt-release-notes</x:v>
      </x:c>
      <x:c r="C81" s="52" t="str">
        <x:v>ChatGPT — Release Notes</x:v>
      </x:c>
      <x:c r="D81" s="52" t="str">
        <x:v>multimodal</x:v>
      </x:c>
      <x:c r="E81" s="52" t="str">
        <x:v>DALL-E 3 in ChatGPT</x:v>
      </x:c>
      <x:c r="F81" s="52" t="str">
        <x:v>feature</x:v>
      </x:c>
      <x:c r="G81" s="52" t="str">
        <x:v>beta</x:v>
      </x:c>
      <x:c r="H81" s="63" t="str">
        <x:v>DALL-E 3 rolls out in ChatGPT beta</x:v>
      </x:c>
      <x:c r="I81" s="63" t="str">
        <x:v>DALL-E 3 在 ChatGPT 展開 Beta</x:v>
      </x:c>
      <x:c r="J81" s="63" t="str">
        <x:v>OpenAI began integrating DALL-E 3 into ChatGPT on web and mobile so GPT-4 users could generate images conversationally.</x:v>
      </x:c>
      <x:c r="K81" s="63" t="str">
        <x:v>OpenAI 開始在 ChatGPT 網頁與行動版整合 DALL-E 3，讓 GPT-4 使用者能以對話生成圖像。</x:v>
      </x:c>
      <x:c r="L81" s="52" t="str">
        <x:v>https://help.openai.com/en/articles/6825453-chatgpt-release-notes</x:v>
      </x:c>
      <x:c r="M81" s="52" t="str">
        <x:v>help_center_release_notes</x:v>
      </x:c>
      <x:c r="N81" s="52" t="str">
        <x:v>parsed</x:v>
      </x:c>
      <x:c r="O81" s="52" t="str">
        <x:v>high</x:v>
      </x:c>
      <x:c r="P81" s="60" t="n">
        <x:v>5</x:v>
      </x:c>
      <x:c r="Q81" s="52" t="str">
        <x:v>dall-e-3 | chatgpt | image-generation | beta</x:v>
      </x:c>
    </x:row>
    <x:row r="82" ht="38" customHeight="1">
      <x:c r="A82" s="57" t="n">
        <x:v>45215</x:v>
      </x:c>
      <x:c r="B82" s="52" t="str">
        <x:v>chatgpt-release-notes</x:v>
      </x:c>
      <x:c r="C82" s="52" t="str">
        <x:v>ChatGPT — Release Notes</x:v>
      </x:c>
      <x:c r="D82" s="52" t="str">
        <x:v>clients_surfaces</x:v>
      </x:c>
      <x:c r="E82" s="52" t="str">
        <x:v>ChatGPT Images</x:v>
      </x:c>
      <x:c r="F82" s="52" t="str">
        <x:v>availability</x:v>
      </x:c>
      <x:c r="G82" s="52" t="str">
        <x:v>beta</x:v>
      </x:c>
      <x:c r="H82" s="63" t="str">
        <x:v>DALL·E 3 is now rolling out in beta</x:v>
      </x:c>
      <x:c r="I82" s="63" t="str">
        <x:v>開放使用：DALL·E 3 is now rolling out in beta</x:v>
      </x:c>
      <x:c r="J82" s="63" t="str">
        <x:v>We’ve integrated DALL·E 3 with ChatGPT, allowing it to respond to your requests with images. From a simple sentence to a detailed paragraph, ask ChatGPT what you want to see and it will translate your ideas into exceptionally accurate images. To use DALL·E 3 on both web and mobile, choose DALL·E 3 in the selector under GPT-4. The message limit may vary based on capacity.</x:v>
      </x:c>
      <x:c r="K82" s="63" t="str">
        <x:v>OpenAI 於 2023-10-16 為 ChatGPT Images 擴大開放範圍；此節點依官方發布記錄整理，完整能力、適用方案與限制請見來源。</x:v>
      </x:c>
      <x:c r="L82" s="52" t="str">
        <x:v>https://help.openai.com/en/articles/6825453-chatgpt-release-notes</x:v>
      </x:c>
      <x:c r="M82" s="52" t="str">
        <x:v>help_center_release_notes</x:v>
      </x:c>
      <x:c r="N82" s="52" t="str">
        <x:v>parsed</x:v>
      </x:c>
      <x:c r="O82" s="52" t="str">
        <x:v>high</x:v>
      </x:c>
      <x:c r="P82" s="60" t="n">
        <x:v>0</x:v>
      </x:c>
      <x:c r="Q82" s="52" t="str"/>
    </x:row>
    <x:row r="83" ht="38" customHeight="1">
      <x:c r="A83" s="57" t="n">
        <x:v>45216</x:v>
      </x:c>
      <x:c r="B83" s="52" t="str">
        <x:v>chatgpt-release-notes</x:v>
      </x:c>
      <x:c r="C83" s="52" t="str">
        <x:v>ChatGPT — Release Notes</x:v>
      </x:c>
      <x:c r="D83" s="52" t="str">
        <x:v>enterprise_vertical</x:v>
      </x:c>
      <x:c r="E83" s="52" t="str">
        <x:v>ChatGPT Enterprise &amp; Edu</x:v>
      </x:c>
      <x:c r="F83" s="52" t="str">
        <x:v>launch</x:v>
      </x:c>
      <x:c r="G83" s="52" t="str">
        <x:v>beta</x:v>
      </x:c>
      <x:c r="H83" s="63" t="str">
        <x:v>Browsing is now out of beta</x:v>
      </x:c>
      <x:c r="I83" s="63" t="str">
        <x:v>推出：Browsing is now out of beta</x:v>
      </x:c>
      <x:c r="J83" s="63" t="str">
        <x:v>Browsing, which we re-launched a few weeks ago, is moving out of beta. Plus and Enterprise users no longer need to switch the beta toggle to use browse, and are able to choose "Browse with Bing" from the GPT-4 model selector.</x:v>
      </x:c>
      <x:c r="K83" s="63" t="str">
        <x:v>OpenAI 於 2023-10-17 為 ChatGPT Enterprise &amp; Edu 推出新產品或能力；此節點依官方發布記錄整理，完整能力、適用方案與限制請見來源。</x:v>
      </x:c>
      <x:c r="L83" s="52" t="str">
        <x:v>https://help.openai.com/en/articles/6825453-chatgpt-release-notes</x:v>
      </x:c>
      <x:c r="M83" s="52" t="str">
        <x:v>help_center_release_notes</x:v>
      </x:c>
      <x:c r="N83" s="52" t="str">
        <x:v>parsed</x:v>
      </x:c>
      <x:c r="O83" s="52" t="str">
        <x:v>high</x:v>
      </x:c>
      <x:c r="P83" s="60" t="n">
        <x:v>0</x:v>
      </x:c>
      <x:c r="Q83" s="52" t="str"/>
    </x:row>
    <x:row r="84" ht="38" customHeight="1">
      <x:c r="A84" s="57" t="n">
        <x:v>45216</x:v>
      </x:c>
      <x:c r="B84" s="52" t="str">
        <x:v>chatgpt-release-notes</x:v>
      </x:c>
      <x:c r="C84" s="52" t="str">
        <x:v>ChatGPT — Release Notes</x:v>
      </x:c>
      <x:c r="D84" s="52" t="str">
        <x:v>search_commerce</x:v>
      </x:c>
      <x:c r="E84" s="52" t="str">
        <x:v>Browse with Bing</x:v>
      </x:c>
      <x:c r="F84" s="52" t="str">
        <x:v>availability</x:v>
      </x:c>
      <x:c r="G84" s="52" t="str">
        <x:v>general_availability</x:v>
      </x:c>
      <x:c r="H84" s="63" t="str">
        <x:v>Browsing leaves beta</x:v>
      </x:c>
      <x:c r="I84" s="63" t="str">
        <x:v>瀏覽功能脫離 Beta</x:v>
      </x:c>
      <x:c r="J84" s="63" t="str">
        <x:v>Browsing moved out of beta for Plus and Enterprise users and no longer required a beta-features toggle.</x:v>
      </x:c>
      <x:c r="K84" s="63" t="str">
        <x:v>瀏覽功能對 Plus 與 Enterprise 使用者脫離 Beta，不再需要啟用 Beta 功能開關。</x:v>
      </x:c>
      <x:c r="L84" s="52" t="str">
        <x:v>https://help.openai.com/en/articles/6825453-chatgpt-release-notes</x:v>
      </x:c>
      <x:c r="M84" s="52" t="str">
        <x:v>help_center_release_notes</x:v>
      </x:c>
      <x:c r="N84" s="52" t="str">
        <x:v>parsed</x:v>
      </x:c>
      <x:c r="O84" s="52" t="str">
        <x:v>high</x:v>
      </x:c>
      <x:c r="P84" s="60" t="n">
        <x:v>4</x:v>
      </x:c>
      <x:c r="Q84" s="52" t="str">
        <x:v>chatgpt | browsing | general-availability | bing</x:v>
      </x:c>
    </x:row>
    <x:row r="85" ht="38" customHeight="1">
      <x:c r="A85" s="57" t="n">
        <x:v>45218</x:v>
      </x:c>
      <x:c r="B85" s="52" t="str">
        <x:v>lane-dall-e-3-is-now-available-in-chatgpt-plus-and-enterprise</x:v>
      </x:c>
      <x:c r="C85" s="52" t="str">
        <x:v>DALL-E 3 is now available in ChatGPT Plus and Enterprise</x:v>
      </x:c>
      <x:c r="D85" s="52" t="str">
        <x:v>multimodal</x:v>
      </x:c>
      <x:c r="E85" s="52" t="str">
        <x:v>DALL-E 3 in ChatGPT</x:v>
      </x:c>
      <x:c r="F85" s="52" t="str">
        <x:v>availability</x:v>
      </x:c>
      <x:c r="G85" s="52" t="str">
        <x:v>general_availability</x:v>
      </x:c>
      <x:c r="H85" s="63" t="str">
        <x:v>DALL-E 3 available in ChatGPT Plus and Enterprise</x:v>
      </x:c>
      <x:c r="I85" s="63" t="str">
        <x:v>DALL-E 3 開放 ChatGPT Plus 與 Enterprise</x:v>
      </x:c>
      <x:c r="J85" s="63" t="str">
        <x:v>DALL-E 3 became available to Plus and Enterprise users for conversational image creation and iterative revisions inside ChatGPT.</x:v>
      </x:c>
      <x:c r="K85" s="63" t="str">
        <x:v>DALL-E 3 向 Plus 與 Enterprise 使用者開放，可在 ChatGPT 內以對話生成圖像並反覆修改。</x:v>
      </x:c>
      <x:c r="L85" s="52" t="str">
        <x:v>https://openai.com/index/dall-e-3-is-now-available-in-chatgpt-plus-and-enterprise/</x:v>
      </x:c>
      <x:c r="M85" s="52" t="str">
        <x:v>product_post</x:v>
      </x:c>
      <x:c r="N85" s="52" t="str">
        <x:v>complete</x:v>
      </x:c>
      <x:c r="O85" s="52" t="str">
        <x:v>high</x:v>
      </x:c>
      <x:c r="P85" s="60" t="n">
        <x:v>5</x:v>
      </x:c>
      <x:c r="Q85" s="52" t="str">
        <x:v>dall-e-3 | chatgpt | plus | enterprise</x:v>
      </x:c>
    </x:row>
    <x:row r="86" ht="38" customHeight="1">
      <x:c r="A86" s="57" t="n">
        <x:v>45236</x:v>
      </x:c>
      <x:c r="B86" s="52" t="str">
        <x:v>api-deprecations</x:v>
      </x:c>
      <x:c r="C86" s="52" t="str">
        <x:v>OpenAI API Deprecations</x:v>
      </x:c>
      <x:c r="D86" s="52" t="str">
        <x:v>safety_lifecycle</x:v>
      </x:c>
      <x:c r="E86" s="52" t="str">
        <x:v>OpenAI API</x:v>
      </x:c>
      <x:c r="F86" s="52" t="str">
        <x:v>deprecation</x:v>
      </x:c>
      <x:c r="G86" s="52" t="str">
        <x:v>deprecated</x:v>
      </x:c>
      <x:c r="H86" s="63" t="str">
        <x:v>Chat model updates</x:v>
      </x:c>
      <x:c r="I86" s="63" t="str">
        <x:v>淘汰通知：Chat model updates</x:v>
      </x:c>
      <x:c r="J86" s="63" t="str">
        <x:v>On November 6th, 2023, we announced the release of an updated GPT-3.5-Turbo model (which now comes by default with 16k context) along with deprecation of gpt-3.5-turbo-0613 and gpt-3.5-turbo-16k-0613. As of June 17, 2024, only existing users of these models will be able to continue using them. Fine-tuned models created from these base models are not affected by this deprecation, but you will no longer be able to create new fine-tuned…</x:v>
      </x:c>
      <x:c r="K86" s="63" t="str">
        <x:v>OpenAI 於 2023-11-06 為 OpenAI API 公布淘汰計畫；此節點依官方發布記錄整理，完整能力、適用方案與限制請見來源。</x:v>
      </x:c>
      <x:c r="L86" s="52" t="str">
        <x:v>https://platform.openai.com/docs/deprecations</x:v>
      </x:c>
      <x:c r="M86" s="52" t="str">
        <x:v>developer_deprecations</x:v>
      </x:c>
      <x:c r="N86" s="52" t="str">
        <x:v>parsed</x:v>
      </x:c>
      <x:c r="O86" s="52" t="str">
        <x:v>high</x:v>
      </x:c>
      <x:c r="P86" s="60" t="n">
        <x:v>0</x:v>
      </x:c>
      <x:c r="Q86" s="52" t="str"/>
    </x:row>
    <x:row r="87" ht="38" customHeight="1">
      <x:c r="A87" s="57" t="n">
        <x:v>45236</x:v>
      </x:c>
      <x:c r="B87" s="52" t="str">
        <x:v>lane-openai-api-deprecations</x:v>
      </x:c>
      <x:c r="C87" s="52" t="str">
        <x:v>OpenAI API Deprecations</x:v>
      </x:c>
      <x:c r="D87" s="52" t="str">
        <x:v>safety_lifecycle</x:v>
      </x:c>
      <x:c r="E87" s="52" t="str">
        <x:v>Fine-tuning API</x:v>
      </x:c>
      <x:c r="F87" s="52" t="str">
        <x:v>deprecation</x:v>
      </x:c>
      <x:c r="G87" s="52" t="str">
        <x:v>deprecated</x:v>
      </x:c>
      <x:c r="H87" s="63" t="str">
        <x:v>Chat model updates deprecation</x:v>
      </x:c>
      <x:c r="I87" s="63" t="str">
        <x:v>Chat model updates 棄用公告</x:v>
      </x:c>
      <x:c r="J87" s="63" t="str">
        <x:v>On November 6th, 2023, we announced the release of an updated GPT-3.5-Turbo model (which now comes by default with 16k context) along with deprecation of gpt-3.5-turbo-0613 and gpt-3.5-turbo-16k-0613 . As of June 17, 2024, only existing users of these models will be able to continue using them. Fine-tuned models created from these base models are not affected by this deprecation, but you will no longer be able to create new fine-tune…</x:v>
      </x:c>
      <x:c r="K87" s="63" t="str">
        <x:v>OpenAI 於 2023-11-06 公告 Chat model updates 的棄用或下線時程，並列出替代方案與遷移方向。</x:v>
      </x:c>
      <x:c r="L87" s="52" t="str">
        <x:v>https://developers.openai.com/api/docs/deprecations#2023-11-06-chat-model-updates</x:v>
      </x:c>
      <x:c r="M87" s="52" t="str">
        <x:v>official_deprecation_registry</x:v>
      </x:c>
      <x:c r="N87" s="52" t="str">
        <x:v>complete</x:v>
      </x:c>
      <x:c r="O87" s="52" t="str">
        <x:v>high</x:v>
      </x:c>
      <x:c r="P87" s="60" t="n">
        <x:v>4</x:v>
      </x:c>
      <x:c r="Q87" s="52" t="str">
        <x:v>api | deprecation | fine-tuning-api</x:v>
      </x:c>
    </x:row>
    <x:row r="88" ht="38" customHeight="1">
      <x:c r="A88" s="57" t="n">
        <x:v>45236</x:v>
      </x:c>
      <x:c r="B88" s="52" t="str">
        <x:v>lane-new-models-and-developer-products-announced-at-devday</x:v>
      </x:c>
      <x:c r="C88" s="52" t="str">
        <x:v>New models and developer products announced at DevDay</x:v>
      </x:c>
      <x:c r="D88" s="52" t="str">
        <x:v>models_reasoning</x:v>
      </x:c>
      <x:c r="E88" s="52" t="str">
        <x:v>GPT-4 Turbo</x:v>
      </x:c>
      <x:c r="F88" s="52" t="str">
        <x:v>model_release</x:v>
      </x:c>
      <x:c r="G88" s="52" t="str">
        <x:v>research_preview</x:v>
      </x:c>
      <x:c r="H88" s="63" t="str">
        <x:v>GPT-4 Turbo preview</x:v>
      </x:c>
      <x:c r="I88" s="63" t="str">
        <x:v>GPT-4 Turbo 預覽</x:v>
      </x:c>
      <x:c r="J88" s="63" t="str">
        <x:v>OpenAI launched a GPT-4 Turbo preview with knowledge through April 2023, a 128K context window, improved capability, and lower API prices.</x:v>
      </x:c>
      <x:c r="K88" s="63" t="str">
        <x:v>OpenAI 推出 GPT-4 Turbo 預覽，知識更新至 2023 年 4 月，具 128K 上下文、更強能力與更低 API 價格。</x:v>
      </x:c>
      <x:c r="L88" s="52" t="str">
        <x:v>https://openai.com/index/new-models-and-developer-products-announced-at-devday/</x:v>
      </x:c>
      <x:c r="M88" s="52" t="str">
        <x:v>release_post</x:v>
      </x:c>
      <x:c r="N88" s="52" t="str">
        <x:v>complete</x:v>
      </x:c>
      <x:c r="O88" s="52" t="str">
        <x:v>high</x:v>
      </x:c>
      <x:c r="P88" s="60" t="n">
        <x:v>5</x:v>
      </x:c>
      <x:c r="Q88" s="52" t="str">
        <x:v>gpt-4-turbo | devday | 128k | model-release</x:v>
      </x:c>
    </x:row>
    <x:row r="89" ht="38" customHeight="1">
      <x:c r="A89" s="57" t="n">
        <x:v>45236</x:v>
      </x:c>
      <x:c r="B89" s="52" t="str">
        <x:v>chatgpt-release-notes</x:v>
      </x:c>
      <x:c r="C89" s="52" t="str">
        <x:v>ChatGPT — Release Notes</x:v>
      </x:c>
      <x:c r="D89" s="52" t="str">
        <x:v>memory_knowledge</x:v>
      </x:c>
      <x:c r="E89" s="52" t="str">
        <x:v>ChatGPT</x:v>
      </x:c>
      <x:c r="F89" s="52" t="str">
        <x:v>launch</x:v>
      </x:c>
      <x:c r="G89" s="52" t="str">
        <x:v>active</x:v>
      </x:c>
      <x:c r="H89" s="63" t="str">
        <x:v>Introducing GPTs</x:v>
      </x:c>
      <x:c r="I89" s="63" t="str">
        <x:v>推出GPTs</x:v>
      </x:c>
      <x:c r="J89" s="63" t="str">
        <x:v>You can now create custom versions of ChatGPT that combine instructions, extra knowledge, and any combination of skills. Learn more here. We’re rolling out custom versions of ChatGPT that you can create for a specific purpose—called GPTs. GPTs are a new way for anyone to create a tailored version of ChatGPT to be more helpful in their daily life, at specific tasks, at work, or at home—and then share that creation with others. For exa…</x:v>
      </x:c>
      <x:c r="K89" s="63" t="str">
        <x:v>OpenAI 於 2023-11-06 為 ChatGPT 推出新產品或能力；此節點依官方發布記錄整理，完整能力、適用方案與限制請見來源。</x:v>
      </x:c>
      <x:c r="L89" s="52" t="str">
        <x:v>https://help.openai.com/en/articles/6825453-chatgpt-release-notes</x:v>
      </x:c>
      <x:c r="M89" s="52" t="str">
        <x:v>help_center_release_notes</x:v>
      </x:c>
      <x:c r="N89" s="52" t="str">
        <x:v>parsed</x:v>
      </x:c>
      <x:c r="O89" s="52" t="str">
        <x:v>high</x:v>
      </x:c>
      <x:c r="P89" s="60" t="n">
        <x:v>5</x:v>
      </x:c>
      <x:c r="Q89" s="52" t="str">
        <x:v>gpts | chatgpt | custom-agents | creator</x:v>
      </x:c>
    </x:row>
    <x:row r="90" ht="38" customHeight="1">
      <x:c r="A90" s="57" t="n">
        <x:v>45236</x:v>
      </x:c>
      <x:c r="B90" s="52" t="str">
        <x:v>lane-openai-api-changelog</x:v>
      </x:c>
      <x:c r="C90" s="52" t="str">
        <x:v>OpenAI API Changelog</x:v>
      </x:c>
      <x:c r="D90" s="52" t="str">
        <x:v>safety_lifecycle</x:v>
      </x:c>
      <x:c r="E90" s="52" t="str">
        <x:v>Lifecycle</x:v>
      </x:c>
      <x:c r="F90" s="52" t="str">
        <x:v>deprecation</x:v>
      </x:c>
      <x:c r="G90" s="52" t="str">
        <x:v>deprecated</x:v>
      </x:c>
      <x:c r="H90" s="63" t="str">
        <x:v>Released GPT-4 Turbo Preview</x:v>
      </x:c>
      <x:c r="I90" s="63" t="str">
        <x:v>GPT‑4 Turbo with Vision 在 API 正式 GA</x:v>
      </x:c>
      <x:c r="J90" s="63" t="str">
        <x:v>Released GPT-4 Turbo Preview , updated GPT-3.5 Turbo , GPT-4 Turbo with Vision , Assistants API , DALL·E 3 in the API , and text-to-speech API Deprecated the Chat Completions functions parameter in favor of tools Released OpenAI Python SDK V1.0</x:v>
      </x:c>
      <x:c r="K90" s="63" t="str">
        <x:v>GPT‑4 Turbo with Vision 在 API 正式 GA。OpenAI 將此列為 2023-11-06 的更新；重點涉及棄用與遷移、代理與工具調用、即時語音與音訊，模型、端點與參數名稱依官方英文保留。</x:v>
      </x:c>
      <x:c r="L90" s="52" t="str">
        <x:v>https://developers.openai.com/api/docs/changelog</x:v>
      </x:c>
      <x:c r="M90" s="52" t="str">
        <x:v>official_changelog</x:v>
      </x:c>
      <x:c r="N90" s="52" t="str">
        <x:v>complete</x:v>
      </x:c>
      <x:c r="O90" s="52" t="str">
        <x:v>high</x:v>
      </x:c>
      <x:c r="P90" s="60" t="n">
        <x:v>5</x:v>
      </x:c>
      <x:c r="Q90" s="52" t="str">
        <x:v>deprecation | migration | update</x:v>
      </x:c>
    </x:row>
    <x:row r="91" ht="38" customHeight="1">
      <x:c r="A91" s="57" t="n">
        <x:v>45251</x:v>
      </x:c>
      <x:c r="B91" s="52" t="str">
        <x:v>chatgpt-release-notes</x:v>
      </x:c>
      <x:c r="C91" s="52" t="str">
        <x:v>ChatGPT — Release Notes</x:v>
      </x:c>
      <x:c r="D91" s="52" t="str">
        <x:v>multimodal</x:v>
      </x:c>
      <x:c r="E91" s="52" t="str">
        <x:v>ChatGPT Voice</x:v>
      </x:c>
      <x:c r="F91" s="52" t="str">
        <x:v>availability</x:v>
      </x:c>
      <x:c r="G91" s="52" t="str">
        <x:v>general_availability</x:v>
      </x:c>
      <x:c r="H91" s="63" t="str">
        <x:v>ChatGPT Voice available to all free users</x:v>
      </x:c>
      <x:c r="I91" s="63" t="str">
        <x:v>ChatGPT Voice 開放所有免費使用者</x:v>
      </x:c>
      <x:c r="J91" s="63" t="str">
        <x:v>OpenAI expanded mobile voice conversations from paid access to all ChatGPT free users.</x:v>
      </x:c>
      <x:c r="K91" s="63" t="str">
        <x:v>OpenAI 將行動版語音對話從付費存取擴展至所有 ChatGPT 免費使用者。</x:v>
      </x:c>
      <x:c r="L91" s="52" t="str">
        <x:v>https://help.openai.com/en/articles/6825453-chatgpt-release-notes</x:v>
      </x:c>
      <x:c r="M91" s="52" t="str">
        <x:v>help_center_release_notes</x:v>
      </x:c>
      <x:c r="N91" s="52" t="str">
        <x:v>parsed</x:v>
      </x:c>
      <x:c r="O91" s="52" t="str">
        <x:v>high</x:v>
      </x:c>
      <x:c r="P91" s="60" t="n">
        <x:v>4</x:v>
      </x:c>
      <x:c r="Q91" s="52" t="str">
        <x:v>chatgpt | voice | free | mobile</x:v>
      </x:c>
    </x:row>
    <x:row r="92" ht="38" customHeight="1">
      <x:c r="A92" s="57" t="n">
        <x:v>45251</x:v>
      </x:c>
      <x:c r="B92" s="52" t="str">
        <x:v>chatgpt-release-notes</x:v>
      </x:c>
      <x:c r="C92" s="52" t="str">
        <x:v>ChatGPT — Release Notes</x:v>
      </x:c>
      <x:c r="D92" s="52" t="str">
        <x:v>multimodal</x:v>
      </x:c>
      <x:c r="E92" s="52" t="str">
        <x:v>ChatGPT Voice</x:v>
      </x:c>
      <x:c r="F92" s="52" t="str">
        <x:v>availability</x:v>
      </x:c>
      <x:c r="G92" s="52" t="str">
        <x:v>active</x:v>
      </x:c>
      <x:c r="H92" s="63" t="str">
        <x:v>ChatGPT with voice is available to all users</x:v>
      </x:c>
      <x:c r="I92" s="63" t="str">
        <x:v>開放使用：ChatGPT Voice</x:v>
      </x:c>
      <x:c r="J92" s="63" t="str">
        <x:v>ChatGPT with voice is now available to all free users. Download the app on your phone and tap the headphones icon to start a conversation.</x:v>
      </x:c>
      <x:c r="K92" s="63" t="str">
        <x:v>OpenAI 於 2023-11-21 為 ChatGPT Voice 擴大開放範圍；此節點依官方發布記錄整理，完整能力、適用方案與限制請見來源。</x:v>
      </x:c>
      <x:c r="L92" s="52" t="str">
        <x:v>https://help.openai.com/en/articles/6825453-chatgpt-release-notes</x:v>
      </x:c>
      <x:c r="M92" s="52" t="str">
        <x:v>help_center_release_notes</x:v>
      </x:c>
      <x:c r="N92" s="52" t="str">
        <x:v>parsed</x:v>
      </x:c>
      <x:c r="O92" s="52" t="str">
        <x:v>high</x:v>
      </x:c>
      <x:c r="P92" s="60" t="n">
        <x:v>0</x:v>
      </x:c>
      <x:c r="Q92" s="52" t="str"/>
    </x:row>
    <x:row r="93" ht="38" customHeight="1">
      <x:c r="A93" s="57" t="n">
        <x:v>45260</x:v>
      </x:c>
      <x:c r="B93" s="52" t="str">
        <x:v>lane-openai-api-changelog</x:v>
      </x:c>
      <x:c r="C93" s="52" t="str">
        <x:v>OpenAI API Changelog</x:v>
      </x:c>
      <x:c r="D93" s="52" t="str">
        <x:v>developer_platform</x:v>
      </x:c>
      <x:c r="E93" s="52" t="str">
        <x:v>OpenAI API Platform</x:v>
      </x:c>
      <x:c r="F93" s="52" t="str">
        <x:v>launch</x:v>
      </x:c>
      <x:c r="G93" s="52" t="str">
        <x:v>active</x:v>
      </x:c>
      <x:c r="H93" s="63" t="str">
        <x:v>Released OpenAI Deno SDK</x:v>
      </x:c>
      <x:c r="I93" s="63" t="str">
        <x:v>推出：OpenAI Deno SDK</x:v>
      </x:c>
      <x:c r="J93" s="63" t="str">
        <x:v>Released OpenAI Deno SDK</x:v>
      </x:c>
      <x:c r="K93" s="63" t="str">
        <x:v>推出：OpenAI Deno SDK。OpenAI 將此列為 2023-11-30 的更新；重點涉及平台功能與可用性，模型、端點與參數名稱依官方英文保留。</x:v>
      </x:c>
      <x:c r="L93" s="52" t="str">
        <x:v>https://developers.openai.com/api/docs/changelog</x:v>
      </x:c>
      <x:c r="M93" s="52" t="str">
        <x:v>official_changelog</x:v>
      </x:c>
      <x:c r="N93" s="52" t="str">
        <x:v>complete</x:v>
      </x:c>
      <x:c r="O93" s="52" t="str">
        <x:v>high</x:v>
      </x:c>
      <x:c r="P93" s="60" t="n">
        <x:v>3</x:v>
      </x:c>
      <x:c r="Q93" s="52" t="str">
        <x:v>api-platform | update</x:v>
      </x:c>
    </x:row>
    <x:row r="94" ht="38" customHeight="1">
      <x:c r="A94" s="57" t="n">
        <x:v>45274</x:v>
      </x:c>
      <x:c r="B94" s="52" t="str">
        <x:v>lane-openai-api-changelog</x:v>
      </x:c>
      <x:c r="C94" s="52" t="str">
        <x:v>OpenAI API Changelog</x:v>
      </x:c>
      <x:c r="D94" s="52" t="str">
        <x:v>developer_platform</x:v>
      </x:c>
      <x:c r="E94" s="52" t="str">
        <x:v>OpenAI API Platform</x:v>
      </x:c>
      <x:c r="F94" s="52" t="str">
        <x:v>feature</x:v>
      </x:c>
      <x:c r="G94" s="52" t="str">
        <x:v>active</x:v>
      </x:c>
      <x:c r="H94" s="63" t="str">
        <x:v>Changed function parameters argument on a tool call to be optional</x:v>
      </x:c>
      <x:c r="I94" s="63" t="str">
        <x:v>功能更新：OpenAI API Platform</x:v>
      </x:c>
      <x:c r="J94" s="63" t="str">
        <x:v>Changed function parameters argument on a tool call to be optional</x:v>
      </x:c>
      <x:c r="K94" s="63" t="str">
        <x:v>API 更新：Changed function parameters argument on a tool call to be optional。OpenAI 將此列為 2023-12-14 的更新；重點涉及代理與工具調用，模型、端點與參數名稱依官方英文保留。</x:v>
      </x:c>
      <x:c r="L94" s="52" t="str">
        <x:v>https://developers.openai.com/api/docs/changelog</x:v>
      </x:c>
      <x:c r="M94" s="52" t="str">
        <x:v>official_changelog</x:v>
      </x:c>
      <x:c r="N94" s="52" t="str">
        <x:v>complete</x:v>
      </x:c>
      <x:c r="O94" s="52" t="str">
        <x:v>high</x:v>
      </x:c>
      <x:c r="P94" s="60" t="n">
        <x:v>2</x:v>
      </x:c>
      <x:c r="Q94" s="52" t="str">
        <x:v>api-platform | update</x:v>
      </x:c>
    </x:row>
    <x:row r="95" ht="38" customHeight="1">
      <x:c r="A95" s="57" t="n">
        <x:v>45275</x:v>
      </x:c>
      <x:c r="B95" s="52" t="str">
        <x:v>lane-openai-api-changelog</x:v>
      </x:c>
      <x:c r="C95" s="52" t="str">
        <x:v>OpenAI API Changelog</x:v>
      </x:c>
      <x:c r="D95" s="52" t="str">
        <x:v>developer_platform</x:v>
      </x:c>
      <x:c r="E95" s="52" t="str">
        <x:v>OpenAI API Platform</x:v>
      </x:c>
      <x:c r="F95" s="52" t="str">
        <x:v>platform</x:v>
      </x:c>
      <x:c r="G95" s="52" t="str">
        <x:v>active</x:v>
      </x:c>
      <x:c r="H95" s="63" t="str">
        <x:v>Added logprobs and toplogprobs parameters to the Chat Completions API</x:v>
      </x:c>
      <x:c r="I95" s="63" t="str">
        <x:v>平台更新：OpenAI API Platform</x:v>
      </x:c>
      <x:c r="J95" s="63" t="str">
        <x:v>Added logprobs and toplogprobs parameters to the Chat Completions API</x:v>
      </x:c>
      <x:c r="K95" s="63" t="str">
        <x:v>新增：logprobs and toplogprobs parameters to Chat Completions API。OpenAI 將此列為 2023-12-15 的更新；重點涉及平台功能與可用性，模型、端點與參數名稱依官方英文保留。</x:v>
      </x:c>
      <x:c r="L95" s="52" t="str">
        <x:v>https://developers.openai.com/api/docs/changelog</x:v>
      </x:c>
      <x:c r="M95" s="52" t="str">
        <x:v>official_changelog</x:v>
      </x:c>
      <x:c r="N95" s="52" t="str">
        <x:v>complete</x:v>
      </x:c>
      <x:c r="O95" s="52" t="str">
        <x:v>high</x:v>
      </x:c>
      <x:c r="P95" s="60" t="n">
        <x:v>2</x:v>
      </x:c>
      <x:c r="Q95" s="52" t="str">
        <x:v>api-platform | update</x:v>
      </x:c>
    </x:row>
    <x:row r="96" ht="38" customHeight="1">
      <x:c r="A96" s="57" t="n">
        <x:v>45280</x:v>
      </x:c>
      <x:c r="B96" s="52" t="str">
        <x:v>lane-openai-api-changelog</x:v>
      </x:c>
      <x:c r="C96" s="52" t="str">
        <x:v>OpenAI API Changelog</x:v>
      </x:c>
      <x:c r="D96" s="52" t="str">
        <x:v>developer_platform</x:v>
      </x:c>
      <x:c r="E96" s="52" t="str">
        <x:v>OpenAI API Platform</x:v>
      </x:c>
      <x:c r="F96" s="52" t="str">
        <x:v>platform</x:v>
      </x:c>
      <x:c r="G96" s="52" t="str">
        <x:v>active</x:v>
      </x:c>
      <x:c r="H96" s="63" t="str">
        <x:v>Added additionalinstructions parameter to run creation in the Assistants API</x:v>
      </x:c>
      <x:c r="I96" s="63" t="str">
        <x:v>平台更新：OpenAI API Platform</x:v>
      </x:c>
      <x:c r="J96" s="63" t="str">
        <x:v>Added additionalinstructions parameter to run creation in the Assistants API</x:v>
      </x:c>
      <x:c r="K96" s="63" t="str">
        <x:v>新增：additionalinstructions parameter to run creation in Assistants API。OpenAI 將此列為 2023-12-20 的更新；重點涉及平台功能與可用性，模型、端點與參數名稱依官方英文保留。</x:v>
      </x:c>
      <x:c r="L96" s="52" t="str">
        <x:v>https://developers.openai.com/api/docs/changelog</x:v>
      </x:c>
      <x:c r="M96" s="52" t="str">
        <x:v>official_changelog</x:v>
      </x:c>
      <x:c r="N96" s="52" t="str">
        <x:v>complete</x:v>
      </x:c>
      <x:c r="O96" s="52" t="str">
        <x:v>high</x:v>
      </x:c>
      <x:c r="P96" s="60" t="n">
        <x:v>5</x:v>
      </x:c>
      <x:c r="Q96" s="52" t="str">
        <x:v>api-platform | update</x:v>
      </x:c>
    </x:row>
    <x:row r="97" ht="38" customHeight="1">
      <x:c r="A97" s="57" t="n">
        <x:v>45301</x:v>
      </x:c>
      <x:c r="B97" s="52" t="str">
        <x:v>lane-introducing-chatgpt-team</x:v>
      </x:c>
      <x:c r="C97" s="52" t="str">
        <x:v>Introducing ChatGPT Team</x:v>
      </x:c>
      <x:c r="D97" s="52" t="str">
        <x:v>enterprise_vertical</x:v>
      </x:c>
      <x:c r="E97" s="52" t="str">
        <x:v>ChatGPT Team</x:v>
      </x:c>
      <x:c r="F97" s="52" t="str">
        <x:v>launch</x:v>
      </x:c>
      <x:c r="G97" s="52" t="str">
        <x:v>active</x:v>
      </x:c>
      <x:c r="H97" s="63" t="str">
        <x:v>Introducing ChatGPT Team</x:v>
      </x:c>
      <x:c r="I97" s="63" t="str">
        <x:v>推出 ChatGPT Team</x:v>
      </x:c>
      <x:c r="J97" s="63" t="str">
        <x:v>OpenAI launched the self-serve ChatGPT Team plan with a collaborative workspace, admin tools, higher model limits, and no training on business data by default.</x:v>
      </x:c>
      <x:c r="K97" s="63" t="str">
        <x:v>OpenAI 推出自助式 ChatGPT Team，提供協作工作區、管理工具、更高模型額度，且預設不以商業資料訓練。</x:v>
      </x:c>
      <x:c r="L97" s="52" t="str">
        <x:v>https://openai.com/index/introducing-chatgpt-team/</x:v>
      </x:c>
      <x:c r="M97" s="52" t="str">
        <x:v>launch_post</x:v>
      </x:c>
      <x:c r="N97" s="52" t="str">
        <x:v>complete</x:v>
      </x:c>
      <x:c r="O97" s="52" t="str">
        <x:v>high</x:v>
      </x:c>
      <x:c r="P97" s="60" t="n">
        <x:v>5</x:v>
      </x:c>
      <x:c r="Q97" s="52" t="str">
        <x:v>chatgpt | team | workspace | subscription | admin | business</x:v>
      </x:c>
    </x:row>
    <x:row r="98" ht="38" customHeight="1">
      <x:c r="A98" s="57" t="n">
        <x:v>45301</x:v>
      </x:c>
      <x:c r="B98" s="52" t="str">
        <x:v>lane-introducing-the-gpt-store</x:v>
      </x:c>
      <x:c r="C98" s="52" t="str">
        <x:v>Introducing the GPT Store</x:v>
      </x:c>
      <x:c r="D98" s="52" t="str">
        <x:v>developer_platform</x:v>
      </x:c>
      <x:c r="E98" s="52" t="str">
        <x:v>GPT Store</x:v>
      </x:c>
      <x:c r="F98" s="52" t="str">
        <x:v>platform</x:v>
      </x:c>
      <x:c r="G98" s="52" t="str">
        <x:v>active</x:v>
      </x:c>
      <x:c r="H98" s="63" t="str">
        <x:v>Introducing the GPT Store</x:v>
      </x:c>
      <x:c r="I98" s="63" t="str">
        <x:v>推出 GPT Store</x:v>
      </x:c>
      <x:c r="J98" s="63" t="str">
        <x:v>OpenAI began rolling out a store for discovering community-built GPTs to ChatGPT Plus, Team, and Enterprise users.</x:v>
      </x:c>
      <x:c r="K98" s="63" t="str">
        <x:v>OpenAI 開始向 ChatGPT Plus、Team 與 Enterprise 使用者推出可探索社群 GPT 的商店。</x:v>
      </x:c>
      <x:c r="L98" s="52" t="str">
        <x:v>https://openai.com/index/introducing-the-gpt-store/</x:v>
      </x:c>
      <x:c r="M98" s="52" t="str">
        <x:v>launch_post</x:v>
      </x:c>
      <x:c r="N98" s="52" t="str">
        <x:v>complete</x:v>
      </x:c>
      <x:c r="O98" s="52" t="str">
        <x:v>high</x:v>
      </x:c>
      <x:c r="P98" s="60" t="n">
        <x:v>5</x:v>
      </x:c>
      <x:c r="Q98" s="52" t="str">
        <x:v>gpt-store | gpts | marketplace | chatgpt</x:v>
      </x:c>
    </x:row>
    <x:row r="99" ht="38" customHeight="1">
      <x:c r="A99" s="57" t="n">
        <x:v>45301</x:v>
      </x:c>
      <x:c r="B99" s="52" t="str">
        <x:v>chatgpt-release-notes</x:v>
      </x:c>
      <x:c r="C99" s="52" t="str">
        <x:v>ChatGPT — Release Notes</x:v>
      </x:c>
      <x:c r="D99" s="52" t="str">
        <x:v>enterprise_vertical</x:v>
      </x:c>
      <x:c r="E99" s="52" t="str">
        <x:v>ChatGPT Images</x:v>
      </x:c>
      <x:c r="F99" s="52" t="str">
        <x:v>pricing_quota</x:v>
      </x:c>
      <x:c r="G99" s="52" t="str">
        <x:v>active</x:v>
      </x:c>
      <x:c r="H99" s="63" t="str">
        <x:v>Introducing the GPT Store and ChatGPT Team plan</x:v>
      </x:c>
      <x:c r="I99" s="63" t="str">
        <x:v>方案更新：ChatGPT Images</x:v>
      </x:c>
      <x:c r="J99" s="63" t="str">
        <x:v>Discover what’s trending in the GPT Store The store features a diverse range of GPTs developed by our partners and the community. Browse popular and trending GPTs on the community leaderboard, with categories like DALL·E, writing, research, programming, education, and lifestyle.</x:v>
      </x:c>
      <x:c r="K99" s="63" t="str">
        <x:v>OpenAI 於 2024-01-10 為 ChatGPT Images 調整方案、額度或計費；此節點依官方發布記錄整理，完整能力、適用方案與限制請見來源。</x:v>
      </x:c>
      <x:c r="L99" s="52" t="str">
        <x:v>https://help.openai.com/en/articles/6825453-chatgpt-release-notes</x:v>
      </x:c>
      <x:c r="M99" s="52" t="str">
        <x:v>help_center_release_notes</x:v>
      </x:c>
      <x:c r="N99" s="52" t="str">
        <x:v>parsed</x:v>
      </x:c>
      <x:c r="O99" s="52" t="str">
        <x:v>high</x:v>
      </x:c>
      <x:c r="P99" s="60" t="n">
        <x:v>0</x:v>
      </x:c>
      <x:c r="Q99" s="52" t="str"/>
    </x:row>
    <x:row r="100" ht="38" customHeight="1">
      <x:c r="A100" s="57" t="n">
        <x:v>45316</x:v>
      </x:c>
      <x:c r="B100" s="52" t="str">
        <x:v>api-changelog</x:v>
      </x:c>
      <x:c r="C100" s="52" t="str">
        <x:v>OpenAI API Changelog</x:v>
      </x:c>
      <x:c r="D100" s="52" t="str">
        <x:v>models_reasoning</x:v>
      </x:c>
      <x:c r="E100" s="52" t="str">
        <x:v>OpenAI API</x:v>
      </x:c>
      <x:c r="F100" s="52" t="str">
        <x:v>model_release</x:v>
      </x:c>
      <x:c r="G100" s="52" t="str">
        <x:v>research_preview</x:v>
      </x:c>
      <x:c r="H100" s="63" t="str">
        <x:v>Released embedding V3 models and an updated GPT-4 Turbo preview</x:v>
      </x:c>
      <x:c r="I100" s="63" t="str">
        <x:v>模型發布：OpenAI API</x:v>
      </x:c>
      <x:c r="J100" s="63" t="str">
        <x:v>Released embedding V3 models and an updated GPT-4 Turbo preview Added dimensions parameter to the Embeddings API</x:v>
      </x:c>
      <x:c r="K100" s="63" t="str">
        <x:v>OpenAI 於 2024-01-25 為 OpenAI API 發布模型；此節點依官方發布記錄整理，完整能力、適用方案與限制請見來源。</x:v>
      </x:c>
      <x:c r="L100" s="52" t="str">
        <x:v>https://platform.openai.com/docs/changelog</x:v>
      </x:c>
      <x:c r="M100" s="52" t="str">
        <x:v>developer_changelog</x:v>
      </x:c>
      <x:c r="N100" s="52" t="str">
        <x:v>parsed</x:v>
      </x:c>
      <x:c r="O100" s="52" t="str">
        <x:v>high</x:v>
      </x:c>
      <x:c r="P100" s="60" t="n">
        <x:v>0</x:v>
      </x:c>
      <x:c r="Q100" s="52" t="str"/>
    </x:row>
    <x:row r="101" ht="38" customHeight="1">
      <x:c r="A101" s="57" t="n">
        <x:v>45316</x:v>
      </x:c>
      <x:c r="B101" s="52" t="str">
        <x:v>lane-openai-api-changelog</x:v>
      </x:c>
      <x:c r="C101" s="52" t="str">
        <x:v>OpenAI API Changelog</x:v>
      </x:c>
      <x:c r="D101" s="52" t="str">
        <x:v>models_reasoning</x:v>
      </x:c>
      <x:c r="E101" s="52" t="str">
        <x:v>Model Platform</x:v>
      </x:c>
      <x:c r="F101" s="52" t="str">
        <x:v>model_release</x:v>
      </x:c>
      <x:c r="G101" s="52" t="str">
        <x:v>research_preview</x:v>
      </x:c>
      <x:c r="H101" s="63" t="str">
        <x:v>Released embedding V3 models and an updated GPT-4 Turbo preview</x:v>
      </x:c>
      <x:c r="I101" s="63" t="str">
        <x:v>推出第三代 Embeddings 模型與更新版 GPT‑4 Turbo 預覽</x:v>
      </x:c>
      <x:c r="J101" s="63" t="str">
        <x:v>Released embedding V3 models and an updated GPT-4 Turbo preview Added dimensions parameter to the Embeddings API</x:v>
      </x:c>
      <x:c r="K101" s="63" t="str">
        <x:v>推出第三代 Embeddings 模型與更新版 GPT‑4 Turbo 預覽。OpenAI 將此列為 2024-01-25 的更新；重點涉及向量嵌入與檢索，模型、端點與參數名稱依官方英文保留。</x:v>
      </x:c>
      <x:c r="L101" s="52" t="str">
        <x:v>https://developers.openai.com/api/docs/changelog</x:v>
      </x:c>
      <x:c r="M101" s="52" t="str">
        <x:v>official_changelog</x:v>
      </x:c>
      <x:c r="N101" s="52" t="str">
        <x:v>complete</x:v>
      </x:c>
      <x:c r="O101" s="52" t="str">
        <x:v>high</x:v>
      </x:c>
      <x:c r="P101" s="60" t="n">
        <x:v>3</x:v>
      </x:c>
      <x:c r="Q101" s="52" t="str">
        <x:v>api | models | update</x:v>
      </x:c>
    </x:row>
    <x:row r="102" ht="38" customHeight="1">
      <x:c r="A102" s="57" t="n">
        <x:v>45323</x:v>
      </x:c>
      <x:c r="B102" s="52" t="str">
        <x:v>lane-openai-api-changelog</x:v>
      </x:c>
      <x:c r="C102" s="52" t="str">
        <x:v>OpenAI API Changelog</x:v>
      </x:c>
      <x:c r="D102" s="52" t="str">
        <x:v>models_reasoning</x:v>
      </x:c>
      <x:c r="E102" s="52" t="str">
        <x:v>Model Platform</x:v>
      </x:c>
      <x:c r="F102" s="52" t="str">
        <x:v>model_release</x:v>
      </x:c>
      <x:c r="G102" s="52" t="str">
        <x:v>active</x:v>
      </x:c>
      <x:c r="H102" s="63" t="str">
        <x:v>Released gpt-3.5-turbo-0125</x:v>
      </x:c>
      <x:c r="I102" s="63" t="str">
        <x:v>推出：gpt-3.5-turbo-0125, an updated GPT-3.5 Turbo 模型</x:v>
      </x:c>
      <x:c r="J102" s="63" t="str">
        <x:v>Released gpt-3.5-turbo-0125, an updated GPT-3.5 Turbo model</x:v>
      </x:c>
      <x:c r="K102" s="63" t="str">
        <x:v>推出：gpt-3.5-turbo-0125, an updated GPT-3.5 Turbo 模型。OpenAI 將此列為 2024-02-01 的更新；重點涉及平台功能與可用性，模型、端點與參數名稱依官方英文保留。</x:v>
      </x:c>
      <x:c r="L102" s="52" t="str">
        <x:v>https://developers.openai.com/api/docs/changelog</x:v>
      </x:c>
      <x:c r="M102" s="52" t="str">
        <x:v>official_changelog</x:v>
      </x:c>
      <x:c r="N102" s="52" t="str">
        <x:v>complete</x:v>
      </x:c>
      <x:c r="O102" s="52" t="str">
        <x:v>high</x:v>
      </x:c>
      <x:c r="P102" s="60" t="n">
        <x:v>4</x:v>
      </x:c>
      <x:c r="Q102" s="52" t="str">
        <x:v>api | models | update</x:v>
      </x:c>
    </x:row>
    <x:row r="103" ht="38" customHeight="1">
      <x:c r="A103" s="57" t="n">
        <x:v>45331</x:v>
      </x:c>
      <x:c r="B103" s="52" t="str">
        <x:v>lane-openai-api-changelog</x:v>
      </x:c>
      <x:c r="C103" s="52" t="str">
        <x:v>OpenAI API Changelog</x:v>
      </x:c>
      <x:c r="D103" s="52" t="str">
        <x:v>multimodal</x:v>
      </x:c>
      <x:c r="E103" s="52" t="str">
        <x:v>Realtime &amp; Audio API</x:v>
      </x:c>
      <x:c r="F103" s="52" t="str">
        <x:v>platform</x:v>
      </x:c>
      <x:c r="G103" s="52" t="str">
        <x:v>active</x:v>
      </x:c>
      <x:c r="H103" s="63" t="str">
        <x:v>Added timestampgranularities parameter to the Audio API</x:v>
      </x:c>
      <x:c r="I103" s="63" t="str">
        <x:v>新增：timestampgranularities parameter to Audio API</x:v>
      </x:c>
      <x:c r="J103" s="63" t="str">
        <x:v>Added timestampgranularities parameter to the Audio API</x:v>
      </x:c>
      <x:c r="K103" s="63" t="str">
        <x:v>新增：timestampgranularities parameter to Audio API。OpenAI 將此列為 2024-02-09 的更新；重點涉及即時語音與音訊，模型、端點與參數名稱依官方英文保留。</x:v>
      </x:c>
      <x:c r="L103" s="52" t="str">
        <x:v>https://developers.openai.com/api/docs/changelog</x:v>
      </x:c>
      <x:c r="M103" s="52" t="str">
        <x:v>official_changelog</x:v>
      </x:c>
      <x:c r="N103" s="52" t="str">
        <x:v>complete</x:v>
      </x:c>
      <x:c r="O103" s="52" t="str">
        <x:v>high</x:v>
      </x:c>
      <x:c r="P103" s="60" t="n">
        <x:v>2</x:v>
      </x:c>
      <x:c r="Q103" s="52" t="str">
        <x:v>audio | realtime | update</x:v>
      </x:c>
    </x:row>
    <x:row r="104" ht="38" customHeight="1">
      <x:c r="A104" s="57" t="n">
        <x:v>45335</x:v>
      </x:c>
      <x:c r="B104" s="52" t="str">
        <x:v>chatgpt-release-notes</x:v>
      </x:c>
      <x:c r="C104" s="52" t="str">
        <x:v>ChatGPT — Release Notes</x:v>
      </x:c>
      <x:c r="D104" s="52" t="str">
        <x:v>memory_knowledge</x:v>
      </x:c>
      <x:c r="E104" s="52" t="str">
        <x:v>ChatGPT Memory</x:v>
      </x:c>
      <x:c r="F104" s="52" t="str">
        <x:v>feature</x:v>
      </x:c>
      <x:c r="G104" s="52" t="str">
        <x:v>active</x:v>
      </x:c>
      <x:c r="H104" s="63" t="str">
        <x:v>Memory and new controls for ChatGPT</x:v>
      </x:c>
      <x:c r="I104" s="63" t="str">
        <x:v>功能更新：ChatGPT Memory</x:v>
      </x:c>
      <x:c r="J104" s="63" t="str">
        <x:v>We’re testing memory with ChatGPT. Remembering things you discuss across all chats saves you from having to repeat information and makes future conversations more helpful. You're in control of ChatGPT's memory. You can explicitly tell it to remember something, ask it what it remembers, and tell it to forget conversationally or through settings. You can also turn it off entirely.</x:v>
      </x:c>
      <x:c r="K104" s="63" t="str">
        <x:v>OpenAI 於 2024-02-13 為 ChatGPT Memory 新增功能；此節點依官方發布記錄整理，完整能力、適用方案與限制請見來源。</x:v>
      </x:c>
      <x:c r="L104" s="52" t="str">
        <x:v>https://help.openai.com/en/articles/6825453-chatgpt-release-notes</x:v>
      </x:c>
      <x:c r="M104" s="52" t="str">
        <x:v>help_center_release_notes</x:v>
      </x:c>
      <x:c r="N104" s="52" t="str">
        <x:v>parsed</x:v>
      </x:c>
      <x:c r="O104" s="52" t="str">
        <x:v>high</x:v>
      </x:c>
      <x:c r="P104" s="60" t="n">
        <x:v>0</x:v>
      </x:c>
      <x:c r="Q104" s="52" t="str"/>
    </x:row>
    <x:row r="105" ht="38" customHeight="1">
      <x:c r="A105" s="57" t="n">
        <x:v>45335</x:v>
      </x:c>
      <x:c r="B105" s="52" t="str">
        <x:v>lane-memory-and-new-controls-for-chatgpt</x:v>
      </x:c>
      <x:c r="C105" s="52" t="str">
        <x:v>Memory and new controls for ChatGPT</x:v>
      </x:c>
      <x:c r="D105" s="52" t="str">
        <x:v>memory_knowledge</x:v>
      </x:c>
      <x:c r="E105" s="52" t="str">
        <x:v>ChatGPT Memory</x:v>
      </x:c>
      <x:c r="F105" s="52" t="str">
        <x:v>feature</x:v>
      </x:c>
      <x:c r="G105" s="52" t="str">
        <x:v>beta</x:v>
      </x:c>
      <x:c r="H105" s="63" t="str">
        <x:v>Memory beta for ChatGPT</x:v>
      </x:c>
      <x:c r="I105" s="63" t="str">
        <x:v>ChatGPT 記憶 Beta</x:v>
      </x:c>
      <x:c r="J105" s="63" t="str">
        <x:v>OpenAI began testing cross-chat memory with a small portion of Free and Plus users, including conversational controls to remember, inspect, forget, or disable memories.</x:v>
      </x:c>
      <x:c r="K105" s="63" t="str">
        <x:v>OpenAI 開始對少量 Free 與 Plus 使用者測試跨聊天記憶，並提供以對話要求記住、檢視、忘記或停用記憶的控制。</x:v>
      </x:c>
      <x:c r="L105" s="52" t="str">
        <x:v>https://openai.com/index/memory-and-new-controls-for-chatgpt/</x:v>
      </x:c>
      <x:c r="M105" s="52" t="str">
        <x:v>product_post</x:v>
      </x:c>
      <x:c r="N105" s="52" t="str">
        <x:v>complete</x:v>
      </x:c>
      <x:c r="O105" s="52" t="str">
        <x:v>high</x:v>
      </x:c>
      <x:c r="P105" s="60" t="n">
        <x:v>5</x:v>
      </x:c>
      <x:c r="Q105" s="52" t="str">
        <x:v>chatgpt | memory | personalization | beta</x:v>
      </x:c>
    </x:row>
    <x:row r="106" ht="38" customHeight="1">
      <x:c r="A106" s="57" t="n">
        <x:v>45335</x:v>
      </x:c>
      <x:c r="B106" s="52" t="str">
        <x:v>lane-memory-and-new-controls-for-chatgpt</x:v>
      </x:c>
      <x:c r="C106" s="52" t="str">
        <x:v>Memory and new controls for ChatGPT</x:v>
      </x:c>
      <x:c r="D106" s="52" t="str">
        <x:v>safety_lifecycle</x:v>
      </x:c>
      <x:c r="E106" s="52" t="str">
        <x:v>Temporary Chat</x:v>
      </x:c>
      <x:c r="F106" s="52" t="str">
        <x:v>safety</x:v>
      </x:c>
      <x:c r="G106" s="52" t="str">
        <x:v>active</x:v>
      </x:c>
      <x:c r="H106" s="63" t="str">
        <x:v>Temporary Chat for conversations without memory</x:v>
      </x:c>
      <x:c r="I106" s="63" t="str">
        <x:v>不使用記憶的 Temporary Chat</x:v>
      </x:c>
      <x:c r="J106" s="63" t="str">
        <x:v>OpenAI introduced Temporary Chat for conversations that do not appear in history, do not use memory, and are not used to train models.</x:v>
      </x:c>
      <x:c r="K106" s="63" t="str">
        <x:v>OpenAI 推出 Temporary Chat；這類對話不出現在紀錄、不使用記憶，也不會用於模型訓練。</x:v>
      </x:c>
      <x:c r="L106" s="52" t="str">
        <x:v>https://openai.com/index/memory-and-new-controls-for-chatgpt/</x:v>
      </x:c>
      <x:c r="M106" s="52" t="str">
        <x:v>product_post</x:v>
      </x:c>
      <x:c r="N106" s="52" t="str">
        <x:v>complete</x:v>
      </x:c>
      <x:c r="O106" s="52" t="str">
        <x:v>high</x:v>
      </x:c>
      <x:c r="P106" s="60" t="n">
        <x:v>4</x:v>
      </x:c>
      <x:c r="Q106" s="52" t="str">
        <x:v>chatgpt | temporary-chat | privacy | memory</x:v>
      </x:c>
    </x:row>
    <x:row r="107" ht="38" customHeight="1">
      <x:c r="A107" s="57" t="n">
        <x:v>45337</x:v>
      </x:c>
      <x:c r="B107" s="52" t="str">
        <x:v>lane-video-generation-models-as-world-simulators</x:v>
      </x:c>
      <x:c r="C107" s="52" t="str">
        <x:v>Video generation models as world simulators</x:v>
      </x:c>
      <x:c r="D107" s="52" t="str">
        <x:v>multimodal</x:v>
      </x:c>
      <x:c r="E107" s="52" t="str">
        <x:v>Sora</x:v>
      </x:c>
      <x:c r="F107" s="52" t="str">
        <x:v>model_release</x:v>
      </x:c>
      <x:c r="G107" s="52" t="str">
        <x:v>research_preview</x:v>
      </x:c>
      <x:c r="H107" s="63" t="str">
        <x:v>Sora research preview</x:v>
      </x:c>
      <x:c r="I107" s="63" t="str">
        <x:v>Sora 研究預覽</x:v>
      </x:c>
      <x:c r="J107" s="63" t="str">
        <x:v>OpenAI unveiled Sora, a text-conditioned video-generation model capable of producing up to one minute of high-fidelity video, as research progress rather than a public product.</x:v>
      </x:c>
      <x:c r="K107" s="63" t="str">
        <x:v>OpenAI 公布文字條件式影片生成模型 Sora，可生成最長一分鐘的高擬真影片；當時屬研究進展而非公開產品。</x:v>
      </x:c>
      <x:c r="L107" s="52" t="str">
        <x:v>https://openai.com/index/video-generation-models-as-world-simulators/</x:v>
      </x:c>
      <x:c r="M107" s="52" t="str">
        <x:v>research_report</x:v>
      </x:c>
      <x:c r="N107" s="52" t="str">
        <x:v>complete</x:v>
      </x:c>
      <x:c r="O107" s="52" t="str">
        <x:v>high</x:v>
      </x:c>
      <x:c r="P107" s="60" t="n">
        <x:v>5</x:v>
      </x:c>
      <x:c r="Q107" s="52" t="str">
        <x:v>sora | video-generation | world-simulator | research-preview</x:v>
      </x:c>
    </x:row>
    <x:row r="108" ht="38" customHeight="1">
      <x:c r="A108" s="57" t="n">
        <x:v>45365</x:v>
      </x:c>
      <x:c r="B108" s="52" t="str">
        <x:v>api-changelog</x:v>
      </x:c>
      <x:c r="C108" s="52" t="str">
        <x:v>OpenAI API Changelog</x:v>
      </x:c>
      <x:c r="D108" s="52" t="str">
        <x:v>developer_platform</x:v>
      </x:c>
      <x:c r="E108" s="52" t="str">
        <x:v>OpenAI API</x:v>
      </x:c>
      <x:c r="F108" s="52" t="str">
        <x:v>platform</x:v>
      </x:c>
      <x:c r="G108" s="52" t="str">
        <x:v>active</x:v>
      </x:c>
      <x:c r="H108" s="63" t="str">
        <x:v>Added support for streaming in the Assistants API</x:v>
      </x:c>
      <x:c r="I108" s="63" t="str">
        <x:v>平台更新：OpenAI API</x:v>
      </x:c>
      <x:c r="J108" s="63" t="str">
        <x:v>Added support for streaming in the Assistants API</x:v>
      </x:c>
      <x:c r="K108" s="63" t="str">
        <x:v>OpenAI 於 2024-03-14 為 OpenAI API 更新開發者平台；此節點依官方發布記錄整理，完整能力、適用方案與限制請見來源。</x:v>
      </x:c>
      <x:c r="L108" s="52" t="str">
        <x:v>https://platform.openai.com/docs/changelog</x:v>
      </x:c>
      <x:c r="M108" s="52" t="str">
        <x:v>developer_changelog</x:v>
      </x:c>
      <x:c r="N108" s="52" t="str">
        <x:v>parsed</x:v>
      </x:c>
      <x:c r="O108" s="52" t="str">
        <x:v>high</x:v>
      </x:c>
      <x:c r="P108" s="60" t="n">
        <x:v>0</x:v>
      </x:c>
      <x:c r="Q108" s="52" t="str"/>
    </x:row>
    <x:row r="109" ht="38" customHeight="1">
      <x:c r="A109" s="57" t="n">
        <x:v>45365</x:v>
      </x:c>
      <x:c r="B109" s="52" t="str">
        <x:v>lane-openai-api-changelog</x:v>
      </x:c>
      <x:c r="C109" s="52" t="str">
        <x:v>OpenAI API Changelog</x:v>
      </x:c>
      <x:c r="D109" s="52" t="str">
        <x:v>developer_platform</x:v>
      </x:c>
      <x:c r="E109" s="52" t="str">
        <x:v>OpenAI API Platform</x:v>
      </x:c>
      <x:c r="F109" s="52" t="str">
        <x:v>platform</x:v>
      </x:c>
      <x:c r="G109" s="52" t="str">
        <x:v>active</x:v>
      </x:c>
      <x:c r="H109" s="63" t="str">
        <x:v>Added support for streaming in the Assistants API</x:v>
      </x:c>
      <x:c r="I109" s="63" t="str">
        <x:v>新增：支援 streaming in Assistants API</x:v>
      </x:c>
      <x:c r="J109" s="63" t="str">
        <x:v>Added support for streaming in the Assistants API</x:v>
      </x:c>
      <x:c r="K109" s="63" t="str">
        <x:v>新增：支援 streaming in Assistants API。OpenAI 將此列為 2024-03-14 的更新；重點涉及平台功能與可用性，模型、端點與參數名稱依官方英文保留。</x:v>
      </x:c>
      <x:c r="L109" s="52" t="str">
        <x:v>https://developers.openai.com/api/docs/changelog</x:v>
      </x:c>
      <x:c r="M109" s="52" t="str">
        <x:v>official_changelog</x:v>
      </x:c>
      <x:c r="N109" s="52" t="str">
        <x:v>complete</x:v>
      </x:c>
      <x:c r="O109" s="52" t="str">
        <x:v>high</x:v>
      </x:c>
      <x:c r="P109" s="60" t="n">
        <x:v>5</x:v>
      </x:c>
      <x:c r="Q109" s="52" t="str">
        <x:v>api-platform | update</x:v>
      </x:c>
    </x:row>
    <x:row r="110" ht="38" customHeight="1">
      <x:c r="A110" s="57" t="n">
        <x:v>45380</x:v>
      </x:c>
      <x:c r="B110" s="52" t="str">
        <x:v>lane-openai-api-changelog</x:v>
      </x:c>
      <x:c r="C110" s="52" t="str">
        <x:v>OpenAI API Changelog</x:v>
      </x:c>
      <x:c r="D110" s="52" t="str">
        <x:v>developer_platform</x:v>
      </x:c>
      <x:c r="E110" s="52" t="str">
        <x:v>OpenAI API Platform</x:v>
      </x:c>
      <x:c r="F110" s="52" t="str">
        <x:v>platform</x:v>
      </x:c>
      <x:c r="G110" s="52" t="str">
        <x:v>active</x:v>
      </x:c>
      <x:c r="H110" s="63" t="str">
        <x:v>Added support for temperature and assistant message creation in the Assistants API</x:v>
      </x:c>
      <x:c r="I110" s="63" t="str">
        <x:v>平台更新：OpenAI API Platform</x:v>
      </x:c>
      <x:c r="J110" s="63" t="str">
        <x:v>Added support for temperature and assistant message creation in the Assistants API</x:v>
      </x:c>
      <x:c r="K110" s="63" t="str">
        <x:v>新增：支援 temperature and assistant message creation in Assistants API。OpenAI 將此列為 2024-03-29 的更新；重點涉及平台功能與可用性，模型、端點與參數名稱依官方英文保留。</x:v>
      </x:c>
      <x:c r="L110" s="52" t="str">
        <x:v>https://developers.openai.com/api/docs/changelog</x:v>
      </x:c>
      <x:c r="M110" s="52" t="str">
        <x:v>official_changelog</x:v>
      </x:c>
      <x:c r="N110" s="52" t="str">
        <x:v>complete</x:v>
      </x:c>
      <x:c r="O110" s="52" t="str">
        <x:v>high</x:v>
      </x:c>
      <x:c r="P110" s="60" t="n">
        <x:v>5</x:v>
      </x:c>
      <x:c r="Q110" s="52" t="str">
        <x:v>api-platform | update</x:v>
      </x:c>
    </x:row>
    <x:row r="111" ht="38" customHeight="1">
      <x:c r="A111" s="57" t="n">
        <x:v>45383</x:v>
      </x:c>
      <x:c r="B111" s="52" t="str">
        <x:v>lane-openai-api-changelog</x:v>
      </x:c>
      <x:c r="C111" s="52" t="str">
        <x:v>OpenAI API Changelog</x:v>
      </x:c>
      <x:c r="D111" s="52" t="str">
        <x:v>developer_platform</x:v>
      </x:c>
      <x:c r="E111" s="52" t="str">
        <x:v>OpenAI API Platform</x:v>
      </x:c>
      <x:c r="F111" s="52" t="str">
        <x:v>platform</x:v>
      </x:c>
      <x:c r="G111" s="52" t="str">
        <x:v>active</x:v>
      </x:c>
      <x:c r="H111" s="63" t="str">
        <x:v>Added support for filtering Messages by runid in the Assistants API</x:v>
      </x:c>
      <x:c r="I111" s="63" t="str">
        <x:v>平台更新：OpenAI API Platform</x:v>
      </x:c>
      <x:c r="J111" s="63" t="str">
        <x:v>Added support for filtering Messages by runid in the Assistants API</x:v>
      </x:c>
      <x:c r="K111" s="63" t="str">
        <x:v>新增：支援 filtering Messages by runid in Assistants API。OpenAI 將此列為 2024-04-01 的更新；重點涉及平台功能與可用性，模型、端點與參數名稱依官方英文保留。</x:v>
      </x:c>
      <x:c r="L111" s="52" t="str">
        <x:v>https://developers.openai.com/api/docs/changelog</x:v>
      </x:c>
      <x:c r="M111" s="52" t="str">
        <x:v>official_changelog</x:v>
      </x:c>
      <x:c r="N111" s="52" t="str">
        <x:v>complete</x:v>
      </x:c>
      <x:c r="O111" s="52" t="str">
        <x:v>high</x:v>
      </x:c>
      <x:c r="P111" s="60" t="n">
        <x:v>5</x:v>
      </x:c>
      <x:c r="Q111" s="52" t="str">
        <x:v>api-platform | update</x:v>
      </x:c>
    </x:row>
    <x:row r="112" ht="38" customHeight="1">
      <x:c r="A112" s="57" t="n">
        <x:v>45383</x:v>
      </x:c>
      <x:c r="B112" s="52" t="str">
        <x:v>chatgpt-release-notes</x:v>
      </x:c>
      <x:c r="C112" s="52" t="str">
        <x:v>ChatGPT — Release Notes</x:v>
      </x:c>
      <x:c r="D112" s="52" t="str">
        <x:v>chatgpt_core</x:v>
      </x:c>
      <x:c r="E112" s="52" t="str">
        <x:v>ChatGPT</x:v>
      </x:c>
      <x:c r="F112" s="52" t="str">
        <x:v>feature</x:v>
      </x:c>
      <x:c r="G112" s="52" t="str">
        <x:v>active</x:v>
      </x:c>
      <x:c r="H112" s="63" t="str">
        <x:v>Start using ChatGPT instantly</x:v>
      </x:c>
      <x:c r="I112" s="63" t="str">
        <x:v>功能更新：Start using ChatGPT instantly</x:v>
      </x:c>
      <x:c r="J112" s="63" t="str">
        <x:v>We’re making it easier for people to experience the benefits of AI without needing to sign up. Starting today, you can use ChatGPT instantly, without needing to sign-up. We're rolling this out gradually, with the aim to make AI accessible to anyone curious about its capabilities.</x:v>
      </x:c>
      <x:c r="K112" s="63" t="str">
        <x:v>OpenAI 於 2024-04-01 為 ChatGPT 新增功能；此節點依官方發布記錄整理，完整能力、適用方案與限制請見來源。</x:v>
      </x:c>
      <x:c r="L112" s="52" t="str">
        <x:v>https://help.openai.com/en/articles/6825453-chatgpt-release-notes</x:v>
      </x:c>
      <x:c r="M112" s="52" t="str">
        <x:v>help_center_release_notes</x:v>
      </x:c>
      <x:c r="N112" s="52" t="str">
        <x:v>parsed</x:v>
      </x:c>
      <x:c r="O112" s="52" t="str">
        <x:v>high</x:v>
      </x:c>
      <x:c r="P112" s="60" t="n">
        <x:v>0</x:v>
      </x:c>
      <x:c r="Q112" s="52" t="str"/>
    </x:row>
    <x:row r="113" ht="38" customHeight="1">
      <x:c r="A113" s="57" t="n">
        <x:v>45383</x:v>
      </x:c>
      <x:c r="B113" s="52" t="str">
        <x:v>chatgpt-release-notes</x:v>
      </x:c>
      <x:c r="C113" s="52" t="str">
        <x:v>ChatGPT — Release Notes</x:v>
      </x:c>
      <x:c r="D113" s="52" t="str">
        <x:v>chatgpt_core</x:v>
      </x:c>
      <x:c r="E113" s="52" t="str">
        <x:v>ChatGPT Free</x:v>
      </x:c>
      <x:c r="F113" s="52" t="str">
        <x:v>availability</x:v>
      </x:c>
      <x:c r="G113" s="52" t="str">
        <x:v>active</x:v>
      </x:c>
      <x:c r="H113" s="63" t="str">
        <x:v>Start using ChatGPT without signing up</x:v>
      </x:c>
      <x:c r="I113" s="63" t="str">
        <x:v>無須註冊即可使用 ChatGPT</x:v>
      </x:c>
      <x:c r="J113" s="63" t="str">
        <x:v>OpenAI began gradually allowing people to use ChatGPT instantly without creating an account.</x:v>
      </x:c>
      <x:c r="K113" s="63" t="str">
        <x:v>OpenAI 開始逐步允許使用者無須建立帳戶即可立即使用 ChatGPT。</x:v>
      </x:c>
      <x:c r="L113" s="52" t="str">
        <x:v>https://help.openai.com/en/articles/6825453-chatgpt-release-notes</x:v>
      </x:c>
      <x:c r="M113" s="52" t="str">
        <x:v>help_center_release_notes</x:v>
      </x:c>
      <x:c r="N113" s="52" t="str">
        <x:v>parsed</x:v>
      </x:c>
      <x:c r="O113" s="52" t="str">
        <x:v>high</x:v>
      </x:c>
      <x:c r="P113" s="60" t="n">
        <x:v>4</x:v>
      </x:c>
      <x:c r="Q113" s="52" t="str">
        <x:v>chatgpt | logged-out | access | free</x:v>
      </x:c>
    </x:row>
    <x:row r="114" ht="38" customHeight="1">
      <x:c r="A114" s="57" t="n">
        <x:v>45386</x:v>
      </x:c>
      <x:c r="B114" s="52" t="str">
        <x:v>lane-openai-api-changelog</x:v>
      </x:c>
      <x:c r="C114" s="52" t="str">
        <x:v>OpenAI API Changelog</x:v>
      </x:c>
      <x:c r="D114" s="52" t="str">
        <x:v>developer_platform</x:v>
      </x:c>
      <x:c r="E114" s="52" t="str">
        <x:v>Fine-tuning API</x:v>
      </x:c>
      <x:c r="F114" s="52" t="str">
        <x:v>platform</x:v>
      </x:c>
      <x:c r="G114" s="52" t="str">
        <x:v>active</x:v>
      </x:c>
      <x:c r="H114" s="63" t="str">
        <x:v>Added support for seed in the fine-tuning API</x:v>
      </x:c>
      <x:c r="I114" s="63" t="str">
        <x:v>平台更新：Fine-tuning API</x:v>
      </x:c>
      <x:c r="J114" s="63" t="str">
        <x:v>Added support for seed in the fine-tuning API Added support for checkpoints in the fine-tuning API Added support for adding Messages when creating a Run in the Assistants API</x:v>
      </x:c>
      <x:c r="K114" s="63" t="str">
        <x:v>新增：支援 seed in fine-tuning API Added 支援 checkpoints in fine-tuning API Added 支援 adding Messages when creating a Run in Assistants API。OpenAI 將此列為 2024-04-04 的更新；重點涉及模型微調，模型、端點與參數名稱依官方英文保留。</x:v>
      </x:c>
      <x:c r="L114" s="52" t="str">
        <x:v>https://developers.openai.com/api/docs/changelog</x:v>
      </x:c>
      <x:c r="M114" s="52" t="str">
        <x:v>official_changelog</x:v>
      </x:c>
      <x:c r="N114" s="52" t="str">
        <x:v>complete</x:v>
      </x:c>
      <x:c r="O114" s="52" t="str">
        <x:v>high</x:v>
      </x:c>
      <x:c r="P114" s="60" t="n">
        <x:v>5</x:v>
      </x:c>
      <x:c r="Q114" s="52" t="str">
        <x:v>custom-models | fine-tuning | update</x:v>
      </x:c>
    </x:row>
    <x:row r="115" ht="38" customHeight="1">
      <x:c r="A115" s="57" t="n">
        <x:v>45391</x:v>
      </x:c>
      <x:c r="B115" s="52" t="str">
        <x:v>lane-openai-api-changelog</x:v>
      </x:c>
      <x:c r="C115" s="52" t="str">
        <x:v>OpenAI API Changelog</x:v>
      </x:c>
      <x:c r="D115" s="52" t="str">
        <x:v>models_reasoning</x:v>
      </x:c>
      <x:c r="E115" s="52" t="str">
        <x:v>Model Platform</x:v>
      </x:c>
      <x:c r="F115" s="52" t="str">
        <x:v>availability</x:v>
      </x:c>
      <x:c r="G115" s="52" t="str">
        <x:v>general_availability</x:v>
      </x:c>
      <x:c r="H115" s="63" t="str">
        <x:v>Released GPT-4 Turbo with Vision in general availability in the API</x:v>
      </x:c>
      <x:c r="I115" s="63" t="str">
        <x:v>GPT‑4 Turbo with Vision 在 API 正式 GA</x:v>
      </x:c>
      <x:c r="J115" s="63" t="str">
        <x:v>Released GPT-4 Turbo with Vision in general availability in the API</x:v>
      </x:c>
      <x:c r="K115" s="63" t="str">
        <x:v>GPT‑4 Turbo with Vision 在 API 正式 GA。OpenAI 將此列為 2024-04-09 的更新；重點涉及平台功能與可用性，模型、端點與參數名稱依官方英文保留。</x:v>
      </x:c>
      <x:c r="L115" s="52" t="str">
        <x:v>https://developers.openai.com/api/docs/changelog</x:v>
      </x:c>
      <x:c r="M115" s="52" t="str">
        <x:v>official_changelog</x:v>
      </x:c>
      <x:c r="N115" s="52" t="str">
        <x:v>complete</x:v>
      </x:c>
      <x:c r="O115" s="52" t="str">
        <x:v>high</x:v>
      </x:c>
      <x:c r="P115" s="60" t="n">
        <x:v>4</x:v>
      </x:c>
      <x:c r="Q115" s="52" t="str">
        <x:v>api | models | update</x:v>
      </x:c>
    </x:row>
    <x:row r="116" ht="38" customHeight="1">
      <x:c r="A116" s="57" t="n">
        <x:v>45397</x:v>
      </x:c>
      <x:c r="B116" s="52" t="str">
        <x:v>lane-openai-api-changelog</x:v>
      </x:c>
      <x:c r="C116" s="52" t="str">
        <x:v>OpenAI API Changelog</x:v>
      </x:c>
      <x:c r="D116" s="52" t="str">
        <x:v>developer_platform</x:v>
      </x:c>
      <x:c r="E116" s="52" t="str">
        <x:v>Batch API</x:v>
      </x:c>
      <x:c r="F116" s="52" t="str">
        <x:v>launch</x:v>
      </x:c>
      <x:c r="G116" s="52" t="str">
        <x:v>active</x:v>
      </x:c>
      <x:c r="H116" s="63" t="str">
        <x:v>Released Batch API</x:v>
      </x:c>
      <x:c r="I116" s="63" t="str">
        <x:v>推出 Batch API</x:v>
      </x:c>
      <x:c r="J116" s="63" t="str">
        <x:v>Released Batch API</x:v>
      </x:c>
      <x:c r="K116" s="63" t="str">
        <x:v>推出 Batch API。OpenAI 將此列為 2024-04-15 的更新；重點涉及平台功能與可用性，模型、端點與參數名稱依官方英文保留。</x:v>
      </x:c>
      <x:c r="L116" s="52" t="str">
        <x:v>https://developers.openai.com/api/docs/changelog</x:v>
      </x:c>
      <x:c r="M116" s="52" t="str">
        <x:v>official_changelog</x:v>
      </x:c>
      <x:c r="N116" s="52" t="str">
        <x:v>complete</x:v>
      </x:c>
      <x:c r="O116" s="52" t="str">
        <x:v>high</x:v>
      </x:c>
      <x:c r="P116" s="60" t="n">
        <x:v>4</x:v>
      </x:c>
      <x:c r="Q116" s="52" t="str">
        <x:v>batch | cost-optimization | update</x:v>
      </x:c>
    </x:row>
    <x:row r="117" ht="38" customHeight="1">
      <x:c r="A117" s="57" t="n">
        <x:v>45398</x:v>
      </x:c>
      <x:c r="B117" s="52" t="str">
        <x:v>api-changelog</x:v>
      </x:c>
      <x:c r="C117" s="52" t="str">
        <x:v>OpenAI API Changelog</x:v>
      </x:c>
      <x:c r="D117" s="52" t="str">
        <x:v>enterprise_vertical</x:v>
      </x:c>
      <x:c r="E117" s="52" t="str">
        <x:v>ChatGPT Projects</x:v>
      </x:c>
      <x:c r="F117" s="52" t="str">
        <x:v>pricing_quota</x:v>
      </x:c>
      <x:c r="G117" s="52" t="str">
        <x:v>active</x:v>
      </x:c>
      <x:c r="H117" s="63" t="str">
        <x:v>Introduced project based hierarchy for organizing work by projects</x:v>
      </x:c>
      <x:c r="I117" s="63" t="str">
        <x:v>方案更新：ChatGPT Projects</x:v>
      </x:c>
      <x:c r="J117" s="63" t="str">
        <x:v>Introduced project based hierarchy for organizing work by projects, including the ability to create API keys and manage rate and cost limits on a per-project basis (cost limits available only for Enterprise customers).</x:v>
      </x:c>
      <x:c r="K117" s="63" t="str">
        <x:v>OpenAI 於 2024-04-16 為 ChatGPT Projects 調整方案、額度或計費；此節點依官方發布記錄整理，完整能力、適用方案與限制請見來源。</x:v>
      </x:c>
      <x:c r="L117" s="52" t="str">
        <x:v>https://platform.openai.com/docs/changelog</x:v>
      </x:c>
      <x:c r="M117" s="52" t="str">
        <x:v>developer_changelog</x:v>
      </x:c>
      <x:c r="N117" s="52" t="str">
        <x:v>parsed</x:v>
      </x:c>
      <x:c r="O117" s="52" t="str">
        <x:v>high</x:v>
      </x:c>
      <x:c r="P117" s="60" t="n">
        <x:v>0</x:v>
      </x:c>
      <x:c r="Q117" s="52" t="str"/>
    </x:row>
    <x:row r="118" ht="38" customHeight="1">
      <x:c r="A118" s="57" t="n">
        <x:v>45398</x:v>
      </x:c>
      <x:c r="B118" s="52" t="str">
        <x:v>lane-openai-api-changelog</x:v>
      </x:c>
      <x:c r="C118" s="52" t="str">
        <x:v>OpenAI API Changelog</x:v>
      </x:c>
      <x:c r="D118" s="52" t="str">
        <x:v>developer_platform</x:v>
      </x:c>
      <x:c r="E118" s="52" t="str">
        <x:v>OpenAI API Platform</x:v>
      </x:c>
      <x:c r="F118" s="52" t="str">
        <x:v>launch</x:v>
      </x:c>
      <x:c r="G118" s="52" t="str">
        <x:v>active</x:v>
      </x:c>
      <x:c r="H118" s="63" t="str">
        <x:v>Introduced project based hierarchy for organizing work by projects</x:v>
      </x:c>
      <x:c r="I118" s="63" t="str">
        <x:v>推出：OpenAI API Platform</x:v>
      </x:c>
      <x:c r="J118" s="63" t="str">
        <x:v>Introduced project based hierarchy for organizing work by projects, including the ability to create API keys and manage rate and cost limits on a per-project basis (cost limits available only for Enterprise customers).</x:v>
      </x:c>
      <x:c r="K118" s="63" t="str">
        <x:v>API 更新：Introduced project based hierarchy for organizing work by projects, including ability to create API keys and manage rate and cost limits on a per-project basis (cost…。OpenAI 將此列為 2024-04-16 的更新；重點涉及定價與用量，模型、端點與參數名稱依官方英文保留。</x:v>
      </x:c>
      <x:c r="L118" s="52" t="str">
        <x:v>https://developers.openai.com/api/docs/changelog</x:v>
      </x:c>
      <x:c r="M118" s="52" t="str">
        <x:v>official_changelog</x:v>
      </x:c>
      <x:c r="N118" s="52" t="str">
        <x:v>complete</x:v>
      </x:c>
      <x:c r="O118" s="52" t="str">
        <x:v>high</x:v>
      </x:c>
      <x:c r="P118" s="60" t="n">
        <x:v>3</x:v>
      </x:c>
      <x:c r="Q118" s="52" t="str">
        <x:v>api-platform | update</x:v>
      </x:c>
    </x:row>
    <x:row r="119" ht="38" customHeight="1">
      <x:c r="A119" s="57" t="n">
        <x:v>45399</x:v>
      </x:c>
      <x:c r="B119" s="52" t="str">
        <x:v>lane-openai-api-changelog</x:v>
      </x:c>
      <x:c r="C119" s="52" t="str">
        <x:v>OpenAI API Changelog</x:v>
      </x:c>
      <x:c r="D119" s="52" t="str">
        <x:v>developer_platform</x:v>
      </x:c>
      <x:c r="E119" s="52" t="str">
        <x:v>OpenAI API Platform</x:v>
      </x:c>
      <x:c r="F119" s="52" t="str">
        <x:v>launch</x:v>
      </x:c>
      <x:c r="G119" s="52" t="str">
        <x:v>active</x:v>
      </x:c>
      <x:c r="H119" s="63" t="str">
        <x:v>Introduced a series of updates to the Assistants API</x:v>
      </x:c>
      <x:c r="I119" s="63" t="str">
        <x:v>推出：OpenAI API Platform</x:v>
      </x:c>
      <x:c r="J119" s="63" t="str">
        <x:v>Introduced a series of updates to the Assistants API , including a new file search tool allowing up to 10,000 files per assistant, new token controls, and support for tool choice.</x:v>
      </x:c>
      <x:c r="K119" s="63" t="str">
        <x:v>API 更新：Introduced a series of updates to Assistants API , including a 全新 file search tool allowing up to 10,000 files per assistant, 全新 token controls, and 支援 tool choice。OpenAI 將此列為 2024-04-17 的更新；重點涉及代理與工具調用，模型、端點與參數名稱依官方英文保留。</x:v>
      </x:c>
      <x:c r="L119" s="52" t="str">
        <x:v>https://developers.openai.com/api/docs/changelog</x:v>
      </x:c>
      <x:c r="M119" s="52" t="str">
        <x:v>official_changelog</x:v>
      </x:c>
      <x:c r="N119" s="52" t="str">
        <x:v>complete</x:v>
      </x:c>
      <x:c r="O119" s="52" t="str">
        <x:v>high</x:v>
      </x:c>
      <x:c r="P119" s="60" t="n">
        <x:v>5</x:v>
      </x:c>
      <x:c r="Q119" s="52" t="str">
        <x:v>api-platform | update</x:v>
      </x:c>
    </x:row>
    <x:row r="120" ht="38" customHeight="1">
      <x:c r="A120" s="57" t="n">
        <x:v>45411</x:v>
      </x:c>
      <x:c r="B120" s="52" t="str">
        <x:v>lane-openai-api-changelog</x:v>
      </x:c>
      <x:c r="C120" s="52" t="str">
        <x:v>OpenAI API Changelog</x:v>
      </x:c>
      <x:c r="D120" s="52" t="str">
        <x:v>developer_platform</x:v>
      </x:c>
      <x:c r="E120" s="52" t="str">
        <x:v>Embeddings API</x:v>
      </x:c>
      <x:c r="F120" s="52" t="str">
        <x:v>platform</x:v>
      </x:c>
      <x:c r="G120" s="52" t="str">
        <x:v>active</x:v>
      </x:c>
      <x:c r="H120" s="63" t="str">
        <x:v>Added a new function calling option toolchoice</x:v>
      </x:c>
      <x:c r="I120" s="63" t="str">
        <x:v>平台更新：Embeddings API</x:v>
      </x:c>
      <x:c r="J120" s="63" t="str">
        <x:v>Added a new function calling option toolchoice: "required" to the Chat Completions and Assistants APIs. Added a guide for the Batch API and Batch API support for embeddings models</x:v>
      </x:c>
      <x:c r="K120" s="63" t="str">
        <x:v>新增：a 全新 function calling option toolchoice: "required" to Chat Completions and Assistants APIs。OpenAI 將此列為 2024-04-29 的更新；重點涉及代理與工具調用、向量嵌入與檢索，模型、端點與參數名稱依官方英文保留。</x:v>
      </x:c>
      <x:c r="L120" s="52" t="str">
        <x:v>https://developers.openai.com/api/docs/changelog</x:v>
      </x:c>
      <x:c r="M120" s="52" t="str">
        <x:v>official_changelog</x:v>
      </x:c>
      <x:c r="N120" s="52" t="str">
        <x:v>complete</x:v>
      </x:c>
      <x:c r="O120" s="52" t="str">
        <x:v>high</x:v>
      </x:c>
      <x:c r="P120" s="60" t="n">
        <x:v>5</x:v>
      </x:c>
      <x:c r="Q120" s="52" t="str">
        <x:v>embeddings | retrieval | update</x:v>
      </x:c>
    </x:row>
    <x:row r="121" ht="38" customHeight="1">
      <x:c r="A121" s="57" t="n">
        <x:v>45411</x:v>
      </x:c>
      <x:c r="B121" s="52" t="str">
        <x:v>chatgpt-release-notes</x:v>
      </x:c>
      <x:c r="C121" s="52" t="str">
        <x:v>ChatGPT — Release Notes</x:v>
      </x:c>
      <x:c r="D121" s="52" t="str">
        <x:v>memory_knowledge</x:v>
      </x:c>
      <x:c r="E121" s="52" t="str">
        <x:v>ChatGPT Memory</x:v>
      </x:c>
      <x:c r="F121" s="52" t="str">
        <x:v>availability</x:v>
      </x:c>
      <x:c r="G121" s="52" t="str">
        <x:v>general_availability</x:v>
      </x:c>
      <x:c r="H121" s="63" t="str">
        <x:v>Memory available to ChatGPT Plus users</x:v>
      </x:c>
      <x:c r="I121" s="63" t="str">
        <x:v>記憶功能開放 ChatGPT Plus</x:v>
      </x:c>
      <x:c r="J121" s="63" t="str">
        <x:v>ChatGPT Memory became available to Plus users outside Europe and Korea, with settings to review or disable it.</x:v>
      </x:c>
      <x:c r="K121" s="63" t="str">
        <x:v>ChatGPT 記憶功能向歐洲與韓國以外的 Plus 使用者開放，並可在設定中檢視或停用。</x:v>
      </x:c>
      <x:c r="L121" s="52" t="str">
        <x:v>https://help.openai.com/en/articles/6825453-chatgpt-release-notes</x:v>
      </x:c>
      <x:c r="M121" s="52" t="str">
        <x:v>help_center_release_notes</x:v>
      </x:c>
      <x:c r="N121" s="52" t="str">
        <x:v>parsed</x:v>
      </x:c>
      <x:c r="O121" s="52" t="str">
        <x:v>high</x:v>
      </x:c>
      <x:c r="P121" s="60" t="n">
        <x:v>4</x:v>
      </x:c>
      <x:c r="Q121" s="52" t="str">
        <x:v>chatgpt | memory | plus | personalization</x:v>
      </x:c>
    </x:row>
    <x:row r="122" ht="38" customHeight="1">
      <x:c r="A122" s="57" t="n">
        <x:v>45411</x:v>
      </x:c>
      <x:c r="B122" s="52" t="str">
        <x:v>chatgpt-release-notes</x:v>
      </x:c>
      <x:c r="C122" s="52" t="str">
        <x:v>ChatGPT — Release Notes</x:v>
      </x:c>
      <x:c r="D122" s="52" t="str">
        <x:v>chatgpt_core</x:v>
      </x:c>
      <x:c r="E122" s="52" t="str">
        <x:v>ChatGPT Plus</x:v>
      </x:c>
      <x:c r="F122" s="52" t="str">
        <x:v>availability</x:v>
      </x:c>
      <x:c r="G122" s="52" t="str">
        <x:v>active</x:v>
      </x:c>
      <x:c r="H122" s="63" t="str">
        <x:v>Memory is now available to Plus users</x:v>
      </x:c>
      <x:c r="I122" s="63" t="str">
        <x:v>開放使用：Memory is now available to Plus users</x:v>
      </x:c>
      <x:c r="J122" s="63" t="str">
        <x:v>Memory is now available to all ChatGPT Plus users, except in Europe Korea where we will be rolling it out soon. Using Memory is easy: just start a new chat and tell ChatGPT anything you’d like it to remember. Memory can be turned on or off in settings. Team, Enterprise, and GPTs to come.</x:v>
      </x:c>
      <x:c r="K122" s="63" t="str">
        <x:v>OpenAI 於 2024-04-29 為 ChatGPT Plus 擴大開放範圍；此節點依官方發布記錄整理，完整能力、適用方案與限制請見來源。</x:v>
      </x:c>
      <x:c r="L122" s="52" t="str">
        <x:v>https://help.openai.com/en/articles/6825453-chatgpt-release-notes</x:v>
      </x:c>
      <x:c r="M122" s="52" t="str">
        <x:v>help_center_release_notes</x:v>
      </x:c>
      <x:c r="N122" s="52" t="str">
        <x:v>parsed</x:v>
      </x:c>
      <x:c r="O122" s="52" t="str">
        <x:v>high</x:v>
      </x:c>
      <x:c r="P122" s="60" t="n">
        <x:v>0</x:v>
      </x:c>
      <x:c r="Q122" s="52" t="str"/>
    </x:row>
    <x:row r="123" ht="38" customHeight="1">
      <x:c r="A123" s="57" t="n">
        <x:v>45414</x:v>
      </x:c>
      <x:c r="B123" s="52" t="str">
        <x:v>api-changelog</x:v>
      </x:c>
      <x:c r="C123" s="52" t="str">
        <x:v>OpenAI API Changelog</x:v>
      </x:c>
      <x:c r="D123" s="52" t="str">
        <x:v>developer_platform</x:v>
      </x:c>
      <x:c r="E123" s="52" t="str">
        <x:v>OpenAI API</x:v>
      </x:c>
      <x:c r="F123" s="52" t="str">
        <x:v>platform</x:v>
      </x:c>
      <x:c r="G123" s="52" t="str">
        <x:v>active</x:v>
      </x:c>
      <x:c r="H123" s="63" t="str">
        <x:v>Added a new endpoint to delete a message from a thread in the Assistants API.</x:v>
      </x:c>
      <x:c r="I123" s="63" t="str">
        <x:v>平台更新：OpenAI API</x:v>
      </x:c>
      <x:c r="J123" s="63" t="str">
        <x:v>Added a new endpoint to delete a message from a thread in the Assistants API.</x:v>
      </x:c>
      <x:c r="K123" s="63" t="str">
        <x:v>OpenAI 於 2024-05-02 為 OpenAI API 更新開發者平台；此節點依官方發布記錄整理，完整能力、適用方案與限制請見來源。</x:v>
      </x:c>
      <x:c r="L123" s="52" t="str">
        <x:v>https://platform.openai.com/docs/changelog</x:v>
      </x:c>
      <x:c r="M123" s="52" t="str">
        <x:v>developer_changelog</x:v>
      </x:c>
      <x:c r="N123" s="52" t="str">
        <x:v>parsed</x:v>
      </x:c>
      <x:c r="O123" s="52" t="str">
        <x:v>high</x:v>
      </x:c>
      <x:c r="P123" s="60" t="n">
        <x:v>0</x:v>
      </x:c>
      <x:c r="Q123" s="52" t="str"/>
    </x:row>
    <x:row r="124" ht="38" customHeight="1">
      <x:c r="A124" s="57" t="n">
        <x:v>45414</x:v>
      </x:c>
      <x:c r="B124" s="52" t="str">
        <x:v>lane-openai-api-changelog</x:v>
      </x:c>
      <x:c r="C124" s="52" t="str">
        <x:v>OpenAI API Changelog</x:v>
      </x:c>
      <x:c r="D124" s="52" t="str">
        <x:v>developer_platform</x:v>
      </x:c>
      <x:c r="E124" s="52" t="str">
        <x:v>OpenAI API Platform</x:v>
      </x:c>
      <x:c r="F124" s="52" t="str">
        <x:v>platform</x:v>
      </x:c>
      <x:c r="G124" s="52" t="str">
        <x:v>active</x:v>
      </x:c>
      <x:c r="H124" s="63" t="str">
        <x:v>Added a new endpoint to delete a message from a thread in the Assistants API.</x:v>
      </x:c>
      <x:c r="I124" s="63" t="str">
        <x:v>平台更新：OpenAI API Platform</x:v>
      </x:c>
      <x:c r="J124" s="63" t="str">
        <x:v>Added a new endpoint to delete a message from a thread in the Assistants API.</x:v>
      </x:c>
      <x:c r="K124" s="63" t="str">
        <x:v>新增：a 全新 endpoint to delete a message from a thread in Assistants API。OpenAI 將此列為 2024-05-02 的更新；重點涉及平台功能與可用性，模型、端點與參數名稱依官方英文保留。</x:v>
      </x:c>
      <x:c r="L124" s="52" t="str">
        <x:v>https://developers.openai.com/api/docs/changelog</x:v>
      </x:c>
      <x:c r="M124" s="52" t="str">
        <x:v>official_changelog</x:v>
      </x:c>
      <x:c r="N124" s="52" t="str">
        <x:v>complete</x:v>
      </x:c>
      <x:c r="O124" s="52" t="str">
        <x:v>high</x:v>
      </x:c>
      <x:c r="P124" s="60" t="n">
        <x:v>5</x:v>
      </x:c>
      <x:c r="Q124" s="52" t="str">
        <x:v>api-platform | update</x:v>
      </x:c>
    </x:row>
    <x:row r="125" ht="38" customHeight="1">
      <x:c r="A125" s="57" t="n">
        <x:v>45418</x:v>
      </x:c>
      <x:c r="B125" s="52" t="str">
        <x:v>lane-openai-api-changelog</x:v>
      </x:c>
      <x:c r="C125" s="52" t="str">
        <x:v>OpenAI API Changelog</x:v>
      </x:c>
      <x:c r="D125" s="52" t="str">
        <x:v>developer_platform</x:v>
      </x:c>
      <x:c r="E125" s="52" t="str">
        <x:v>OpenAI API Platform</x:v>
      </x:c>
      <x:c r="F125" s="52" t="str">
        <x:v>platform</x:v>
      </x:c>
      <x:c r="G125" s="52" t="str">
        <x:v>active</x:v>
      </x:c>
      <x:c r="H125" s="63" t="str">
        <x:v>Added streamoptions</x:v>
      </x:c>
      <x:c r="I125" s="63" t="str">
        <x:v>平台更新：OpenAI API Platform</x:v>
      </x:c>
      <x:c r="J125" s="63" t="str">
        <x:v>Added streamoptions: {"includeusage": true} parameter to the Chat Completions and Completions APIs. Setting this gives developers access to usage stats when using streaming.</x:v>
      </x:c>
      <x:c r="K125" s="63" t="str">
        <x:v>新增：streamoptions: {"includeusage": true} parameter to Chat Completions and Completions APIs。OpenAI 將此列為 2024-05-06 的更新；重點涉及平台功能與可用性，模型、端點與參數名稱依官方英文保留。</x:v>
      </x:c>
      <x:c r="L125" s="52" t="str">
        <x:v>https://developers.openai.com/api/docs/changelog</x:v>
      </x:c>
      <x:c r="M125" s="52" t="str">
        <x:v>official_changelog</x:v>
      </x:c>
      <x:c r="N125" s="52" t="str">
        <x:v>complete</x:v>
      </x:c>
      <x:c r="O125" s="52" t="str">
        <x:v>high</x:v>
      </x:c>
      <x:c r="P125" s="60" t="n">
        <x:v>2</x:v>
      </x:c>
      <x:c r="Q125" s="52" t="str">
        <x:v>api-platform | update</x:v>
      </x:c>
    </x:row>
    <x:row r="126" ht="38" customHeight="1">
      <x:c r="A126" s="57" t="n">
        <x:v>45419</x:v>
      </x:c>
      <x:c r="B126" s="52" t="str">
        <x:v>lane-openai-api-changelog</x:v>
      </x:c>
      <x:c r="C126" s="52" t="str">
        <x:v>OpenAI API Changelog</x:v>
      </x:c>
      <x:c r="D126" s="52" t="str">
        <x:v>developer_platform</x:v>
      </x:c>
      <x:c r="E126" s="52" t="str">
        <x:v>Fine-tuning API</x:v>
      </x:c>
      <x:c r="F126" s="52" t="str">
        <x:v>platform</x:v>
      </x:c>
      <x:c r="G126" s="52" t="str">
        <x:v>active</x:v>
      </x:c>
      <x:c r="H126" s="63" t="str">
        <x:v>Added support for fine-tuned models to the Batch API.</x:v>
      </x:c>
      <x:c r="I126" s="63" t="str">
        <x:v>新增：支援 fine-tuned 模型 to Batch API .</x:v>
      </x:c>
      <x:c r="J126" s="63" t="str">
        <x:v>Added support for fine-tuned models to the Batch API .</x:v>
      </x:c>
      <x:c r="K126" s="63" t="str">
        <x:v>新增：支援 fine-tuned 模型 to Batch API。OpenAI 將此列為 2024-05-07 的更新；重點涉及模型微調，模型、端點與參數名稱依官方英文保留。</x:v>
      </x:c>
      <x:c r="L126" s="52" t="str">
        <x:v>https://developers.openai.com/api/docs/changelog</x:v>
      </x:c>
      <x:c r="M126" s="52" t="str">
        <x:v>official_changelog</x:v>
      </x:c>
      <x:c r="N126" s="52" t="str">
        <x:v>complete</x:v>
      </x:c>
      <x:c r="O126" s="52" t="str">
        <x:v>high</x:v>
      </x:c>
      <x:c r="P126" s="60" t="n">
        <x:v>4</x:v>
      </x:c>
      <x:c r="Q126" s="52" t="str">
        <x:v>custom-models | fine-tuning | update</x:v>
      </x:c>
    </x:row>
    <x:row r="127" ht="38" customHeight="1">
      <x:c r="A127" s="57" t="n">
        <x:v>45421</x:v>
      </x:c>
      <x:c r="B127" s="52" t="str">
        <x:v>lane-openai-api-changelog</x:v>
      </x:c>
      <x:c r="C127" s="52" t="str">
        <x:v>OpenAI API Changelog</x:v>
      </x:c>
      <x:c r="D127" s="52" t="str">
        <x:v>multimodal</x:v>
      </x:c>
      <x:c r="E127" s="52" t="str">
        <x:v>Image API</x:v>
      </x:c>
      <x:c r="F127" s="52" t="str">
        <x:v>platform</x:v>
      </x:c>
      <x:c r="G127" s="52" t="str">
        <x:v>active</x:v>
      </x:c>
      <x:c r="H127" s="63" t="str">
        <x:v>Added support for image inputs to the Assistants API.</x:v>
      </x:c>
      <x:c r="I127" s="63" t="str">
        <x:v>新增：支援 image inputs to Assistants API.</x:v>
      </x:c>
      <x:c r="J127" s="63" t="str">
        <x:v>Added support for image inputs to the Assistants API.</x:v>
      </x:c>
      <x:c r="K127" s="63" t="str">
        <x:v>新增：支援 image inputs to Assistants API。OpenAI 將此列為 2024-05-09 的更新；重點涉及圖像與影片，模型、端點與參數名稱依官方英文保留。</x:v>
      </x:c>
      <x:c r="L127" s="52" t="str">
        <x:v>https://developers.openai.com/api/docs/changelog</x:v>
      </x:c>
      <x:c r="M127" s="52" t="str">
        <x:v>official_changelog</x:v>
      </x:c>
      <x:c r="N127" s="52" t="str">
        <x:v>complete</x:v>
      </x:c>
      <x:c r="O127" s="52" t="str">
        <x:v>high</x:v>
      </x:c>
      <x:c r="P127" s="60" t="n">
        <x:v>5</x:v>
      </x:c>
      <x:c r="Q127" s="52" t="str">
        <x:v>image-generation | multimodal | update</x:v>
      </x:c>
    </x:row>
    <x:row r="128" ht="38" customHeight="1">
      <x:c r="A128" s="57" t="n">
        <x:v>45425</x:v>
      </x:c>
      <x:c r="B128" s="52" t="str">
        <x:v>lane-introducing-gpt-4o-and-more-tools-to-chatgpt-free-users</x:v>
      </x:c>
      <x:c r="C128" s="52" t="str">
        <x:v>Introducing GPT-4o and more tools to ChatGPT free users</x:v>
      </x:c>
      <x:c r="D128" s="52" t="str">
        <x:v>clients_surfaces</x:v>
      </x:c>
      <x:c r="E128" s="52" t="str">
        <x:v>ChatGPT macOS</x:v>
      </x:c>
      <x:c r="F128" s="52" t="str">
        <x:v>platform</x:v>
      </x:c>
      <x:c r="G128" s="52" t="str">
        <x:v>active</x:v>
      </x:c>
      <x:c r="H128" s="63" t="str">
        <x:v>ChatGPT desktop app for macOS</x:v>
      </x:c>
      <x:c r="I128" s="63" t="str">
        <x:v>ChatGPT macOS 桌面 App</x:v>
      </x:c>
      <x:c r="J128" s="63" t="str">
        <x:v>OpenAI began rolling out a macOS desktop app to Plus users with Option-Space access, screenshot discussion, and voice conversations, with broader availability planned.</x:v>
      </x:c>
      <x:c r="K128" s="63" t="str">
        <x:v>OpenAI 開始向 Plus 使用者推出 macOS 桌面 App，支援 Option-Space 快速喚起、截圖討論與語音對話，之後再擴大開放。</x:v>
      </x:c>
      <x:c r="L128" s="52" t="str">
        <x:v>https://openai.com/index/gpt-4o-and-more-tools-to-chatgpt-free/</x:v>
      </x:c>
      <x:c r="M128" s="52" t="str">
        <x:v>product_post</x:v>
      </x:c>
      <x:c r="N128" s="52" t="str">
        <x:v>complete</x:v>
      </x:c>
      <x:c r="O128" s="52" t="str">
        <x:v>high</x:v>
      </x:c>
      <x:c r="P128" s="60" t="n">
        <x:v>5</x:v>
      </x:c>
      <x:c r="Q128" s="52" t="str">
        <x:v>chatgpt | macos | desktop | companion</x:v>
      </x:c>
    </x:row>
    <x:row r="129" ht="38" customHeight="1">
      <x:c r="A129" s="57" t="n">
        <x:v>45425</x:v>
      </x:c>
      <x:c r="B129" s="52" t="str">
        <x:v>lane-hello-gpt-4o</x:v>
      </x:c>
      <x:c r="C129" s="52" t="str">
        <x:v>Hello GPT-4o</x:v>
      </x:c>
      <x:c r="D129" s="52" t="str">
        <x:v>clients_surfaces</x:v>
      </x:c>
      <x:c r="E129" s="52" t="str">
        <x:v>ChatGPT macOS</x:v>
      </x:c>
      <x:c r="F129" s="52" t="str">
        <x:v>launch</x:v>
      </x:c>
      <x:c r="G129" s="52" t="str">
        <x:v>active</x:v>
      </x:c>
      <x:c r="H129" s="63" t="str">
        <x:v>ChatGPT desktop app for macOS</x:v>
      </x:c>
      <x:c r="I129" s="63" t="str">
        <x:v>ChatGPT macOS 桌面 App</x:v>
      </x:c>
      <x:c r="J129" s="63" t="str">
        <x:v>OpenAI introduced a native ChatGPT macOS app with a keyboard shortcut for quick access and screen-aware assistance, initially rolling out to Plus users.</x:v>
      </x:c>
      <x:c r="K129" s="63" t="str">
        <x:v>OpenAI 推出原生 ChatGPT macOS App，提供快速鍵與螢幕情境協助，初期向 Plus 用戶逐步推出。</x:v>
      </x:c>
      <x:c r="L129" s="52" t="str">
        <x:v>https://openai.com/index/hello-gpt-4o/</x:v>
      </x:c>
      <x:c r="M129" s="52" t="str">
        <x:v>official_launch_post</x:v>
      </x:c>
      <x:c r="N129" s="52" t="str">
        <x:v>parsed</x:v>
      </x:c>
      <x:c r="O129" s="52" t="str">
        <x:v>high</x:v>
      </x:c>
      <x:c r="P129" s="60" t="n">
        <x:v>5</x:v>
      </x:c>
      <x:c r="Q129" s="52" t="str">
        <x:v>desktop | macos</x:v>
      </x:c>
    </x:row>
    <x:row r="130" ht="38" customHeight="1">
      <x:c r="A130" s="57" t="n">
        <x:v>45425</x:v>
      </x:c>
      <x:c r="B130" s="52" t="str">
        <x:v>lane-introducing-gpt-4o-and-more-tools-to-chatgpt-free-users</x:v>
      </x:c>
      <x:c r="C130" s="52" t="str">
        <x:v>Introducing GPT-4o and more tools to ChatGPT free users</x:v>
      </x:c>
      <x:c r="D130" s="52" t="str">
        <x:v>chatgpt_core</x:v>
      </x:c>
      <x:c r="E130" s="52" t="str">
        <x:v>ChatGPT Free</x:v>
      </x:c>
      <x:c r="F130" s="52" t="str">
        <x:v>availability</x:v>
      </x:c>
      <x:c r="G130" s="52" t="str">
        <x:v>active</x:v>
      </x:c>
      <x:c r="H130" s="63" t="str">
        <x:v>GPT-4o and advanced tools roll out to free users</x:v>
      </x:c>
      <x:c r="I130" s="63" t="str">
        <x:v>GPT-4o 與進階工具推向免費使用者</x:v>
      </x:c>
      <x:c r="J130" s="63" t="str">
        <x:v>OpenAI began giving Free users limited GPT-4o plus web answers, data analysis, charts, image discussion, file uploads, GPT Store access, and memory.</x:v>
      </x:c>
      <x:c r="K130" s="63" t="str">
        <x:v>OpenAI 開始向 Free 使用者提供有限的 GPT-4o，以及網路回答、資料分析、圖表、圖像討論、檔案上傳、GPT Store 與記憶。</x:v>
      </x:c>
      <x:c r="L130" s="52" t="str">
        <x:v>https://openai.com/index/gpt-4o-and-more-tools-to-chatgpt-free/</x:v>
      </x:c>
      <x:c r="M130" s="52" t="str">
        <x:v>product_post</x:v>
      </x:c>
      <x:c r="N130" s="52" t="str">
        <x:v>complete</x:v>
      </x:c>
      <x:c r="O130" s="52" t="str">
        <x:v>high</x:v>
      </x:c>
      <x:c r="P130" s="60" t="n">
        <x:v>5</x:v>
      </x:c>
      <x:c r="Q130" s="52" t="str">
        <x:v>chatgpt | free | gpt-4o | tools</x:v>
      </x:c>
    </x:row>
    <x:row r="131" ht="38" customHeight="1">
      <x:c r="A131" s="57" t="n">
        <x:v>45425</x:v>
      </x:c>
      <x:c r="B131" s="52" t="str">
        <x:v>lane-hello-gpt-4o</x:v>
      </x:c>
      <x:c r="C131" s="52" t="str">
        <x:v>Hello GPT-4o</x:v>
      </x:c>
      <x:c r="D131" s="52" t="str">
        <x:v>models_reasoning</x:v>
      </x:c>
      <x:c r="E131" s="52" t="str">
        <x:v>GPT-4o</x:v>
      </x:c>
      <x:c r="F131" s="52" t="str">
        <x:v>model_release</x:v>
      </x:c>
      <x:c r="G131" s="52" t="str">
        <x:v>active</x:v>
      </x:c>
      <x:c r="H131" s="63" t="str">
        <x:v>Hello GPT-4o</x:v>
      </x:c>
      <x:c r="I131" s="63" t="str">
        <x:v>GPT-4o 正式亮相</x:v>
      </x:c>
      <x:c r="J131" s="63" t="str">
        <x:v>OpenAI announced GPT-4o, its omni flagship model designed to reason across audio, vision, and text in real time, and initially released text and image inputs with text output.</x:v>
      </x:c>
      <x:c r="K131" s="63" t="str">
        <x:v>OpenAI 發布可即時跨音訊、視覺與文字推理的全模態旗艦模型 GPT-4o，首波開放文字與圖像輸入、文字輸出。</x:v>
      </x:c>
      <x:c r="L131" s="52" t="str">
        <x:v>https://openai.com/index/hello-gpt-4o/</x:v>
      </x:c>
      <x:c r="M131" s="52" t="str">
        <x:v>model_release_post</x:v>
      </x:c>
      <x:c r="N131" s="52" t="str">
        <x:v>complete</x:v>
      </x:c>
      <x:c r="O131" s="52" t="str">
        <x:v>high</x:v>
      </x:c>
      <x:c r="P131" s="60" t="n">
        <x:v>5</x:v>
      </x:c>
      <x:c r="Q131" s="52" t="str">
        <x:v>gpt-4o | omni | multimodal | model-release</x:v>
      </x:c>
    </x:row>
    <x:row r="132" ht="38" customHeight="1">
      <x:c r="A132" s="57" t="n">
        <x:v>45425</x:v>
      </x:c>
      <x:c r="B132" s="52" t="str">
        <x:v>chatgpt-release-notes</x:v>
      </x:c>
      <x:c r="C132" s="52" t="str">
        <x:v>ChatGPT — Release Notes</x:v>
      </x:c>
      <x:c r="D132" s="52" t="str">
        <x:v>enterprise_vertical</x:v>
      </x:c>
      <x:c r="E132" s="52" t="str">
        <x:v>GPT-4o</x:v>
      </x:c>
      <x:c r="F132" s="52" t="str">
        <x:v>model_release</x:v>
      </x:c>
      <x:c r="G132" s="52" t="str">
        <x:v>active</x:v>
      </x:c>
      <x:c r="H132" s="63" t="str">
        <x:v>Introducing GPT-4o</x:v>
      </x:c>
      <x:c r="I132" s="63" t="str">
        <x:v>推出GPT-4o</x:v>
      </x:c>
      <x:c r="J132" s="63" t="str">
        <x:v>GPT-4o is our newest flagship model that provides GPT-4-level intelligence that is much faster and improves on its capabilities across text, voice, and vision. Currently, only the new text and image capabilities have been rolled out. You can read more about the announcement here. Plus users will have a message limit that is up to 5x greater than free users, and Team and Enterprise users will have even higher limits.</x:v>
      </x:c>
      <x:c r="K132" s="63" t="str">
        <x:v>OpenAI 於 2024-05-13 為 GPT-4o 發布模型；此節點依官方發布記錄整理，完整能力、適用方案與限制請見來源。</x:v>
      </x:c>
      <x:c r="L132" s="52" t="str">
        <x:v>https://help.openai.com/en/articles/6825453-chatgpt-release-notes</x:v>
      </x:c>
      <x:c r="M132" s="52" t="str">
        <x:v>help_center_release_notes</x:v>
      </x:c>
      <x:c r="N132" s="52" t="str">
        <x:v>parsed</x:v>
      </x:c>
      <x:c r="O132" s="52" t="str">
        <x:v>high</x:v>
      </x:c>
      <x:c r="P132" s="60" t="n">
        <x:v>0</x:v>
      </x:c>
      <x:c r="Q132" s="52" t="str"/>
    </x:row>
    <x:row r="133" ht="38" customHeight="1">
      <x:c r="A133" s="57" t="n">
        <x:v>45425</x:v>
      </x:c>
      <x:c r="B133" s="52" t="str">
        <x:v>api-changelog</x:v>
      </x:c>
      <x:c r="C133" s="52" t="str">
        <x:v>OpenAI API Changelog</x:v>
      </x:c>
      <x:c r="D133" s="52" t="str">
        <x:v>models_reasoning</x:v>
      </x:c>
      <x:c r="E133" s="52" t="str">
        <x:v>GPT-4o</x:v>
      </x:c>
      <x:c r="F133" s="52" t="str">
        <x:v>model_release</x:v>
      </x:c>
      <x:c r="G133" s="52" t="str">
        <x:v>active</x:v>
      </x:c>
      <x:c r="H133" s="63" t="str">
        <x:v>Released GPT-4o in the API.</x:v>
      </x:c>
      <x:c r="I133" s="63" t="str">
        <x:v>模型發布：GPT-4o</x:v>
      </x:c>
      <x:c r="J133" s="63" t="str">
        <x:v>Released GPT-4o in the API. GPT-4o is our fastest and most affordable flagship model.</x:v>
      </x:c>
      <x:c r="K133" s="63" t="str">
        <x:v>OpenAI 於 2024-05-13 為 GPT-4o 發布模型；此節點依官方發布記錄整理，完整能力、適用方案與限制請見來源。</x:v>
      </x:c>
      <x:c r="L133" s="52" t="str">
        <x:v>https://platform.openai.com/docs/changelog</x:v>
      </x:c>
      <x:c r="M133" s="52" t="str">
        <x:v>developer_changelog</x:v>
      </x:c>
      <x:c r="N133" s="52" t="str">
        <x:v>parsed</x:v>
      </x:c>
      <x:c r="O133" s="52" t="str">
        <x:v>high</x:v>
      </x:c>
      <x:c r="P133" s="60" t="n">
        <x:v>0</x:v>
      </x:c>
      <x:c r="Q133" s="52" t="str"/>
    </x:row>
    <x:row r="134" ht="38" customHeight="1">
      <x:c r="A134" s="57" t="n">
        <x:v>45425</x:v>
      </x:c>
      <x:c r="B134" s="52" t="str">
        <x:v>lane-openai-api-changelog</x:v>
      </x:c>
      <x:c r="C134" s="52" t="str">
        <x:v>OpenAI API Changelog</x:v>
      </x:c>
      <x:c r="D134" s="52" t="str">
        <x:v>models_reasoning</x:v>
      </x:c>
      <x:c r="E134" s="52" t="str">
        <x:v>Model Platform</x:v>
      </x:c>
      <x:c r="F134" s="52" t="str">
        <x:v>model_release</x:v>
      </x:c>
      <x:c r="G134" s="52" t="str">
        <x:v>active</x:v>
      </x:c>
      <x:c r="H134" s="63" t="str">
        <x:v>Released GPT-4o in the API.</x:v>
      </x:c>
      <x:c r="I134" s="63" t="str">
        <x:v>API 推出 GPT‑4o</x:v>
      </x:c>
      <x:c r="J134" s="63" t="str">
        <x:v>Released GPT-4o in the API. GPT-4o is our fastest and most affordable flagship model.</x:v>
      </x:c>
      <x:c r="K134" s="63" t="str">
        <x:v>API 推出 GPT‑4o。OpenAI 將此列為 2024-05-13 的更新；重點涉及平台功能與可用性，模型、端點與參數名稱依官方英文保留。</x:v>
      </x:c>
      <x:c r="L134" s="52" t="str">
        <x:v>https://developers.openai.com/api/docs/changelog</x:v>
      </x:c>
      <x:c r="M134" s="52" t="str">
        <x:v>official_changelog</x:v>
      </x:c>
      <x:c r="N134" s="52" t="str">
        <x:v>complete</x:v>
      </x:c>
      <x:c r="O134" s="52" t="str">
        <x:v>high</x:v>
      </x:c>
      <x:c r="P134" s="60" t="n">
        <x:v>4</x:v>
      </x:c>
      <x:c r="Q134" s="52" t="str">
        <x:v>api | models | update</x:v>
      </x:c>
    </x:row>
    <x:row r="135" ht="38" customHeight="1">
      <x:c r="A135" s="57" t="n">
        <x:v>45425</x:v>
      </x:c>
      <x:c r="B135" s="52" t="str">
        <x:v>lane-introducing-gpt-4o-and-more-tools-to-chatgpt-free-users</x:v>
      </x:c>
      <x:c r="C135" s="52" t="str">
        <x:v>Introducing GPT-4o and more tools to ChatGPT free users</x:v>
      </x:c>
      <x:c r="D135" s="52" t="str">
        <x:v>clients_surfaces</x:v>
      </x:c>
      <x:c r="E135" s="52" t="str">
        <x:v>ChatGPT Web</x:v>
      </x:c>
      <x:c r="F135" s="52" t="str">
        <x:v>feature</x:v>
      </x:c>
      <x:c r="G135" s="52" t="str">
        <x:v>active</x:v>
      </x:c>
      <x:c r="H135" s="63" t="str">
        <x:v>Simplified ChatGPT look and feel</x:v>
      </x:c>
      <x:c r="I135" s="63" t="str">
        <x:v>ChatGPT 介面簡化改版</x:v>
      </x:c>
      <x:c r="J135" s="63" t="str">
        <x:v>OpenAI introduced a friendlier visual redesign with a new home screen and message layout.</x:v>
      </x:c>
      <x:c r="K135" s="63" t="str">
        <x:v>OpenAI 推出更親和的視覺改版，包含新的首頁與訊息版面。</x:v>
      </x:c>
      <x:c r="L135" s="52" t="str">
        <x:v>https://openai.com/index/gpt-4o-and-more-tools-to-chatgpt-free/</x:v>
      </x:c>
      <x:c r="M135" s="52" t="str">
        <x:v>product_post</x:v>
      </x:c>
      <x:c r="N135" s="52" t="str">
        <x:v>complete</x:v>
      </x:c>
      <x:c r="O135" s="52" t="str">
        <x:v>high</x:v>
      </x:c>
      <x:c r="P135" s="60" t="n">
        <x:v>2</x:v>
      </x:c>
      <x:c r="Q135" s="52" t="str">
        <x:v>chatgpt | redesign | web | interface</x:v>
      </x:c>
    </x:row>
    <x:row r="136" ht="38" customHeight="1">
      <x:c r="A136" s="57" t="n">
        <x:v>45427</x:v>
      </x:c>
      <x:c r="B136" s="52" t="str">
        <x:v>api-changelog</x:v>
      </x:c>
      <x:c r="C136" s="52" t="str">
        <x:v>OpenAI API Changelog</x:v>
      </x:c>
      <x:c r="D136" s="52" t="str">
        <x:v>developer_platform</x:v>
      </x:c>
      <x:c r="E136" s="52" t="str">
        <x:v>ChatGPT Projects</x:v>
      </x:c>
      <x:c r="F136" s="52" t="str">
        <x:v>pricing_quota</x:v>
      </x:c>
      <x:c r="G136" s="52" t="str">
        <x:v>active</x:v>
      </x:c>
      <x:c r="H136" s="63" t="str">
        <x:v>Added support for archiving projects.</x:v>
      </x:c>
      <x:c r="I136" s="63" t="str">
        <x:v>方案更新：Added support for archiving projects.</x:v>
      </x:c>
      <x:c r="J136" s="63" t="str">
        <x:v>Added support for archiving projects . Only organization owners can access this functionality. Added support for setting cost limits on a per-project basis for pay as you go customers.</x:v>
      </x:c>
      <x:c r="K136" s="63" t="str">
        <x:v>OpenAI 於 2024-05-15 為 ChatGPT Projects 調整方案、額度或計費；此節點依官方發布記錄整理，完整能力、適用方案與限制請見來源。</x:v>
      </x:c>
      <x:c r="L136" s="52" t="str">
        <x:v>https://platform.openai.com/docs/changelog</x:v>
      </x:c>
      <x:c r="M136" s="52" t="str">
        <x:v>developer_changelog</x:v>
      </x:c>
      <x:c r="N136" s="52" t="str">
        <x:v>parsed</x:v>
      </x:c>
      <x:c r="O136" s="52" t="str">
        <x:v>high</x:v>
      </x:c>
      <x:c r="P136" s="60" t="n">
        <x:v>0</x:v>
      </x:c>
      <x:c r="Q136" s="52" t="str"/>
    </x:row>
    <x:row r="137" ht="38" customHeight="1">
      <x:c r="A137" s="57" t="n">
        <x:v>45427</x:v>
      </x:c>
      <x:c r="B137" s="52" t="str">
        <x:v>lane-openai-api-changelog</x:v>
      </x:c>
      <x:c r="C137" s="52" t="str">
        <x:v>OpenAI API Changelog</x:v>
      </x:c>
      <x:c r="D137" s="52" t="str">
        <x:v>developer_platform</x:v>
      </x:c>
      <x:c r="E137" s="52" t="str">
        <x:v>OpenAI API Platform</x:v>
      </x:c>
      <x:c r="F137" s="52" t="str">
        <x:v>pricing_quota</x:v>
      </x:c>
      <x:c r="G137" s="52" t="str">
        <x:v>active</x:v>
      </x:c>
      <x:c r="H137" s="63" t="str">
        <x:v>Added support for archiving projects.</x:v>
      </x:c>
      <x:c r="I137" s="63" t="str">
        <x:v>新增：支援 archiving projects .</x:v>
      </x:c>
      <x:c r="J137" s="63" t="str">
        <x:v>Added support for archiving projects . Only organization owners can access this functionality. Added support for setting cost limits on a per-project basis for pay as you go customers.</x:v>
      </x:c>
      <x:c r="K137" s="63" t="str">
        <x:v>新增：支援 archiving projects。OpenAI 將此列為 2024-05-15 的更新；重點涉及定價與用量，模型、端點與參數名稱依官方英文保留。</x:v>
      </x:c>
      <x:c r="L137" s="52" t="str">
        <x:v>https://developers.openai.com/api/docs/changelog</x:v>
      </x:c>
      <x:c r="M137" s="52" t="str">
        <x:v>official_changelog</x:v>
      </x:c>
      <x:c r="N137" s="52" t="str">
        <x:v>complete</x:v>
      </x:c>
      <x:c r="O137" s="52" t="str">
        <x:v>high</x:v>
      </x:c>
      <x:c r="P137" s="60" t="n">
        <x:v>2</x:v>
      </x:c>
      <x:c r="Q137" s="52" t="str">
        <x:v>api-platform | update</x:v>
      </x:c>
    </x:row>
    <x:row r="138" ht="38" customHeight="1">
      <x:c r="A138" s="57" t="n">
        <x:v>45428</x:v>
      </x:c>
      <x:c r="B138" s="52" t="str">
        <x:v>chatgpt-release-notes</x:v>
      </x:c>
      <x:c r="C138" s="52" t="str">
        <x:v>ChatGPT — Release Notes</x:v>
      </x:c>
      <x:c r="D138" s="52" t="str">
        <x:v>developer_platform</x:v>
      </x:c>
      <x:c r="E138" s="52" t="str">
        <x:v>Advanced Data Analysis</x:v>
      </x:c>
      <x:c r="F138" s="52" t="str">
        <x:v>feature</x:v>
      </x:c>
      <x:c r="G138" s="52" t="str">
        <x:v>active</x:v>
      </x:c>
      <x:c r="H138" s="63" t="str">
        <x:v>Improvements to data analysis in ChatGPT</x:v>
      </x:c>
      <x:c r="I138" s="63" t="str">
        <x:v>ChatGPT 資料分析改善</x:v>
      </x:c>
      <x:c r="J138" s="63" t="str">
        <x:v>Today, we’re starting to roll out enhancements to data analysis: Upload the latest file versions directly from Google Drive, Microsoft OneDrive Personal, and Microsoft OneDrive including Sharepoint</x:v>
      </x:c>
      <x:c r="K138" s="63" t="str">
        <x:v>GPT-4o 資料分析新增 Google Drive 與 OneDrive 直接上傳、可展開表格與圖表，以及可自訂下載的視覺化，向付費方案開放。</x:v>
      </x:c>
      <x:c r="L138" s="52" t="str">
        <x:v>https://help.openai.com/en/articles/6825453-chatgpt-release-notes</x:v>
      </x:c>
      <x:c r="M138" s="52" t="str">
        <x:v>help_center_release_notes</x:v>
      </x:c>
      <x:c r="N138" s="52" t="str">
        <x:v>parsed</x:v>
      </x:c>
      <x:c r="O138" s="52" t="str">
        <x:v>high</x:v>
      </x:c>
      <x:c r="P138" s="60" t="n">
        <x:v>4</x:v>
      </x:c>
      <x:c r="Q138" s="52" t="str">
        <x:v>chatgpt | data-analysis | google-drive | onedrive</x:v>
      </x:c>
    </x:row>
    <x:row r="139" ht="38" customHeight="1">
      <x:c r="A139" s="57" t="n">
        <x:v>45442</x:v>
      </x:c>
      <x:c r="B139" s="52" t="str">
        <x:v>lane-introducing-chatgpt-edu</x:v>
      </x:c>
      <x:c r="C139" s="52" t="str">
        <x:v>Introducing ChatGPT Edu</x:v>
      </x:c>
      <x:c r="D139" s="52" t="str">
        <x:v>enterprise_vertical</x:v>
      </x:c>
      <x:c r="E139" s="52" t="str">
        <x:v>ChatGPT Edu</x:v>
      </x:c>
      <x:c r="F139" s="52" t="str">
        <x:v>launch</x:v>
      </x:c>
      <x:c r="G139" s="52" t="str">
        <x:v>active</x:v>
      </x:c>
      <x:c r="H139" s="63" t="str">
        <x:v>Introducing ChatGPT Edu</x:v>
      </x:c>
      <x:c r="I139" s="63" t="str">
        <x:v>推出 ChatGPT Edu</x:v>
      </x:c>
      <x:c r="J139" s="63" t="str">
        <x:v>OpenAI launched a university offering powered by GPT-4o with advanced tools, higher limits, shared GPTs, enterprise security, and no training on institutional conversations or data.</x:v>
      </x:c>
      <x:c r="K139" s="63" t="str">
        <x:v>OpenAI 為大學推出 ChatGPT Edu，包含 GPT‑4o、進階工具、自訂 GPT 分享、企業安全、SSO、SCIM 與管理控制。</x:v>
      </x:c>
      <x:c r="L139" s="52" t="str">
        <x:v>https://openai.com/index/introducing-chatgpt-edu/</x:v>
      </x:c>
      <x:c r="M139" s="52" t="str">
        <x:v>launch_post</x:v>
      </x:c>
      <x:c r="N139" s="52" t="str">
        <x:v>complete</x:v>
      </x:c>
      <x:c r="O139" s="52" t="str">
        <x:v>high</x:v>
      </x:c>
      <x:c r="P139" s="60" t="n">
        <x:v>5</x:v>
      </x:c>
      <x:c r="Q139" s="52" t="str">
        <x:v>chatgpt | education | universities | gpt-4o | admin | enterprise</x:v>
      </x:c>
    </x:row>
    <x:row r="140" ht="38" customHeight="1">
      <x:c r="A140" s="57" t="n">
        <x:v>45446</x:v>
      </x:c>
      <x:c r="B140" s="52" t="str">
        <x:v>lane-openai-api-changelog</x:v>
      </x:c>
      <x:c r="C140" s="52" t="str">
        <x:v>OpenAI API Changelog</x:v>
      </x:c>
      <x:c r="D140" s="52" t="str">
        <x:v>developer_platform</x:v>
      </x:c>
      <x:c r="E140" s="52" t="str">
        <x:v>OpenAI API Platform</x:v>
      </x:c>
      <x:c r="F140" s="52" t="str">
        <x:v>feature</x:v>
      </x:c>
      <x:c r="G140" s="52" t="str">
        <x:v>active</x:v>
      </x:c>
      <x:c r="H140" s="63" t="str">
        <x:v>Added support for file search customizations.</x:v>
      </x:c>
      <x:c r="I140" s="63" t="str">
        <x:v>新增：支援 file search customizations .</x:v>
      </x:c>
      <x:c r="J140" s="63" t="str">
        <x:v>Added support for file search customizations .</x:v>
      </x:c>
      <x:c r="K140" s="63" t="str">
        <x:v>新增：支援 file search customizations。OpenAI 將此列為 2024-06-03 的更新；重點涉及平台功能與可用性，模型、端點與參數名稱依官方英文保留。</x:v>
      </x:c>
      <x:c r="L140" s="52" t="str">
        <x:v>https://developers.openai.com/api/docs/changelog</x:v>
      </x:c>
      <x:c r="M140" s="52" t="str">
        <x:v>official_changelog</x:v>
      </x:c>
      <x:c r="N140" s="52" t="str">
        <x:v>complete</x:v>
      </x:c>
      <x:c r="O140" s="52" t="str">
        <x:v>high</x:v>
      </x:c>
      <x:c r="P140" s="60" t="n">
        <x:v>2</x:v>
      </x:c>
      <x:c r="Q140" s="52" t="str">
        <x:v>api-platform | update</x:v>
      </x:c>
    </x:row>
    <x:row r="141" ht="38" customHeight="1">
      <x:c r="A141" s="57" t="n">
        <x:v>45449</x:v>
      </x:c>
      <x:c r="B141" s="52" t="str">
        <x:v>api-deprecations</x:v>
      </x:c>
      <x:c r="C141" s="52" t="str">
        <x:v>OpenAI API Deprecations</x:v>
      </x:c>
      <x:c r="D141" s="52" t="str">
        <x:v>safety_lifecycle</x:v>
      </x:c>
      <x:c r="E141" s="52" t="str">
        <x:v>OpenAI API</x:v>
      </x:c>
      <x:c r="F141" s="52" t="str">
        <x:v>deprecation</x:v>
      </x:c>
      <x:c r="G141" s="52" t="str">
        <x:v>deprecated</x:v>
      </x:c>
      <x:c r="H141" s="63" t="str">
        <x:v>GPT-4-32K and Vision Preview models</x:v>
      </x:c>
      <x:c r="I141" s="63" t="str">
        <x:v>淘汰通知：GPT-4-32K and Vision Preview models</x:v>
      </x:c>
      <x:c r="J141" s="63" t="str">
        <x:v>On June 6th, 2024, we notified developers using gpt-4-32k and gpt-4-vision-preview of their upcoming deprecations in one year and six months respectively. As of June 17, 2024, only existing users of these models will be able to continue using them.</x:v>
      </x:c>
      <x:c r="K141" s="63" t="str">
        <x:v>OpenAI 於 2024-06-06 為 OpenAI API 公布淘汰計畫；此節點依官方發布記錄整理，完整能力、適用方案與限制請見來源。</x:v>
      </x:c>
      <x:c r="L141" s="52" t="str">
        <x:v>https://platform.openai.com/docs/deprecations</x:v>
      </x:c>
      <x:c r="M141" s="52" t="str">
        <x:v>developer_deprecations</x:v>
      </x:c>
      <x:c r="N141" s="52" t="str">
        <x:v>parsed</x:v>
      </x:c>
      <x:c r="O141" s="52" t="str">
        <x:v>high</x:v>
      </x:c>
      <x:c r="P141" s="60" t="n">
        <x:v>0</x:v>
      </x:c>
      <x:c r="Q141" s="52" t="str"/>
    </x:row>
    <x:row r="142" ht="38" customHeight="1">
      <x:c r="A142" s="57" t="n">
        <x:v>45449</x:v>
      </x:c>
      <x:c r="B142" s="52" t="str">
        <x:v>lane-openai-api-deprecations</x:v>
      </x:c>
      <x:c r="C142" s="52" t="str">
        <x:v>OpenAI API Deprecations</x:v>
      </x:c>
      <x:c r="D142" s="52" t="str">
        <x:v>safety_lifecycle</x:v>
      </x:c>
      <x:c r="E142" s="52" t="str">
        <x:v>Model Platform</x:v>
      </x:c>
      <x:c r="F142" s="52" t="str">
        <x:v>deprecation</x:v>
      </x:c>
      <x:c r="G142" s="52" t="str">
        <x:v>deprecated</x:v>
      </x:c>
      <x:c r="H142" s="63" t="str">
        <x:v>GPT-4-32K and Vision Preview models deprecation</x:v>
      </x:c>
      <x:c r="I142" s="63" t="str">
        <x:v>GPT-4-32K and Vision Preview models 棄用公告</x:v>
      </x:c>
      <x:c r="J142" s="63" t="str">
        <x:v>On June 6th, 2024, we notified developers using gpt-4-32k and gpt-4-vision-preview of their upcoming deprecations in one year and six months respectively. As of June 17, 2024, only existing users of these models will be able to continue using them. Schedule/replacements: 2025-06-06 gpt-4-32k $60.00 / 1M input tokens + $120 / 1M output tokens gpt-4o; 2025-06-06 gpt-4-32k-0613 $60.00 / 1M input tokens + $120 / 1M output tokens gpt-4o;…</x:v>
      </x:c>
      <x:c r="K142" s="63" t="str">
        <x:v>OpenAI 於 2024-06-06 公告 GPT-4-32K and Vision Preview models 的棄用或下線時程，並列出替代方案與遷移方向。</x:v>
      </x:c>
      <x:c r="L142" s="52" t="str">
        <x:v>https://developers.openai.com/api/docs/deprecations#2024-06-06-gpt-4-32k-and-vision-preview-models</x:v>
      </x:c>
      <x:c r="M142" s="52" t="str">
        <x:v>official_deprecation_registry</x:v>
      </x:c>
      <x:c r="N142" s="52" t="str">
        <x:v>complete</x:v>
      </x:c>
      <x:c r="O142" s="52" t="str">
        <x:v>high</x:v>
      </x:c>
      <x:c r="P142" s="60" t="n">
        <x:v>4</x:v>
      </x:c>
      <x:c r="Q142" s="52" t="str">
        <x:v>api | deprecation | model-platform</x:v>
      </x:c>
    </x:row>
    <x:row r="143" ht="38" customHeight="1">
      <x:c r="A143" s="57" t="n">
        <x:v>45449</x:v>
      </x:c>
      <x:c r="B143" s="52" t="str">
        <x:v>lane-openai-api-changelog</x:v>
      </x:c>
      <x:c r="C143" s="52" t="str">
        <x:v>OpenAI API Changelog</x:v>
      </x:c>
      <x:c r="D143" s="52" t="str">
        <x:v>developer_platform</x:v>
      </x:c>
      <x:c r="E143" s="52" t="str">
        <x:v>OpenAI API Platform</x:v>
      </x:c>
      <x:c r="F143" s="52" t="str">
        <x:v>launch</x:v>
      </x:c>
      <x:c r="G143" s="52" t="str">
        <x:v>active</x:v>
      </x:c>
      <x:c r="H143" s="63" t="str">
        <x:v>Parallel function calling can be disabled in Chat Completions and the Assistants API by passing paralleltoolcalls=false.</x:v>
      </x:c>
      <x:c r="I143" s="63" t="str">
        <x:v>推出：OpenAI API Platform</x:v>
      </x:c>
      <x:c r="J143" s="63" t="str">
        <x:v>Parallel function calling can be disabled in Chat Completions and the Assistants API by passing paralleltoolcalls=false . .NET SDK launched in Beta.</x:v>
      </x:c>
      <x:c r="K143" s="63" t="str">
        <x:v>API 更新：Parallel function calling can be disabled in Chat Completions and Assistants API by passing paralleltoolcalls=false。OpenAI 將此列為 2024-06-06 的更新；重點涉及代理與工具調用，模型、端點與參數名稱依官方英文保留。</x:v>
      </x:c>
      <x:c r="L143" s="52" t="str">
        <x:v>https://developers.openai.com/api/docs/changelog</x:v>
      </x:c>
      <x:c r="M143" s="52" t="str">
        <x:v>official_changelog</x:v>
      </x:c>
      <x:c r="N143" s="52" t="str">
        <x:v>complete</x:v>
      </x:c>
      <x:c r="O143" s="52" t="str">
        <x:v>high</x:v>
      </x:c>
      <x:c r="P143" s="60" t="n">
        <x:v>5</x:v>
      </x:c>
      <x:c r="Q143" s="52" t="str">
        <x:v>api-platform | update</x:v>
      </x:c>
    </x:row>
    <x:row r="144" ht="38" customHeight="1">
      <x:c r="A144" s="57" t="n">
        <x:v>45453</x:v>
      </x:c>
      <x:c r="B144" s="52" t="str">
        <x:v>lane-openai-and-apple-announce-partnership</x:v>
      </x:c>
      <x:c r="C144" s="52" t="str">
        <x:v>OpenAI and Apple announce partnership</x:v>
      </x:c>
      <x:c r="D144" s="52" t="str">
        <x:v>clients_surfaces</x:v>
      </x:c>
      <x:c r="E144" s="52" t="str">
        <x:v>ChatGPT in Apple Intelligence</x:v>
      </x:c>
      <x:c r="F144" s="52" t="str">
        <x:v>integration</x:v>
      </x:c>
      <x:c r="G144" s="52" t="str">
        <x:v>active</x:v>
      </x:c>
      <x:c r="H144" s="63" t="str">
        <x:v>ChatGPT integration announced for Apple Intelligence</x:v>
      </x:c>
      <x:c r="I144" s="63" t="str">
        <x:v>宣布 ChatGPT 整合 Apple Intelligence</x:v>
      </x:c>
      <x:c r="J144" s="63" t="str">
        <x:v>OpenAI and Apple announced GPT-4o-powered ChatGPT integration for Siri and systemwide Writing Tools in iOS, iPadOS, and macOS, with no account required for free access.</x:v>
      </x:c>
      <x:c r="K144" s="63" t="str">
        <x:v>OpenAI 與 Apple 宣布將 GPT-4o 驅動的 ChatGPT 整合至 iOS、iPadOS 與 macOS 的 Siri 和系統級 Writing Tools，免費使用無須帳戶。</x:v>
      </x:c>
      <x:c r="L144" s="52" t="str">
        <x:v>https://openai.com/index/openai-and-apple-announce-partnership/</x:v>
      </x:c>
      <x:c r="M144" s="52" t="str">
        <x:v>partnership_post</x:v>
      </x:c>
      <x:c r="N144" s="52" t="str">
        <x:v>complete</x:v>
      </x:c>
      <x:c r="O144" s="52" t="str">
        <x:v>high</x:v>
      </x:c>
      <x:c r="P144" s="60" t="n">
        <x:v>5</x:v>
      </x:c>
      <x:c r="Q144" s="52" t="str">
        <x:v>chatgpt | apple | siri | apple-intelligence</x:v>
      </x:c>
    </x:row>
    <x:row r="145" ht="38" customHeight="1">
      <x:c r="A145" s="57" t="n">
        <x:v>45490</x:v>
      </x:c>
      <x:c r="B145" s="52" t="str">
        <x:v>api-changelog</x:v>
      </x:c>
      <x:c r="C145" s="52" t="str">
        <x:v>OpenAI API Changelog</x:v>
      </x:c>
      <x:c r="D145" s="52" t="str">
        <x:v>developer_platform</x:v>
      </x:c>
      <x:c r="E145" s="52" t="str">
        <x:v>OpenAI API</x:v>
      </x:c>
      <x:c r="F145" s="52" t="str">
        <x:v>launch</x:v>
      </x:c>
      <x:c r="G145" s="52" t="str">
        <x:v>active</x:v>
      </x:c>
      <x:c r="H145" s="63" t="str">
        <x:v>Released Uploads to upload large files in multiple parts.</x:v>
      </x:c>
      <x:c r="I145" s="63" t="str">
        <x:v>推出：OpenAI API</x:v>
      </x:c>
      <x:c r="J145" s="63" t="str">
        <x:v>Released Uploads to upload large files in multiple parts.</x:v>
      </x:c>
      <x:c r="K145" s="63" t="str">
        <x:v>OpenAI 於 2024-07-17 為 OpenAI API 推出新產品或能力；此節點依官方發布記錄整理，完整能力、適用方案與限制請見來源。</x:v>
      </x:c>
      <x:c r="L145" s="52" t="str">
        <x:v>https://platform.openai.com/docs/changelog</x:v>
      </x:c>
      <x:c r="M145" s="52" t="str">
        <x:v>developer_changelog</x:v>
      </x:c>
      <x:c r="N145" s="52" t="str">
        <x:v>parsed</x:v>
      </x:c>
      <x:c r="O145" s="52" t="str">
        <x:v>high</x:v>
      </x:c>
      <x:c r="P145" s="60" t="n">
        <x:v>0</x:v>
      </x:c>
      <x:c r="Q145" s="52" t="str"/>
    </x:row>
    <x:row r="146" ht="38" customHeight="1">
      <x:c r="A146" s="57" t="n">
        <x:v>45490</x:v>
      </x:c>
      <x:c r="B146" s="52" t="str">
        <x:v>lane-openai-api-changelog</x:v>
      </x:c>
      <x:c r="C146" s="52" t="str">
        <x:v>OpenAI API Changelog</x:v>
      </x:c>
      <x:c r="D146" s="52" t="str">
        <x:v>developer_platform</x:v>
      </x:c>
      <x:c r="E146" s="52" t="str">
        <x:v>OpenAI API Platform</x:v>
      </x:c>
      <x:c r="F146" s="52" t="str">
        <x:v>launch</x:v>
      </x:c>
      <x:c r="G146" s="52" t="str">
        <x:v>active</x:v>
      </x:c>
      <x:c r="H146" s="63" t="str">
        <x:v>Released Uploads to upload large files in multiple parts.</x:v>
      </x:c>
      <x:c r="I146" s="63" t="str">
        <x:v>推出：OpenAI API Platform</x:v>
      </x:c>
      <x:c r="J146" s="63" t="str">
        <x:v>Released Uploads to upload large files in multiple parts.</x:v>
      </x:c>
      <x:c r="K146" s="63" t="str">
        <x:v>推出：Uploads to upload large files in multiple parts。OpenAI 將此列為 2024-07-17 的更新；重點涉及平台功能與可用性，模型、端點與參數名稱依官方英文保留。</x:v>
      </x:c>
      <x:c r="L146" s="52" t="str">
        <x:v>https://developers.openai.com/api/docs/changelog</x:v>
      </x:c>
      <x:c r="M146" s="52" t="str">
        <x:v>official_changelog</x:v>
      </x:c>
      <x:c r="N146" s="52" t="str">
        <x:v>complete</x:v>
      </x:c>
      <x:c r="O146" s="52" t="str">
        <x:v>high</x:v>
      </x:c>
      <x:c r="P146" s="60" t="n">
        <x:v>3</x:v>
      </x:c>
      <x:c r="Q146" s="52" t="str">
        <x:v>api-platform | update</x:v>
      </x:c>
    </x:row>
    <x:row r="147" ht="38" customHeight="1">
      <x:c r="A147" s="57" t="n">
        <x:v>45491</x:v>
      </x:c>
      <x:c r="B147" s="52" t="str">
        <x:v>chatgpt-release-notes</x:v>
      </x:c>
      <x:c r="C147" s="52" t="str">
        <x:v>ChatGPT — Release Notes</x:v>
      </x:c>
      <x:c r="D147" s="52" t="str">
        <x:v>multimodal</x:v>
      </x:c>
      <x:c r="E147" s="52" t="str">
        <x:v>GPT-4o</x:v>
      </x:c>
      <x:c r="F147" s="52" t="str">
        <x:v>model_release</x:v>
      </x:c>
      <x:c r="G147" s="52" t="str">
        <x:v>active</x:v>
      </x:c>
      <x:c r="H147" s="63" t="str">
        <x:v>Introducing GPT-4o mini</x:v>
      </x:c>
      <x:c r="I147" s="63" t="str">
        <x:v>推出GPT-4o mini</x:v>
      </x:c>
      <x:c r="J147" s="63" t="str">
        <x:v>We’re introducing GPT-4o mini, the most capable and cost-efficient small model available today. GPT-4o mini surpasses GPT-3.5 Turbo and other small models on academic benchmarks across both textual intelligence and multimodal reasoning and supports the same range of languages as GPT-4o. It also demonstrates strong performance in function calling, which can enable developers to build applications that fetch data or take actions with e…</x:v>
      </x:c>
      <x:c r="K147" s="63" t="str">
        <x:v>OpenAI 於 2024-07-18 為 GPT-4o 發布模型；此節點依官方發布記錄整理，完整能力、適用方案與限制請見來源。</x:v>
      </x:c>
      <x:c r="L147" s="52" t="str">
        <x:v>https://help.openai.com/en/articles/6825453-chatgpt-release-notes</x:v>
      </x:c>
      <x:c r="M147" s="52" t="str">
        <x:v>help_center_release_notes</x:v>
      </x:c>
      <x:c r="N147" s="52" t="str">
        <x:v>parsed</x:v>
      </x:c>
      <x:c r="O147" s="52" t="str">
        <x:v>high</x:v>
      </x:c>
      <x:c r="P147" s="60" t="n">
        <x:v>0</x:v>
      </x:c>
      <x:c r="Q147" s="52" t="str"/>
    </x:row>
    <x:row r="148" ht="38" customHeight="1">
      <x:c r="A148" s="57" t="n">
        <x:v>45491</x:v>
      </x:c>
      <x:c r="B148" s="52" t="str">
        <x:v>lane-gpt-4o-mini-advancing-cost-efficient-intelligence</x:v>
      </x:c>
      <x:c r="C148" s="52" t="str">
        <x:v>GPT-4o mini: advancing cost-efficient intelligence</x:v>
      </x:c>
      <x:c r="D148" s="52" t="str">
        <x:v>models_reasoning</x:v>
      </x:c>
      <x:c r="E148" s="52" t="str">
        <x:v>GPT-4o mini</x:v>
      </x:c>
      <x:c r="F148" s="52" t="str">
        <x:v>model_release</x:v>
      </x:c>
      <x:c r="G148" s="52" t="str">
        <x:v>active</x:v>
      </x:c>
      <x:c r="H148" s="63" t="str">
        <x:v>Introducing GPT-4o mini</x:v>
      </x:c>
      <x:c r="I148" s="63" t="str">
        <x:v>推出 GPT-4o mini</x:v>
      </x:c>
      <x:c r="J148" s="63" t="str">
        <x:v>OpenAI launched GPT-4o mini as a small, cost-efficient multimodal model and began replacing GPT-3.5 in ChatGPT's free-user fallback path.</x:v>
      </x:c>
      <x:c r="K148" s="63" t="str">
        <x:v>OpenAI 推出小型且具成本效率的多模態模型 GPT-4o mini，並開始取代 ChatGPT 免費使用者的 GPT-3.5 備援路徑。</x:v>
      </x:c>
      <x:c r="L148" s="52" t="str">
        <x:v>https://openai.com/index/gpt-4o-mini-advancing-cost-efficient-intelligence/</x:v>
      </x:c>
      <x:c r="M148" s="52" t="str">
        <x:v>model_release_post</x:v>
      </x:c>
      <x:c r="N148" s="52" t="str">
        <x:v>complete</x:v>
      </x:c>
      <x:c r="O148" s="52" t="str">
        <x:v>high</x:v>
      </x:c>
      <x:c r="P148" s="60" t="n">
        <x:v>5</x:v>
      </x:c>
      <x:c r="Q148" s="52" t="str">
        <x:v>gpt-4o-mini | small-model | multimodal | chatgpt</x:v>
      </x:c>
    </x:row>
    <x:row r="149" ht="38" customHeight="1">
      <x:c r="A149" s="57" t="n">
        <x:v>45491</x:v>
      </x:c>
      <x:c r="B149" s="52" t="str">
        <x:v>lane-new-compliance-and-administrative-tools-for-chatgpt-enterp</x:v>
      </x:c>
      <x:c r="C149" s="52" t="str">
        <x:v>New compliance and administrative tools for ChatGPT Enterprise</x:v>
      </x:c>
      <x:c r="D149" s="52" t="str">
        <x:v>enterprise_vertical</x:v>
      </x:c>
      <x:c r="E149" s="52" t="str">
        <x:v>ChatGPT Enterprise</x:v>
      </x:c>
      <x:c r="F149" s="52" t="str">
        <x:v>feature</x:v>
      </x:c>
      <x:c r="G149" s="52" t="str">
        <x:v>general_availability</x:v>
      </x:c>
      <x:c r="H149" s="63" t="str">
        <x:v>New compliance and administrative tools for ChatGPT Enterprise</x:v>
      </x:c>
      <x:c r="I149" s="63" t="str">
        <x:v>ChatGPT Enterprise 新增合規與管理工具</x:v>
      </x:c>
      <x:c r="J149" s="63" t="str">
        <x:v>OpenAI launched an Enterprise Compliance API and integrations, announced SCIM provisioning, and expanded administrative controls over GPTs and action domains.</x:v>
      </x:c>
      <x:c r="K149" s="63" t="str">
        <x:v>OpenAI 推出 Enterprise Compliance API 與整合，宣布 SCIM 佈建，並擴充對 GPT 與動作網域的管理控制。</x:v>
      </x:c>
      <x:c r="L149" s="52" t="str">
        <x:v>https://openai.com/index/new-tools-for-chatgpt-enterprise/</x:v>
      </x:c>
      <x:c r="M149" s="52" t="str">
        <x:v>product_post</x:v>
      </x:c>
      <x:c r="N149" s="52" t="str">
        <x:v>complete</x:v>
      </x:c>
      <x:c r="O149" s="52" t="str">
        <x:v>high</x:v>
      </x:c>
      <x:c r="P149" s="60" t="n">
        <x:v>4</x:v>
      </x:c>
      <x:c r="Q149" s="52" t="str">
        <x:v>chatgpt-enterprise | compliance | scim | admin</x:v>
      </x:c>
    </x:row>
    <x:row r="150" ht="38" customHeight="1">
      <x:c r="A150" s="57" t="n">
        <x:v>45491</x:v>
      </x:c>
      <x:c r="B150" s="52" t="str">
        <x:v>api-changelog</x:v>
      </x:c>
      <x:c r="C150" s="52" t="str">
        <x:v>OpenAI API Changelog</x:v>
      </x:c>
      <x:c r="D150" s="52" t="str">
        <x:v>models_reasoning</x:v>
      </x:c>
      <x:c r="E150" s="52" t="str">
        <x:v>GPT-4o</x:v>
      </x:c>
      <x:c r="F150" s="52" t="str">
        <x:v>model_release</x:v>
      </x:c>
      <x:c r="G150" s="52" t="str">
        <x:v>active</x:v>
      </x:c>
      <x:c r="H150" s="63" t="str">
        <x:v>Released GPT-4o mini, our affordable an intelligent small model for fast, lightweight tasks.</x:v>
      </x:c>
      <x:c r="I150" s="63" t="str">
        <x:v>模型發布：GPT-4o</x:v>
      </x:c>
      <x:c r="J150" s="63" t="str">
        <x:v>Released GPT-4o mini, our affordable an intelligent small model for fast, lightweight tasks.</x:v>
      </x:c>
      <x:c r="K150" s="63" t="str">
        <x:v>OpenAI 於 2024-07-18 為 GPT-4o 發布模型；此節點依官方發布記錄整理，完整能力、適用方案與限制請見來源。</x:v>
      </x:c>
      <x:c r="L150" s="52" t="str">
        <x:v>https://platform.openai.com/docs/changelog</x:v>
      </x:c>
      <x:c r="M150" s="52" t="str">
        <x:v>developer_changelog</x:v>
      </x:c>
      <x:c r="N150" s="52" t="str">
        <x:v>parsed</x:v>
      </x:c>
      <x:c r="O150" s="52" t="str">
        <x:v>high</x:v>
      </x:c>
      <x:c r="P150" s="60" t="n">
        <x:v>0</x:v>
      </x:c>
      <x:c r="Q150" s="52" t="str"/>
    </x:row>
    <x:row r="151" ht="38" customHeight="1">
      <x:c r="A151" s="57" t="n">
        <x:v>45491</x:v>
      </x:c>
      <x:c r="B151" s="52" t="str">
        <x:v>lane-openai-api-changelog</x:v>
      </x:c>
      <x:c r="C151" s="52" t="str">
        <x:v>OpenAI API Changelog</x:v>
      </x:c>
      <x:c r="D151" s="52" t="str">
        <x:v>models_reasoning</x:v>
      </x:c>
      <x:c r="E151" s="52" t="str">
        <x:v>Model Platform</x:v>
      </x:c>
      <x:c r="F151" s="52" t="str">
        <x:v>model_release</x:v>
      </x:c>
      <x:c r="G151" s="52" t="str">
        <x:v>active</x:v>
      </x:c>
      <x:c r="H151" s="63" t="str">
        <x:v>Released GPT-4o mini, our affordable an intelligent small model for fast, lightweight tasks.</x:v>
      </x:c>
      <x:c r="I151" s="63" t="str">
        <x:v>模型發布：Model Platform</x:v>
      </x:c>
      <x:c r="J151" s="63" t="str">
        <x:v>Released GPT-4o mini , our affordable an intelligent small model for fast, lightweight tasks.</x:v>
      </x:c>
      <x:c r="K151" s="63" t="str">
        <x:v>推出：GPT-4o mini , our affordable an intelligent small 模型 for fast, lightweight tasks。OpenAI 將此列為 2024-07-18 的更新；重點涉及平台功能與可用性，模型、端點與參數名稱依官方英文保留。</x:v>
      </x:c>
      <x:c r="L151" s="52" t="str">
        <x:v>https://developers.openai.com/api/docs/changelog</x:v>
      </x:c>
      <x:c r="M151" s="52" t="str">
        <x:v>official_changelog</x:v>
      </x:c>
      <x:c r="N151" s="52" t="str">
        <x:v>complete</x:v>
      </x:c>
      <x:c r="O151" s="52" t="str">
        <x:v>high</x:v>
      </x:c>
      <x:c r="P151" s="60" t="n">
        <x:v>4</x:v>
      </x:c>
      <x:c r="Q151" s="52" t="str">
        <x:v>api | models | update</x:v>
      </x:c>
    </x:row>
    <x:row r="152" ht="38" customHeight="1">
      <x:c r="A152" s="57" t="n">
        <x:v>45496</x:v>
      </x:c>
      <x:c r="B152" s="52" t="str">
        <x:v>lane-openai-api-changelog</x:v>
      </x:c>
      <x:c r="C152" s="52" t="str">
        <x:v>OpenAI API Changelog</x:v>
      </x:c>
      <x:c r="D152" s="52" t="str">
        <x:v>models_reasoning</x:v>
      </x:c>
      <x:c r="E152" s="52" t="str">
        <x:v>Model Platform</x:v>
      </x:c>
      <x:c r="F152" s="52" t="str">
        <x:v>model_release</x:v>
      </x:c>
      <x:c r="G152" s="52" t="str">
        <x:v>active</x:v>
      </x:c>
      <x:c r="H152" s="63" t="str">
        <x:v>Launched fine-tuning for GPT-4o mini</x:v>
      </x:c>
      <x:c r="I152" s="63" t="str">
        <x:v>模型發布：Model Platform</x:v>
      </x:c>
      <x:c r="J152" s="63" t="str">
        <x:v>Launched fine-tuning for GPT-4o mini , enabling even higher performance for specific use cases.</x:v>
      </x:c>
      <x:c r="K152" s="63" t="str">
        <x:v>推出：fine-tuning for GPT-4o mini , enabling even higher performance for specific use cases。OpenAI 將此列為 2024-07-23 的更新；重點涉及模型微調、可靠性與效能修正，模型、端點與參數名稱依官方英文保留。</x:v>
      </x:c>
      <x:c r="L152" s="52" t="str">
        <x:v>https://developers.openai.com/api/docs/changelog</x:v>
      </x:c>
      <x:c r="M152" s="52" t="str">
        <x:v>official_changelog</x:v>
      </x:c>
      <x:c r="N152" s="52" t="str">
        <x:v>complete</x:v>
      </x:c>
      <x:c r="O152" s="52" t="str">
        <x:v>high</x:v>
      </x:c>
      <x:c r="P152" s="60" t="n">
        <x:v>3</x:v>
      </x:c>
      <x:c r="Q152" s="52" t="str">
        <x:v>api | models | update</x:v>
      </x:c>
    </x:row>
    <x:row r="153" ht="38" customHeight="1">
      <x:c r="A153" s="57" t="n">
        <x:v>45497</x:v>
      </x:c>
      <x:c r="B153" s="52" t="str">
        <x:v>api-changelog</x:v>
      </x:c>
      <x:c r="C153" s="52" t="str">
        <x:v>OpenAI API Changelog</x:v>
      </x:c>
      <x:c r="D153" s="52" t="str">
        <x:v>enterprise_vertical</x:v>
      </x:c>
      <x:c r="E153" s="52" t="str">
        <x:v>ChatGPT Enterprise &amp; Edu</x:v>
      </x:c>
      <x:c r="F153" s="52" t="str">
        <x:v>pricing_quota</x:v>
      </x:c>
      <x:c r="G153" s="52" t="str">
        <x:v>active</x:v>
      </x:c>
      <x:c r="H153" s="63" t="str">
        <x:v>Launched self-serve SSO configuration</x:v>
      </x:c>
      <x:c r="I153" s="63" t="str">
        <x:v>方案更新：Launched self-serve SSO configuration</x:v>
      </x:c>
      <x:c r="J153" s="63" t="str">
        <x:v>Launched self-serve SSO configuration, allowing Enterprise customers on custom and unlimited billing to set up authentication against their desired IDP.</x:v>
      </x:c>
      <x:c r="K153" s="63" t="str">
        <x:v>OpenAI 於 2024-07-24 為 ChatGPT Enterprise &amp; Edu 調整方案、額度或計費；此節點依官方發布記錄整理，完整能力、適用方案與限制請見來源。</x:v>
      </x:c>
      <x:c r="L153" s="52" t="str">
        <x:v>https://platform.openai.com/docs/changelog</x:v>
      </x:c>
      <x:c r="M153" s="52" t="str">
        <x:v>developer_changelog</x:v>
      </x:c>
      <x:c r="N153" s="52" t="str">
        <x:v>parsed</x:v>
      </x:c>
      <x:c r="O153" s="52" t="str">
        <x:v>high</x:v>
      </x:c>
      <x:c r="P153" s="60" t="n">
        <x:v>0</x:v>
      </x:c>
      <x:c r="Q153" s="52" t="str"/>
    </x:row>
    <x:row r="154" ht="38" customHeight="1">
      <x:c r="A154" s="57" t="n">
        <x:v>45497</x:v>
      </x:c>
      <x:c r="B154" s="52" t="str">
        <x:v>lane-openai-api-changelog</x:v>
      </x:c>
      <x:c r="C154" s="52" t="str">
        <x:v>OpenAI API Changelog</x:v>
      </x:c>
      <x:c r="D154" s="52" t="str">
        <x:v>developer_platform</x:v>
      </x:c>
      <x:c r="E154" s="52" t="str">
        <x:v>OpenAI API Platform</x:v>
      </x:c>
      <x:c r="F154" s="52" t="str">
        <x:v>launch</x:v>
      </x:c>
      <x:c r="G154" s="52" t="str">
        <x:v>active</x:v>
      </x:c>
      <x:c r="H154" s="63" t="str">
        <x:v>Launched self-serve SSO configuration</x:v>
      </x:c>
      <x:c r="I154" s="63" t="str">
        <x:v>推出：OpenAI API Platform</x:v>
      </x:c>
      <x:c r="J154" s="63" t="str">
        <x:v>Launched self-serve SSO configuration , allowing Enterprise customers on custom and unlimited billing to set up authentication against their desired IDP.</x:v>
      </x:c>
      <x:c r="K154" s="63" t="str">
        <x:v>推出：self-serve SSO configuration , allowing Enterprise customers on custom and unlimited billing to set up authentication against their desired IDP。OpenAI 將此列為 2024-07-24 的更新；重點涉及定價與用量，模型、端點與參數名稱依官方英文保留。</x:v>
      </x:c>
      <x:c r="L154" s="52" t="str">
        <x:v>https://developers.openai.com/api/docs/changelog</x:v>
      </x:c>
      <x:c r="M154" s="52" t="str">
        <x:v>official_changelog</x:v>
      </x:c>
      <x:c r="N154" s="52" t="str">
        <x:v>complete</x:v>
      </x:c>
      <x:c r="O154" s="52" t="str">
        <x:v>high</x:v>
      </x:c>
      <x:c r="P154" s="60" t="n">
        <x:v>3</x:v>
      </x:c>
      <x:c r="Q154" s="52" t="str">
        <x:v>api-platform | update</x:v>
      </x:c>
    </x:row>
    <x:row r="155" ht="38" customHeight="1">
      <x:c r="A155" s="57" t="n">
        <x:v>45498</x:v>
      </x:c>
      <x:c r="B155" s="52" t="str">
        <x:v>lane-searchgpt-prototype</x:v>
      </x:c>
      <x:c r="C155" s="52" t="str">
        <x:v>SearchGPT Prototype</x:v>
      </x:c>
      <x:c r="D155" s="52" t="str">
        <x:v>search_commerce</x:v>
      </x:c>
      <x:c r="E155" s="52" t="str">
        <x:v>SearchGPT</x:v>
      </x:c>
      <x:c r="F155" s="52" t="str">
        <x:v>launch</x:v>
      </x:c>
      <x:c r="G155" s="52" t="str">
        <x:v>research_preview</x:v>
      </x:c>
      <x:c r="H155" s="63" t="str">
        <x:v>SearchGPT prototype</x:v>
      </x:c>
      <x:c r="I155" s="63" t="str">
        <x:v>SearchGPT 原型</x:v>
      </x:c>
      <x:c r="J155" s="63" t="str">
        <x:v>OpenAI launched a temporary search prototype to a small group of users and publishers, combining conversational models with timely web answers and explicit source links.</x:v>
      </x:c>
      <x:c r="K155" s="63" t="str">
        <x:v>OpenAI 向少量使用者與出版商推出暫時性的搜尋原型，結合對話模型、即時網路答案與清楚的來源連結。</x:v>
      </x:c>
      <x:c r="L155" s="52" t="str">
        <x:v>https://openai.com/index/searchgpt-prototype/</x:v>
      </x:c>
      <x:c r="M155" s="52" t="str">
        <x:v>launch_post</x:v>
      </x:c>
      <x:c r="N155" s="52" t="str">
        <x:v>complete</x:v>
      </x:c>
      <x:c r="O155" s="52" t="str">
        <x:v>high</x:v>
      </x:c>
      <x:c r="P155" s="60" t="n">
        <x:v>5</x:v>
      </x:c>
      <x:c r="Q155" s="52" t="str">
        <x:v>searchgpt | search | publishers | prototype</x:v>
      </x:c>
    </x:row>
    <x:row r="156" ht="38" customHeight="1">
      <x:c r="A156" s="57" t="n">
        <x:v>45505</x:v>
      </x:c>
      <x:c r="B156" s="52" t="str">
        <x:v>api-changelog</x:v>
      </x:c>
      <x:c r="C156" s="52" t="str">
        <x:v>OpenAI API Changelog</x:v>
      </x:c>
      <x:c r="D156" s="52" t="str">
        <x:v>enterprise_vertical</x:v>
      </x:c>
      <x:c r="E156" s="52" t="str">
        <x:v>OpenAI API</x:v>
      </x:c>
      <x:c r="F156" s="52" t="str">
        <x:v>launch</x:v>
      </x:c>
      <x:c r="G156" s="52" t="str">
        <x:v>active</x:v>
      </x:c>
      <x:c r="H156" s="63" t="str">
        <x:v>Launched Admin and Audit Log APIs</x:v>
      </x:c>
      <x:c r="I156" s="63" t="str">
        <x:v>推出：Launched Admin and Audit Log APIs</x:v>
      </x:c>
      <x:c r="J156" s="63" t="str">
        <x:v>Launched Admin and Audit Log APIs, allowing customers to programmatically administer their organization and monitor changes using the audit logs. Audit logging must be enabled within settings.</x:v>
      </x:c>
      <x:c r="K156" s="63" t="str">
        <x:v>OpenAI 於 2024-08-01 為 OpenAI API 推出新產品或能力；此節點依官方發布記錄整理，完整能力、適用方案與限制請見來源。</x:v>
      </x:c>
      <x:c r="L156" s="52" t="str">
        <x:v>https://platform.openai.com/docs/changelog</x:v>
      </x:c>
      <x:c r="M156" s="52" t="str">
        <x:v>developer_changelog</x:v>
      </x:c>
      <x:c r="N156" s="52" t="str">
        <x:v>parsed</x:v>
      </x:c>
      <x:c r="O156" s="52" t="str">
        <x:v>high</x:v>
      </x:c>
      <x:c r="P156" s="60" t="n">
        <x:v>0</x:v>
      </x:c>
      <x:c r="Q156" s="52" t="str"/>
    </x:row>
    <x:row r="157" ht="38" customHeight="1">
      <x:c r="A157" s="57" t="n">
        <x:v>45505</x:v>
      </x:c>
      <x:c r="B157" s="52" t="str">
        <x:v>lane-openai-api-changelog</x:v>
      </x:c>
      <x:c r="C157" s="52" t="str">
        <x:v>OpenAI API Changelog</x:v>
      </x:c>
      <x:c r="D157" s="52" t="str">
        <x:v>developer_platform</x:v>
      </x:c>
      <x:c r="E157" s="52" t="str">
        <x:v>OpenAI API Platform</x:v>
      </x:c>
      <x:c r="F157" s="52" t="str">
        <x:v>launch</x:v>
      </x:c>
      <x:c r="G157" s="52" t="str">
        <x:v>active</x:v>
      </x:c>
      <x:c r="H157" s="63" t="str">
        <x:v>Launched Admin and Audit Log APIs</x:v>
      </x:c>
      <x:c r="I157" s="63" t="str">
        <x:v>推出：OpenAI API Platform</x:v>
      </x:c>
      <x:c r="J157" s="63" t="str">
        <x:v>Launched Admin and Audit Log APIs , allowing customers to programmatically administer their organization and monitor changes using the audit logs. Audit logging must be enabled within settings .</x:v>
      </x:c>
      <x:c r="K157" s="63" t="str">
        <x:v>推出：Admin and Audit Log APIs , allowing customers to programmatically administer their organization and monitor changes using audit logs。OpenAI 將此列為 2024-08-01 的更新；重點涉及企業管理控制，模型、端點與參數名稱依官方英文保留。</x:v>
      </x:c>
      <x:c r="L157" s="52" t="str">
        <x:v>https://developers.openai.com/api/docs/changelog</x:v>
      </x:c>
      <x:c r="M157" s="52" t="str">
        <x:v>official_changelog</x:v>
      </x:c>
      <x:c r="N157" s="52" t="str">
        <x:v>complete</x:v>
      </x:c>
      <x:c r="O157" s="52" t="str">
        <x:v>high</x:v>
      </x:c>
      <x:c r="P157" s="60" t="n">
        <x:v>3</x:v>
      </x:c>
      <x:c r="Q157" s="52" t="str">
        <x:v>api-platform | update</x:v>
      </x:c>
    </x:row>
    <x:row r="158" ht="38" customHeight="1">
      <x:c r="A158" s="57" t="n">
        <x:v>45510</x:v>
      </x:c>
      <x:c r="B158" s="52" t="str">
        <x:v>macos-release-notes</x:v>
      </x:c>
      <x:c r="C158" s="52" t="str">
        <x:v>ChatGPT macOS app release notes</x:v>
      </x:c>
      <x:c r="D158" s="52" t="str">
        <x:v>clients_surfaces</x:v>
      </x:c>
      <x:c r="E158" s="52" t="str">
        <x:v>ChatGPT macOS</x:v>
      </x:c>
      <x:c r="F158" s="52" t="str">
        <x:v>feature</x:v>
      </x:c>
      <x:c r="G158" s="52" t="str">
        <x:v>active</x:v>
      </x:c>
      <x:c r="H158" s="63" t="str">
        <x:v>Companion window and improved data analysis on macOS</x:v>
      </x:c>
      <x:c r="I158" s="63" t="str">
        <x:v>macOS 伴隨視窗與資料分析更新</x:v>
      </x:c>
      <x:c r="J158" s="63" t="str">
        <x:v>The macOS app added an always-on-top companion window, richer table and chart interactions, screenshot shortcuts, display selection, local-storage security improvements, and performance fixes.</x:v>
      </x:c>
      <x:c r="K158" s="63" t="str">
        <x:v>macOS App 新增置頂伴隨視窗、表格與圖表互動、截圖快捷鍵、顯示器選擇，以及安全與效能改善。</x:v>
      </x:c>
      <x:c r="L158" s="52" t="str">
        <x:v>https://help.openai.com/en/articles/9703738-desktop-app-release-notes</x:v>
      </x:c>
      <x:c r="M158" s="52" t="str">
        <x:v>help_center_release_notes</x:v>
      </x:c>
      <x:c r="N158" s="52" t="str">
        <x:v>parsed</x:v>
      </x:c>
      <x:c r="O158" s="52" t="str">
        <x:v>high</x:v>
      </x:c>
      <x:c r="P158" s="60" t="n">
        <x:v>4</x:v>
      </x:c>
      <x:c r="Q158" s="52" t="str">
        <x:v>companion-window | macos</x:v>
      </x:c>
    </x:row>
    <x:row r="159" ht="38" customHeight="1">
      <x:c r="A159" s="57" t="n">
        <x:v>45510</x:v>
      </x:c>
      <x:c r="B159" s="52" t="str">
        <x:v>macos-release-notes</x:v>
      </x:c>
      <x:c r="C159" s="52" t="str">
        <x:v>ChatGPT macOS app release notes</x:v>
      </x:c>
      <x:c r="D159" s="52" t="str">
        <x:v>clients_surfaces</x:v>
      </x:c>
      <x:c r="E159" s="52" t="str">
        <x:v>ChatGPT macOS</x:v>
      </x:c>
      <x:c r="F159" s="52" t="str">
        <x:v>feature</x:v>
      </x:c>
      <x:c r="G159" s="52" t="str">
        <x:v>general_availability</x:v>
      </x:c>
      <x:c r="H159" s="63" t="str">
        <x:v>Companion window for ChatGPT macOS</x:v>
      </x:c>
      <x:c r="I159" s="63" t="str">
        <x:v>功能更新：ChatGPT macOS Companion Window</x:v>
      </x:c>
      <x:c r="J159" s="63" t="str">
        <x:v>The macOS app added a persistent side-by-side companion window with customizable Option-Space activation and conversation pop-outs.</x:v>
      </x:c>
      <x:c r="K159" s="63" t="str">
        <x:v>macOS App 新增可並排常駐的 Companion Window，支援自訂 Option-Space 啟動與將既有對話彈出。</x:v>
      </x:c>
      <x:c r="L159" s="52" t="str">
        <x:v>https://help.openai.com/en/articles/9703738-desktop-app-release-notes</x:v>
      </x:c>
      <x:c r="M159" s="52" t="str">
        <x:v>help_center_release_notes</x:v>
      </x:c>
      <x:c r="N159" s="52" t="str">
        <x:v>parsed</x:v>
      </x:c>
      <x:c r="O159" s="52" t="str">
        <x:v>high</x:v>
      </x:c>
      <x:c r="P159" s="60" t="n">
        <x:v>3</x:v>
      </x:c>
      <x:c r="Q159" s="52" t="str">
        <x:v>chatgpt | macos | companion-window | desktop</x:v>
      </x:c>
    </x:row>
    <x:row r="160" ht="38" customHeight="1">
      <x:c r="A160" s="57" t="n">
        <x:v>45510</x:v>
      </x:c>
      <x:c r="B160" s="52" t="str">
        <x:v>macos-release-notes</x:v>
      </x:c>
      <x:c r="C160" s="52" t="str">
        <x:v>ChatGPT macOS app release notes</x:v>
      </x:c>
      <x:c r="D160" s="52" t="str">
        <x:v>developer_platform</x:v>
      </x:c>
      <x:c r="E160" s="52" t="str">
        <x:v>Advanced Data Analysis on macOS</x:v>
      </x:c>
      <x:c r="F160" s="52" t="str">
        <x:v>feature</x:v>
      </x:c>
      <x:c r="G160" s="52" t="str">
        <x:v>general_availability</x:v>
      </x:c>
      <x:c r="H160" s="63" t="str">
        <x:v>Enhanced data analysis on macOS</x:v>
      </x:c>
      <x:c r="I160" s="63" t="str">
        <x:v>macOS 資料分析強化</x:v>
      </x:c>
      <x:c r="J160" s="63" t="str">
        <x:v>ChatGPT macOS gained expandable interactive tables and charts, chart customization and download, and cell-level table selection.</x:v>
      </x:c>
      <x:c r="K160" s="63" t="str">
        <x:v>ChatGPT macOS 新增可展開互動表格與圖表、圖表自訂與下載，以及表格儲存格級選取。</x:v>
      </x:c>
      <x:c r="L160" s="52" t="str">
        <x:v>https://help.openai.com/en/articles/9703738-desktop-app-release-notes</x:v>
      </x:c>
      <x:c r="M160" s="52" t="str">
        <x:v>help_center_release_notes</x:v>
      </x:c>
      <x:c r="N160" s="52" t="str">
        <x:v>parsed</x:v>
      </x:c>
      <x:c r="O160" s="52" t="str">
        <x:v>high</x:v>
      </x:c>
      <x:c r="P160" s="60" t="n">
        <x:v>3</x:v>
      </x:c>
      <x:c r="Q160" s="52" t="str">
        <x:v>chatgpt | macos | data-analysis | charts</x:v>
      </x:c>
    </x:row>
    <x:row r="161" ht="38" customHeight="1">
      <x:c r="A161" s="57" t="n">
        <x:v>45510</x:v>
      </x:c>
      <x:c r="B161" s="52" t="str">
        <x:v>lane-openai-api-changelog</x:v>
      </x:c>
      <x:c r="C161" s="52" t="str">
        <x:v>OpenAI API Changelog</x:v>
      </x:c>
      <x:c r="D161" s="52" t="str">
        <x:v>models_reasoning</x:v>
      </x:c>
      <x:c r="E161" s="52" t="str">
        <x:v>Model Platform</x:v>
      </x:c>
      <x:c r="F161" s="52" t="str">
        <x:v>model_release</x:v>
      </x:c>
      <x:c r="G161" s="52" t="str">
        <x:v>active</x:v>
      </x:c>
      <x:c r="H161" s="63" t="str">
        <x:v>Launched Structured Outputs</x:v>
      </x:c>
      <x:c r="I161" s="63" t="str">
        <x:v>API 推出 Structured Outputs</x:v>
      </x:c>
      <x:c r="J161" s="63" t="str">
        <x:v>Launched Structured Outputs —model outputs now reliably adhere to developer supplied JSON Schemas. Released gpt-4o-2024-08-06 , our newest model in the gpt-4o series.</x:v>
      </x:c>
      <x:c r="K161" s="63" t="str">
        <x:v>API 推出 Structured Outputs。OpenAI 將此列為 2024-08-06 的更新；重點涉及平台功能與可用性，模型、端點與參數名稱依官方英文保留。</x:v>
      </x:c>
      <x:c r="L161" s="52" t="str">
        <x:v>https://developers.openai.com/api/docs/changelog</x:v>
      </x:c>
      <x:c r="M161" s="52" t="str">
        <x:v>official_changelog</x:v>
      </x:c>
      <x:c r="N161" s="52" t="str">
        <x:v>complete</x:v>
      </x:c>
      <x:c r="O161" s="52" t="str">
        <x:v>high</x:v>
      </x:c>
      <x:c r="P161" s="60" t="n">
        <x:v>4</x:v>
      </x:c>
      <x:c r="Q161" s="52" t="str">
        <x:v>api | models | update</x:v>
      </x:c>
    </x:row>
    <x:row r="162" ht="38" customHeight="1">
      <x:c r="A162" s="57" t="n">
        <x:v>45512</x:v>
      </x:c>
      <x:c r="B162" s="52" t="str">
        <x:v>chatgpt-release-notes</x:v>
      </x:c>
      <x:c r="C162" s="52" t="str">
        <x:v>ChatGPT — Release Notes</x:v>
      </x:c>
      <x:c r="D162" s="52" t="str">
        <x:v>multimodal</x:v>
      </x:c>
      <x:c r="E162" s="52" t="str">
        <x:v>DALL-E 3 in ChatGPT</x:v>
      </x:c>
      <x:c r="F162" s="52" t="str">
        <x:v>availability</x:v>
      </x:c>
      <x:c r="G162" s="52" t="str">
        <x:v>active</x:v>
      </x:c>
      <x:c r="H162" s="63" t="str">
        <x:v>DALL-E 3 for ChatGPT Free users</x:v>
      </x:c>
      <x:c r="I162" s="63" t="str">
        <x:v>ChatGPT 免費使用者可用 DALL-E 3</x:v>
      </x:c>
      <x:c r="J162" s="63" t="str">
        <x:v>OpenAI began allowing Free users to create up to two DALL-E 3 images per day in ChatGPT.</x:v>
      </x:c>
      <x:c r="K162" s="63" t="str">
        <x:v>OpenAI 開始允許 Free 使用者每天在 ChatGPT 中建立最多兩張 DALL-E 3 圖像。</x:v>
      </x:c>
      <x:c r="L162" s="52" t="str">
        <x:v>https://help.openai.com/en/articles/6825453-chatgpt-release-notes</x:v>
      </x:c>
      <x:c r="M162" s="52" t="str">
        <x:v>help_center_release_notes</x:v>
      </x:c>
      <x:c r="N162" s="52" t="str">
        <x:v>parsed</x:v>
      </x:c>
      <x:c r="O162" s="52" t="str">
        <x:v>high</x:v>
      </x:c>
      <x:c r="P162" s="60" t="n">
        <x:v>4</x:v>
      </x:c>
      <x:c r="Q162" s="52" t="str">
        <x:v>dall-e-3 | chatgpt | free | image-generation</x:v>
      </x:c>
    </x:row>
    <x:row r="163" ht="38" customHeight="1">
      <x:c r="A163" s="57" t="n">
        <x:v>45512</x:v>
      </x:c>
      <x:c r="B163" s="52" t="str">
        <x:v>chatgpt-release-notes</x:v>
      </x:c>
      <x:c r="C163" s="52" t="str">
        <x:v>ChatGPT — Release Notes</x:v>
      </x:c>
      <x:c r="D163" s="52" t="str">
        <x:v>chatgpt_core</x:v>
      </x:c>
      <x:c r="E163" s="52" t="str">
        <x:v>ChatGPT Images</x:v>
      </x:c>
      <x:c r="F163" s="52" t="str">
        <x:v>availability</x:v>
      </x:c>
      <x:c r="G163" s="52" t="str">
        <x:v>active</x:v>
      </x:c>
      <x:c r="H163" s="63" t="str">
        <x:v>DALL·E 3for ChatGPT Free users</x:v>
      </x:c>
      <x:c r="I163" s="63" t="str">
        <x:v>開放使用：DALL·E 3for ChatGPT Free users</x:v>
      </x:c>
      <x:c r="J163" s="63" t="str">
        <x:v>We’re rolling out the ability for ChatGPT Free users to create up to two images per day with DALL·E 3. Just ask ChatGPT to create an image for a slide deck, personalize a card for a friend, or show you what something looks like.</x:v>
      </x:c>
      <x:c r="K163" s="63" t="str">
        <x:v>OpenAI 於 2024-08-08 為 ChatGPT Images 擴大開放範圍；此節點依官方發布記錄整理，完整能力、適用方案與限制請見來源。</x:v>
      </x:c>
      <x:c r="L163" s="52" t="str">
        <x:v>https://help.openai.com/en/articles/6825453-chatgpt-release-notes</x:v>
      </x:c>
      <x:c r="M163" s="52" t="str">
        <x:v>help_center_release_notes</x:v>
      </x:c>
      <x:c r="N163" s="52" t="str">
        <x:v>parsed</x:v>
      </x:c>
      <x:c r="O163" s="52" t="str">
        <x:v>high</x:v>
      </x:c>
      <x:c r="P163" s="60" t="n">
        <x:v>0</x:v>
      </x:c>
      <x:c r="Q163" s="52" t="str"/>
    </x:row>
    <x:row r="164" ht="38" customHeight="1">
      <x:c r="A164" s="57" t="n">
        <x:v>45516</x:v>
      </x:c>
      <x:c r="B164" s="52" t="str">
        <x:v>model-release-notes</x:v>
      </x:c>
      <x:c r="C164" s="52" t="str">
        <x:v>Model Release Notes</x:v>
      </x:c>
      <x:c r="D164" s="52" t="str">
        <x:v>models_reasoning</x:v>
      </x:c>
      <x:c r="E164" s="52" t="str">
        <x:v>GPT-4o</x:v>
      </x:c>
      <x:c r="F164" s="52" t="str">
        <x:v>model_update</x:v>
      </x:c>
      <x:c r="G164" s="52" t="str">
        <x:v>active</x:v>
      </x:c>
      <x:c r="H164" s="63" t="str">
        <x:v>GPT-4o preference and performance update</x:v>
      </x:c>
      <x:c r="I164" s="63" t="str">
        <x:v>GPT-4o 偏好與效能更新</x:v>
      </x:c>
      <x:c r="J164" s="63" t="str">
        <x:v>OpenAI shipped a non-frontier GPT-4o update that users tended to prefer in experiments and qualitative feedback, while noting the difficulty of characterizing granular behavior changes.</x:v>
      </x:c>
      <x:c r="K164" s="63" t="str">
        <x:v>OpenAI 發布非前沿級的 GPT-4o 更新；實驗與質性回饋顯示使用者較偏好此版，同時說明細緻描述行為變化仍有困難。</x:v>
      </x:c>
      <x:c r="L164" s="52" t="str">
        <x:v>https://help.openai.com/en/articles/9624314-model-release-notes</x:v>
      </x:c>
      <x:c r="M164" s="52" t="str">
        <x:v>help_center_release_notes</x:v>
      </x:c>
      <x:c r="N164" s="52" t="str">
        <x:v>parsed</x:v>
      </x:c>
      <x:c r="O164" s="52" t="str">
        <x:v>high</x:v>
      </x:c>
      <x:c r="P164" s="60" t="n">
        <x:v>3</x:v>
      </x:c>
      <x:c r="Q164" s="52" t="str">
        <x:v>gpt-4o | model-update | chatgpt | preference</x:v>
      </x:c>
    </x:row>
    <x:row r="165" ht="38" customHeight="1">
      <x:c r="A165" s="57" t="n">
        <x:v>45519</x:v>
      </x:c>
      <x:c r="B165" s="52" t="str">
        <x:v>lane-openai-api-changelog</x:v>
      </x:c>
      <x:c r="C165" s="52" t="str">
        <x:v>OpenAI API Changelog</x:v>
      </x:c>
      <x:c r="D165" s="52" t="str">
        <x:v>models_reasoning</x:v>
      </x:c>
      <x:c r="E165" s="52" t="str">
        <x:v>Model Platform</x:v>
      </x:c>
      <x:c r="F165" s="52" t="str">
        <x:v>model_release</x:v>
      </x:c>
      <x:c r="G165" s="52" t="str">
        <x:v>active</x:v>
      </x:c>
      <x:c r="H165" s="63" t="str">
        <x:v>Released dynamic model for chatgpt-4o-latest</x:v>
      </x:c>
      <x:c r="I165" s="63" t="str">
        <x:v>模型發布：Model Platform</x:v>
      </x:c>
      <x:c r="J165" s="63" t="str">
        <x:v>Released dynamic model for chatgpt-4o-latest —this model will point to the latest GPT-4o model used by ChatGPT.</x:v>
      </x:c>
      <x:c r="K165" s="63" t="str">
        <x:v>推出：dynamic 模型 for chatgpt-4o-latest —this 模型 will point to latest GPT-4o 模型 used by ChatGPT。OpenAI 將此列為 2024-08-15 的更新；重點涉及平台功能與可用性，模型、端點與參數名稱依官方英文保留。</x:v>
      </x:c>
      <x:c r="L165" s="52" t="str">
        <x:v>https://developers.openai.com/api/docs/changelog</x:v>
      </x:c>
      <x:c r="M165" s="52" t="str">
        <x:v>official_changelog</x:v>
      </x:c>
      <x:c r="N165" s="52" t="str">
        <x:v>complete</x:v>
      </x:c>
      <x:c r="O165" s="52" t="str">
        <x:v>high</x:v>
      </x:c>
      <x:c r="P165" s="60" t="n">
        <x:v>3</x:v>
      </x:c>
      <x:c r="Q165" s="52" t="str">
        <x:v>api | models | update</x:v>
      </x:c>
    </x:row>
    <x:row r="166" ht="38" customHeight="1">
      <x:c r="A166" s="57" t="n">
        <x:v>45524</x:v>
      </x:c>
      <x:c r="B166" s="52" t="str">
        <x:v>lane-openai-api-changelog</x:v>
      </x:c>
      <x:c r="C166" s="52" t="str">
        <x:v>OpenAI API Changelog</x:v>
      </x:c>
      <x:c r="D166" s="52" t="str">
        <x:v>developer_platform</x:v>
      </x:c>
      <x:c r="E166" s="52" t="str">
        <x:v>Fine-tuning API</x:v>
      </x:c>
      <x:c r="F166" s="52" t="str">
        <x:v>model_release</x:v>
      </x:c>
      <x:c r="G166" s="52" t="str">
        <x:v>general_availability</x:v>
      </x:c>
      <x:c r="H166" s="63" t="str">
        <x:v>GA release for gpt-4o-2024-08-06 fine-tuning</x:v>
      </x:c>
      <x:c r="I166" s="63" t="str">
        <x:v>模型發布：Fine-tuning API</x:v>
      </x:c>
      <x:c r="J166" s="63" t="str">
        <x:v>GA release for gpt-4o-2024-08-06 fine-tuning —all API users can now fine-tune the latest GPT-4o model.</x:v>
      </x:c>
      <x:c r="K166" s="63" t="str">
        <x:v>API 更新：GA release for gpt-4o-2024-08-06 fine-tuning —all API users can now fine-tune latest GPT-4o 模型。OpenAI 將此列為 2024-08-20 的功能；重點涉及模型微調，模型、端點與參數名稱依官方英文保留。</x:v>
      </x:c>
      <x:c r="L166" s="52" t="str">
        <x:v>https://developers.openai.com/api/docs/changelog</x:v>
      </x:c>
      <x:c r="M166" s="52" t="str">
        <x:v>official_changelog</x:v>
      </x:c>
      <x:c r="N166" s="52" t="str">
        <x:v>complete</x:v>
      </x:c>
      <x:c r="O166" s="52" t="str">
        <x:v>high</x:v>
      </x:c>
      <x:c r="P166" s="60" t="n">
        <x:v>3</x:v>
      </x:c>
      <x:c r="Q166" s="52" t="str">
        <x:v>custom-models | feature | fine-tuning</x:v>
      </x:c>
    </x:row>
    <x:row r="167" ht="38" customHeight="1">
      <x:c r="A167" s="57" t="n">
        <x:v>45533</x:v>
      </x:c>
      <x:c r="B167" s="52" t="str">
        <x:v>lane-openai-api-changelog</x:v>
      </x:c>
      <x:c r="C167" s="52" t="str">
        <x:v>OpenAI API Changelog</x:v>
      </x:c>
      <x:c r="D167" s="52" t="str">
        <x:v>developer_platform</x:v>
      </x:c>
      <x:c r="E167" s="52" t="str">
        <x:v>OpenAI API Platform</x:v>
      </x:c>
      <x:c r="F167" s="52" t="str">
        <x:v>platform</x:v>
      </x:c>
      <x:c r="G167" s="52" t="str">
        <x:v>active</x:v>
      </x:c>
      <x:c r="H167" s="63" t="str">
        <x:v>Assistants API now supports including file search results used by the file search tool, and customizing ranking behavior.</x:v>
      </x:c>
      <x:c r="I167" s="63" t="str">
        <x:v>平台更新：OpenAI API Platform</x:v>
      </x:c>
      <x:c r="J167" s="63" t="str">
        <x:v>Assistants API now supports including file search results used by the file search tool, and customizing ranking behavior .</x:v>
      </x:c>
      <x:c r="K167" s="63" t="str">
        <x:v>API 更新：Assistants API now supports including file search results used by file search tool, and customizing ranking behavior。OpenAI 將此列為 2024-08-29 的功能；重點涉及代理與工具調用，模型、端點與參數名稱依官方英文保留。</x:v>
      </x:c>
      <x:c r="L167" s="52" t="str">
        <x:v>https://developers.openai.com/api/docs/changelog</x:v>
      </x:c>
      <x:c r="M167" s="52" t="str">
        <x:v>official_changelog</x:v>
      </x:c>
      <x:c r="N167" s="52" t="str">
        <x:v>complete</x:v>
      </x:c>
      <x:c r="O167" s="52" t="str">
        <x:v>high</x:v>
      </x:c>
      <x:c r="P167" s="60" t="n">
        <x:v>5</x:v>
      </x:c>
      <x:c r="Q167" s="52" t="str">
        <x:v>api-platform | feature</x:v>
      </x:c>
    </x:row>
    <x:row r="168" ht="38" customHeight="1">
      <x:c r="A168" s="57" t="n">
        <x:v>45533</x:v>
      </x:c>
      <x:c r="B168" s="52" t="str">
        <x:v>api-deprecations</x:v>
      </x:c>
      <x:c r="C168" s="52" t="str">
        <x:v>OpenAI API Deprecations</x:v>
      </x:c>
      <x:c r="D168" s="52" t="str">
        <x:v>safety_lifecycle</x:v>
      </x:c>
      <x:c r="E168" s="52" t="str">
        <x:v>OpenAI API</x:v>
      </x:c>
      <x:c r="F168" s="52" t="str">
        <x:v>deprecation</x:v>
      </x:c>
      <x:c r="G168" s="52" t="str">
        <x:v>deprecated</x:v>
      </x:c>
      <x:c r="H168" s="63" t="str">
        <x:v>Fine-tuning training on babbage-002 and davinci-002 models</x:v>
      </x:c>
      <x:c r="I168" s="63" t="str">
        <x:v>淘汰通知：OpenAI API</x:v>
      </x:c>
      <x:c r="J168" s="63" t="str">
        <x:v>On August 29th, 2024, we notified developers fine-tuning babbage-002 and davinci-002 that new fine-tuning training runs on these models will no longer be supported starting October 28, 2024. Fine-tuned models created from these base models are not affected by this deprecation, but you will no longer be able to create new fine-tuned versions with these models.</x:v>
      </x:c>
      <x:c r="K168" s="63" t="str">
        <x:v>OpenAI 於 2024-08-29 為 OpenAI API 公布淘汰計畫；此節點依官方發布記錄整理，完整能力、適用方案與限制請見來源。</x:v>
      </x:c>
      <x:c r="L168" s="52" t="str">
        <x:v>https://platform.openai.com/docs/deprecations</x:v>
      </x:c>
      <x:c r="M168" s="52" t="str">
        <x:v>developer_deprecations</x:v>
      </x:c>
      <x:c r="N168" s="52" t="str">
        <x:v>parsed</x:v>
      </x:c>
      <x:c r="O168" s="52" t="str">
        <x:v>high</x:v>
      </x:c>
      <x:c r="P168" s="60" t="n">
        <x:v>0</x:v>
      </x:c>
      <x:c r="Q168" s="52" t="str"/>
    </x:row>
    <x:row r="169" ht="38" customHeight="1">
      <x:c r="A169" s="57" t="n">
        <x:v>45533</x:v>
      </x:c>
      <x:c r="B169" s="52" t="str">
        <x:v>lane-openai-api-deprecations</x:v>
      </x:c>
      <x:c r="C169" s="52" t="str">
        <x:v>OpenAI API Deprecations</x:v>
      </x:c>
      <x:c r="D169" s="52" t="str">
        <x:v>safety_lifecycle</x:v>
      </x:c>
      <x:c r="E169" s="52" t="str">
        <x:v>Fine-tuning API</x:v>
      </x:c>
      <x:c r="F169" s="52" t="str">
        <x:v>deprecation</x:v>
      </x:c>
      <x:c r="G169" s="52" t="str">
        <x:v>deprecated</x:v>
      </x:c>
      <x:c r="H169" s="63" t="str">
        <x:v>Fine-tuning training on babbage-002 and davinci-002 models deprecation</x:v>
      </x:c>
      <x:c r="I169" s="63" t="str">
        <x:v>淘汰通知：Fine-tuning API</x:v>
      </x:c>
      <x:c r="J169" s="63" t="str">
        <x:v>On August 29th, 2024, we notified developers fine-tuning babbage-002 and davinci-002 that new fine-tuning training runs on these models will no longer be supported starting October 28, 2024. Fine-tuned models created from these base models are not affected by this deprecation, but you will no longer be able to create new fine-tuned versions with these models. Schedule/replacements: 2024-10-28 New fine-tuning training on babbage-002 g…</x:v>
      </x:c>
      <x:c r="K169" s="63" t="str">
        <x:v>OpenAI 於 2024-08-29 公告 Fine-tuning training on babbage-002 and davinci-002 models 的棄用或下線時程，並列出替代方案與遷移方向。</x:v>
      </x:c>
      <x:c r="L169" s="52" t="str">
        <x:v>https://developers.openai.com/api/docs/deprecations#2024-08-29-fine-tuning-training-on-babbage-002-and-davinci-002-models</x:v>
      </x:c>
      <x:c r="M169" s="52" t="str">
        <x:v>official_deprecation_registry</x:v>
      </x:c>
      <x:c r="N169" s="52" t="str">
        <x:v>complete</x:v>
      </x:c>
      <x:c r="O169" s="52" t="str">
        <x:v>high</x:v>
      </x:c>
      <x:c r="P169" s="60" t="n">
        <x:v>4</x:v>
      </x:c>
      <x:c r="Q169" s="52" t="str">
        <x:v>api | deprecation | fine-tuning-api</x:v>
      </x:c>
    </x:row>
    <x:row r="170" ht="38" customHeight="1">
      <x:c r="A170" s="57" t="n">
        <x:v>45538</x:v>
      </x:c>
      <x:c r="B170" s="52" t="str">
        <x:v>model-release-notes</x:v>
      </x:c>
      <x:c r="C170" s="52" t="str">
        <x:v>Model Release Notes</x:v>
      </x:c>
      <x:c r="D170" s="52" t="str">
        <x:v>models_reasoning</x:v>
      </x:c>
      <x:c r="E170" s="52" t="str">
        <x:v>GPT-4o</x:v>
      </x:c>
      <x:c r="F170" s="52" t="str">
        <x:v>model_update</x:v>
      </x:c>
      <x:c r="G170" s="52" t="str">
        <x:v>active</x:v>
      </x:c>
      <x:c r="H170" s="63" t="str">
        <x:v>GPT-4o file and memory update</x:v>
      </x:c>
      <x:c r="I170" s="63" t="str">
        <x:v>GPT-4o 檔案與記憶更新</x:v>
      </x:c>
      <x:c r="J170" s="63" t="str">
        <x:v>GPT-4o in ChatGPT improved its use of uploaded files and its ability to update memory with key conversation details.</x:v>
      </x:c>
      <x:c r="K170" s="63" t="str">
        <x:v>ChatGPT 中的 GPT-4o 改善了上傳檔案的運用，以及將對話關鍵內容更新至記憶的能力。</x:v>
      </x:c>
      <x:c r="L170" s="52" t="str">
        <x:v>https://help.openai.com/en/articles/9624314-model-release-notes</x:v>
      </x:c>
      <x:c r="M170" s="52" t="str">
        <x:v>help_center_release_notes</x:v>
      </x:c>
      <x:c r="N170" s="52" t="str">
        <x:v>parsed</x:v>
      </x:c>
      <x:c r="O170" s="52" t="str">
        <x:v>high</x:v>
      </x:c>
      <x:c r="P170" s="60" t="n">
        <x:v>3</x:v>
      </x:c>
      <x:c r="Q170" s="52" t="str">
        <x:v>gpt-4o | files | memory | model-update</x:v>
      </x:c>
    </x:row>
    <x:row r="171" ht="38" customHeight="1">
      <x:c r="A171" s="57" t="n">
        <x:v>45540</x:v>
      </x:c>
      <x:c r="B171" s="52" t="str">
        <x:v>lane-memory-and-new-controls-for-chatgpt</x:v>
      </x:c>
      <x:c r="C171" s="52" t="str">
        <x:v>Memory and new controls for ChatGPT</x:v>
      </x:c>
      <x:c r="D171" s="52" t="str">
        <x:v>memory_knowledge</x:v>
      </x:c>
      <x:c r="E171" s="52" t="str">
        <x:v>ChatGPT Memory</x:v>
      </x:c>
      <x:c r="F171" s="52" t="str">
        <x:v>availability</x:v>
      </x:c>
      <x:c r="G171" s="52" t="str">
        <x:v>general_availability</x:v>
      </x:c>
      <x:c r="H171" s="63" t="str">
        <x:v>Memory expands across ChatGPT plans</x:v>
      </x:c>
      <x:c r="I171" s="63" t="str">
        <x:v>記憶功能擴展至各 ChatGPT 方案</x:v>
      </x:c>
      <x:c r="J171" s="63" t="str">
        <x:v>OpenAI expanded Memory to Free, Plus, Team, and Enterprise users and added visible memory-update notices with direct access to memory management.</x:v>
      </x:c>
      <x:c r="K171" s="63" t="str">
        <x:v>OpenAI 將記憶擴展至 Free、Plus、Team 與 Enterprise，並新增可見的記憶更新提示與直接管理入口。</x:v>
      </x:c>
      <x:c r="L171" s="52" t="str">
        <x:v>https://openai.com/index/memory-and-new-controls-for-chatgpt/</x:v>
      </x:c>
      <x:c r="M171" s="52" t="str">
        <x:v>product_post_update</x:v>
      </x:c>
      <x:c r="N171" s="52" t="str">
        <x:v>complete</x:v>
      </x:c>
      <x:c r="O171" s="52" t="str">
        <x:v>high</x:v>
      </x:c>
      <x:c r="P171" s="60" t="n">
        <x:v>5</x:v>
      </x:c>
      <x:c r="Q171" s="52" t="str">
        <x:v>chatgpt | memory | free | enterprise</x:v>
      </x:c>
    </x:row>
    <x:row r="172" ht="38" customHeight="1">
      <x:c r="A172" s="57" t="n">
        <x:v>45547</x:v>
      </x:c>
      <x:c r="B172" s="52" t="str">
        <x:v>lane-introducing-openai-o1-preview</x:v>
      </x:c>
      <x:c r="C172" s="52" t="str">
        <x:v>Introducing OpenAI o1-preview</x:v>
      </x:c>
      <x:c r="D172" s="52" t="str">
        <x:v>models_reasoning</x:v>
      </x:c>
      <x:c r="E172" s="52" t="str">
        <x:v>OpenAI o1-mini</x:v>
      </x:c>
      <x:c r="F172" s="52" t="str">
        <x:v>model_release</x:v>
      </x:c>
      <x:c r="G172" s="52" t="str">
        <x:v>research_preview</x:v>
      </x:c>
      <x:c r="H172" s="63" t="str">
        <x:v>Introducing OpenAI o1-mini</x:v>
      </x:c>
      <x:c r="I172" s="63" t="str">
        <x:v>推出 OpenAI o1-mini</x:v>
      </x:c>
      <x:c r="J172" s="63" t="str">
        <x:v>OpenAI released o1-mini as a faster, cheaper reasoning model focused especially on coding, initially available alongside o1-preview to ChatGPT Plus and Team users.</x:v>
      </x:c>
      <x:c r="K172" s="63" t="str">
        <x:v>OpenAI 發布速度更快、成本更低且特別聚焦程式工作的推理模型 o1-mini，首波與 o1-preview 一同向 ChatGPT Plus 與 Team 開放。</x:v>
      </x:c>
      <x:c r="L172" s="52" t="str">
        <x:v>https://openai.com/index/introducing-openai-o1-preview/</x:v>
      </x:c>
      <x:c r="M172" s="52" t="str">
        <x:v>model_release_post</x:v>
      </x:c>
      <x:c r="N172" s="52" t="str">
        <x:v>complete</x:v>
      </x:c>
      <x:c r="O172" s="52" t="str">
        <x:v>high</x:v>
      </x:c>
      <x:c r="P172" s="60" t="n">
        <x:v>5</x:v>
      </x:c>
      <x:c r="Q172" s="52" t="str">
        <x:v>o1-mini | reasoning | coding | small-model</x:v>
      </x:c>
    </x:row>
    <x:row r="173" ht="38" customHeight="1">
      <x:c r="A173" s="57" t="n">
        <x:v>45547</x:v>
      </x:c>
      <x:c r="B173" s="52" t="str">
        <x:v>lane-introducing-openai-o1-preview</x:v>
      </x:c>
      <x:c r="C173" s="52" t="str">
        <x:v>Introducing OpenAI o1-preview</x:v>
      </x:c>
      <x:c r="D173" s="52" t="str">
        <x:v>models_reasoning</x:v>
      </x:c>
      <x:c r="E173" s="52" t="str">
        <x:v>OpenAI o1-preview</x:v>
      </x:c>
      <x:c r="F173" s="52" t="str">
        <x:v>model_release</x:v>
      </x:c>
      <x:c r="G173" s="52" t="str">
        <x:v>research_preview</x:v>
      </x:c>
      <x:c r="H173" s="63" t="str">
        <x:v>Introducing OpenAI o1-preview</x:v>
      </x:c>
      <x:c r="I173" s="63" t="str">
        <x:v>推出 OpenAI o1-preview</x:v>
      </x:c>
      <x:c r="J173" s="63" t="str">
        <x:v>OpenAI released the first preview of its reasoning model series in ChatGPT and the API, designed to spend more time thinking through difficult science, coding, and math problems.</x:v>
      </x:c>
      <x:c r="K173" s="63" t="str">
        <x:v>OpenAI 在 ChatGPT 與 API 發布首個推理模型系列預覽，設計上會花更多時間思考困難的科學、程式與數學問題。</x:v>
      </x:c>
      <x:c r="L173" s="52" t="str">
        <x:v>https://openai.com/index/introducing-openai-o1-preview/</x:v>
      </x:c>
      <x:c r="M173" s="52" t="str">
        <x:v>model_release_post</x:v>
      </x:c>
      <x:c r="N173" s="52" t="str">
        <x:v>complete</x:v>
      </x:c>
      <x:c r="O173" s="52" t="str">
        <x:v>high</x:v>
      </x:c>
      <x:c r="P173" s="60" t="n">
        <x:v>5</x:v>
      </x:c>
      <x:c r="Q173" s="52" t="str">
        <x:v>o1-preview | reasoning | chatgpt | model-release</x:v>
      </x:c>
    </x:row>
    <x:row r="174" ht="38" customHeight="1">
      <x:c r="A174" s="57" t="n">
        <x:v>45547</x:v>
      </x:c>
      <x:c r="B174" s="52" t="str">
        <x:v>api-changelog</x:v>
      </x:c>
      <x:c r="C174" s="52" t="str">
        <x:v>OpenAI API Changelog</x:v>
      </x:c>
      <x:c r="D174" s="52" t="str">
        <x:v>models_reasoning</x:v>
      </x:c>
      <x:c r="E174" s="52" t="str">
        <x:v>o1</x:v>
      </x:c>
      <x:c r="F174" s="52" t="str">
        <x:v>model_release</x:v>
      </x:c>
      <x:c r="G174" s="52" t="str">
        <x:v>research_preview</x:v>
      </x:c>
      <x:c r="H174" s="63" t="str">
        <x:v>Released o1-preview and o1-mini</x:v>
      </x:c>
      <x:c r="I174" s="63" t="str">
        <x:v>發布o1-preview and o1-mini</x:v>
      </x:c>
      <x:c r="J174" s="63" t="str">
        <x:v>v1/chat/completions Released o1-preview and o1-mini, new large language models trained with reinforcement learning to perform complex reasoning tasks.</x:v>
      </x:c>
      <x:c r="K174" s="63" t="str">
        <x:v>OpenAI 於 2024-09-12 為 o1 發布模型；此節點依官方發布記錄整理，完整能力、適用方案與限制請見來源。</x:v>
      </x:c>
      <x:c r="L174" s="52" t="str">
        <x:v>https://platform.openai.com/docs/changelog</x:v>
      </x:c>
      <x:c r="M174" s="52" t="str">
        <x:v>developer_changelog</x:v>
      </x:c>
      <x:c r="N174" s="52" t="str">
        <x:v>parsed</x:v>
      </x:c>
      <x:c r="O174" s="52" t="str">
        <x:v>high</x:v>
      </x:c>
      <x:c r="P174" s="60" t="n">
        <x:v>0</x:v>
      </x:c>
      <x:c r="Q174" s="52" t="str"/>
    </x:row>
    <x:row r="175" ht="38" customHeight="1">
      <x:c r="A175" s="57" t="n">
        <x:v>45547</x:v>
      </x:c>
      <x:c r="B175" s="52" t="str">
        <x:v>lane-openai-api-changelog</x:v>
      </x:c>
      <x:c r="C175" s="52" t="str">
        <x:v>OpenAI API Changelog</x:v>
      </x:c>
      <x:c r="D175" s="52" t="str">
        <x:v>models_reasoning</x:v>
      </x:c>
      <x:c r="E175" s="52" t="str">
        <x:v>Model Platform</x:v>
      </x:c>
      <x:c r="F175" s="52" t="str">
        <x:v>model_release</x:v>
      </x:c>
      <x:c r="G175" s="52" t="str">
        <x:v>research_preview</x:v>
      </x:c>
      <x:c r="H175" s="63" t="str">
        <x:v>Released o1-preview and o1-mini</x:v>
      </x:c>
      <x:c r="I175" s="63" t="str">
        <x:v>API 推出 o1‑preview 與 o1‑mini 推理模型</x:v>
      </x:c>
      <x:c r="J175" s="63" t="str">
        <x:v>Released o1-preview and o1-mini , new large language models trained with reinforcement learning to perform complex reasoning tasks.</x:v>
      </x:c>
      <x:c r="K175" s="63" t="str">
        <x:v>API 推出 o1‑preview 與 o1‑mini 推理模型。OpenAI 將此列為 2024-09-12 的功能；重點涉及平台功能與可用性，模型、端點與參數名稱依官方英文保留。</x:v>
      </x:c>
      <x:c r="L175" s="52" t="str">
        <x:v>https://developers.openai.com/api/docs/changelog</x:v>
      </x:c>
      <x:c r="M175" s="52" t="str">
        <x:v>official_changelog</x:v>
      </x:c>
      <x:c r="N175" s="52" t="str">
        <x:v>complete</x:v>
      </x:c>
      <x:c r="O175" s="52" t="str">
        <x:v>high</x:v>
      </x:c>
      <x:c r="P175" s="60" t="n">
        <x:v>3</x:v>
      </x:c>
      <x:c r="Q175" s="52" t="str">
        <x:v>api | feature | models</x:v>
      </x:c>
    </x:row>
    <x:row r="176" ht="38" customHeight="1">
      <x:c r="A176" s="57" t="n">
        <x:v>45551</x:v>
      </x:c>
      <x:c r="B176" s="52" t="str">
        <x:v>lane-an-update-on-our-safety-security-practices</x:v>
      </x:c>
      <x:c r="C176" s="52" t="str">
        <x:v>An update on our safety &amp; security practices</x:v>
      </x:c>
      <x:c r="D176" s="52" t="str">
        <x:v>safety_lifecycle</x:v>
      </x:c>
      <x:c r="E176" s="52" t="str">
        <x:v>Safety Governance</x:v>
      </x:c>
      <x:c r="F176" s="52" t="str">
        <x:v>safety</x:v>
      </x:c>
      <x:c r="G176" s="52" t="str">
        <x:v>active</x:v>
      </x:c>
      <x:c r="H176" s="63" t="str">
        <x:v>Independent Safety and Security Committee oversight</x:v>
      </x:c>
      <x:c r="I176" s="63" t="str">
        <x:v>獨立安全與資安委員會監督</x:v>
      </x:c>
      <x:c r="J176" s="63" t="str">
        <x:v>OpenAI said its Safety and Security Committee would become an independent Board oversight committee with authority over model-development and deployment safeguards.</x:v>
      </x:c>
      <x:c r="K176" s="63" t="str">
        <x:v>OpenAI 宣布 Safety and Security Committee 成為獨立董事會監督委員會，監督模型開發與部署安全措施。</x:v>
      </x:c>
      <x:c r="L176" s="52" t="str">
        <x:v>https://openai.com/index/update-on-safety-and-security-practices/</x:v>
      </x:c>
      <x:c r="M176" s="52" t="str">
        <x:v>official_safety_post</x:v>
      </x:c>
      <x:c r="N176" s="52" t="str">
        <x:v>parsed</x:v>
      </x:c>
      <x:c r="O176" s="52" t="str">
        <x:v>high</x:v>
      </x:c>
      <x:c r="P176" s="60" t="n">
        <x:v>4</x:v>
      </x:c>
      <x:c r="Q176" s="52" t="str">
        <x:v>governance | safety</x:v>
      </x:c>
    </x:row>
    <x:row r="177" ht="38" customHeight="1">
      <x:c r="A177" s="57" t="n">
        <x:v>45552</x:v>
      </x:c>
      <x:c r="B177" s="52" t="str">
        <x:v>lane-introducing-openai-o1-preview</x:v>
      </x:c>
      <x:c r="C177" s="52" t="str">
        <x:v>Introducing OpenAI o1-preview</x:v>
      </x:c>
      <x:c r="D177" s="52" t="str">
        <x:v>models_reasoning</x:v>
      </x:c>
      <x:c r="E177" s="52" t="str">
        <x:v>OpenAI o1 in ChatGPT</x:v>
      </x:c>
      <x:c r="F177" s="52" t="str">
        <x:v>pricing_quota</x:v>
      </x:c>
      <x:c r="G177" s="52" t="str">
        <x:v>research_preview</x:v>
      </x:c>
      <x:c r="H177" s="63" t="str">
        <x:v>o1-preview and o1-mini rate limits increased</x:v>
      </x:c>
      <x:c r="I177" s="63" t="str">
        <x:v>提高 o1-preview 與 o1-mini 使用上限</x:v>
      </x:c>
      <x:c r="J177" s="63" t="str">
        <x:v>OpenAI raised ChatGPT limits to 50 o1-preview queries per week and 50 o1-mini queries per day.</x:v>
      </x:c>
      <x:c r="K177" s="63" t="str">
        <x:v>OpenAI 將 ChatGPT 額度提高至 o1-preview 每週 50 次、o1-mini 每日 50 次。</x:v>
      </x:c>
      <x:c r="L177" s="52" t="str">
        <x:v>https://openai.com/index/introducing-openai-o1-preview/</x:v>
      </x:c>
      <x:c r="M177" s="52" t="str">
        <x:v>launch_post_update</x:v>
      </x:c>
      <x:c r="N177" s="52" t="str">
        <x:v>complete</x:v>
      </x:c>
      <x:c r="O177" s="52" t="str">
        <x:v>high</x:v>
      </x:c>
      <x:c r="P177" s="60" t="n">
        <x:v>3</x:v>
      </x:c>
      <x:c r="Q177" s="52" t="str">
        <x:v>o1-preview | o1-mini | rate-limit | chatgpt</x:v>
      </x:c>
    </x:row>
    <x:row r="178" ht="38" customHeight="1">
      <x:c r="A178" s="57" t="n">
        <x:v>45559</x:v>
      </x:c>
      <x:c r="B178" s="52" t="str">
        <x:v>model-release-notes</x:v>
      </x:c>
      <x:c r="C178" s="52" t="str">
        <x:v>Model Release Notes</x:v>
      </x:c>
      <x:c r="D178" s="52" t="str">
        <x:v>multimodal</x:v>
      </x:c>
      <x:c r="E178" s="52" t="str">
        <x:v>Advanced Voice Mode</x:v>
      </x:c>
      <x:c r="F178" s="52" t="str">
        <x:v>feature</x:v>
      </x:c>
      <x:c r="G178" s="52" t="str">
        <x:v>active</x:v>
      </x:c>
      <x:c r="H178" s="63" t="str">
        <x:v>Advanced Voice Mode</x:v>
      </x:c>
      <x:c r="I178" s="63" t="str">
        <x:v>功能更新：Advanced Voice Mode</x:v>
      </x:c>
      <x:c r="J178" s="63" t="str">
        <x:v>OpenAI began rolling GPT-4o-native Advanced Voice to Plus and Team users with low-latency conversation, nonverbal-cue awareness, and emotional expressiveness.</x:v>
      </x:c>
      <x:c r="K178" s="63" t="str">
        <x:v>OpenAI 開始向 Plus 與 Team 推出 GPT-4o 原生的 Advanced Voice，具低延遲對話、非語言線索感知與情緒表達。</x:v>
      </x:c>
      <x:c r="L178" s="52" t="str">
        <x:v>https://help.openai.com/en/articles/9624314-model-release-notes</x:v>
      </x:c>
      <x:c r="M178" s="52" t="str">
        <x:v>help_center_release_notes</x:v>
      </x:c>
      <x:c r="N178" s="52" t="str">
        <x:v>parsed</x:v>
      </x:c>
      <x:c r="O178" s="52" t="str">
        <x:v>high</x:v>
      </x:c>
      <x:c r="P178" s="60" t="n">
        <x:v>5</x:v>
      </x:c>
      <x:c r="Q178" s="52" t="str">
        <x:v>chatgpt | advanced-voice | gpt-4o | audio</x:v>
      </x:c>
    </x:row>
    <x:row r="179" ht="38" customHeight="1">
      <x:c r="A179" s="57" t="n">
        <x:v>45561</x:v>
      </x:c>
      <x:c r="B179" s="52" t="str">
        <x:v>api-changelog</x:v>
      </x:c>
      <x:c r="C179" s="52" t="str">
        <x:v>OpenAI API Changelog</x:v>
      </x:c>
      <x:c r="D179" s="52" t="str">
        <x:v>safety_lifecycle</x:v>
      </x:c>
      <x:c r="E179" s="52" t="str">
        <x:v>ChatGPT Images</x:v>
      </x:c>
      <x:c r="F179" s="52" t="str">
        <x:v>safety</x:v>
      </x:c>
      <x:c r="G179" s="52" t="str">
        <x:v>active</x:v>
      </x:c>
      <x:c r="H179" s="63" t="str">
        <x:v>omni-moderation-latest</x:v>
      </x:c>
      <x:c r="I179" s="63" t="str">
        <x:v>安全更新：omni-moderation-latest</x:v>
      </x:c>
      <x:c r="J179" s="63" t="str">
        <x:v>omni-moderation-latest Released new omni-moderation-latest moderation model, which supports both images and text (for some categories), supports two new text-only harm categories, and has more accurate scores.</x:v>
      </x:c>
      <x:c r="K179" s="63" t="str">
        <x:v>OpenAI 於 2024-09-26 為 ChatGPT Images 更新安全與治理機制；此節點依官方發布記錄整理，完整能力、適用方案與限制請見來源。</x:v>
      </x:c>
      <x:c r="L179" s="52" t="str">
        <x:v>https://platform.openai.com/docs/changelog</x:v>
      </x:c>
      <x:c r="M179" s="52" t="str">
        <x:v>developer_changelog</x:v>
      </x:c>
      <x:c r="N179" s="52" t="str">
        <x:v>parsed</x:v>
      </x:c>
      <x:c r="O179" s="52" t="str">
        <x:v>high</x:v>
      </x:c>
      <x:c r="P179" s="60" t="n">
        <x:v>0</x:v>
      </x:c>
      <x:c r="Q179" s="52" t="str"/>
    </x:row>
    <x:row r="180" ht="38" customHeight="1">
      <x:c r="A180" s="57" t="n">
        <x:v>45561</x:v>
      </x:c>
      <x:c r="B180" s="52" t="str">
        <x:v>lane-openai-api-changelog</x:v>
      </x:c>
      <x:c r="C180" s="52" t="str">
        <x:v>OpenAI API Changelog</x:v>
      </x:c>
      <x:c r="D180" s="52" t="str">
        <x:v>safety_lifecycle</x:v>
      </x:c>
      <x:c r="E180" s="52" t="str">
        <x:v>Safety &amp; Security</x:v>
      </x:c>
      <x:c r="F180" s="52" t="str">
        <x:v>model_release</x:v>
      </x:c>
      <x:c r="G180" s="52" t="str">
        <x:v>active</x:v>
      </x:c>
      <x:c r="H180" s="63" t="str">
        <x:v>Released new omni-moderation-latest moderation model</x:v>
      </x:c>
      <x:c r="I180" s="63" t="str">
        <x:v>推出 omni‑moderation‑latest 多模態審核模型</x:v>
      </x:c>
      <x:c r="J180" s="63" t="str">
        <x:v>Released new omni-moderation-latest moderation model , which supports both images and text (for some categories), supports two new text-only harm categories, and has more accurate scores.</x:v>
      </x:c>
      <x:c r="K180" s="63" t="str">
        <x:v>推出 omni‑moderation‑latest 多模態審核模型。OpenAI 將此列為 2024-09-26 的功能；重點涉及安全與治理、圖像與影片，模型、端點與參數名稱依官方英文保留。</x:v>
      </x:c>
      <x:c r="L180" s="52" t="str">
        <x:v>https://developers.openai.com/api/docs/changelog</x:v>
      </x:c>
      <x:c r="M180" s="52" t="str">
        <x:v>official_changelog</x:v>
      </x:c>
      <x:c r="N180" s="52" t="str">
        <x:v>complete</x:v>
      </x:c>
      <x:c r="O180" s="52" t="str">
        <x:v>high</x:v>
      </x:c>
      <x:c r="P180" s="60" t="n">
        <x:v>3</x:v>
      </x:c>
      <x:c r="Q180" s="52" t="str">
        <x:v>feature | safety | security</x:v>
      </x:c>
    </x:row>
    <x:row r="181" ht="38" customHeight="1">
      <x:c r="A181" s="57" t="n">
        <x:v>45566</x:v>
      </x:c>
      <x:c r="B181" s="52" t="str">
        <x:v>api-changelog</x:v>
      </x:c>
      <x:c r="C181" s="52" t="str">
        <x:v>OpenAI API Changelog</x:v>
      </x:c>
      <x:c r="D181" s="52" t="str">
        <x:v>developer_platform</x:v>
      </x:c>
      <x:c r="E181" s="52" t="str">
        <x:v>OpenAI API</x:v>
      </x:c>
      <x:c r="F181" s="52" t="str">
        <x:v>launch</x:v>
      </x:c>
      <x:c r="G181" s="52" t="str">
        <x:v>active</x:v>
      </x:c>
      <x:c r="H181" s="63" t="str">
        <x:v>Released several new features at OpenAI DevDay in San Francisco</x:v>
      </x:c>
      <x:c r="I181" s="63" t="str">
        <x:v>推出：OpenAI API</x:v>
      </x:c>
      <x:c r="J181" s="63" t="str">
        <x:v>v1/chat/completions Released several new features at OpenAI DevDay in San Francisco:</x:v>
      </x:c>
      <x:c r="K181" s="63" t="str">
        <x:v>OpenAI 於 2024-10-01 為 OpenAI API 推出新產品或能力；此節點依官方發布記錄整理，完整能力、適用方案與限制請見來源。</x:v>
      </x:c>
      <x:c r="L181" s="52" t="str">
        <x:v>https://platform.openai.com/docs/changelog</x:v>
      </x:c>
      <x:c r="M181" s="52" t="str">
        <x:v>developer_changelog</x:v>
      </x:c>
      <x:c r="N181" s="52" t="str">
        <x:v>parsed</x:v>
      </x:c>
      <x:c r="O181" s="52" t="str">
        <x:v>high</x:v>
      </x:c>
      <x:c r="P181" s="60" t="n">
        <x:v>0</x:v>
      </x:c>
      <x:c r="Q181" s="52" t="str"/>
    </x:row>
    <x:row r="182" ht="38" customHeight="1">
      <x:c r="A182" s="57" t="n">
        <x:v>45566</x:v>
      </x:c>
      <x:c r="B182" s="52" t="str">
        <x:v>lane-openai-api-changelog</x:v>
      </x:c>
      <x:c r="C182" s="52" t="str">
        <x:v>OpenAI API Changelog</x:v>
      </x:c>
      <x:c r="D182" s="52" t="str">
        <x:v>multimodal</x:v>
      </x:c>
      <x:c r="E182" s="52" t="str">
        <x:v>Realtime &amp; Audio API</x:v>
      </x:c>
      <x:c r="F182" s="52" t="str">
        <x:v>model_release</x:v>
      </x:c>
      <x:c r="G182" s="52" t="str">
        <x:v>active</x:v>
      </x:c>
      <x:c r="H182" s="63" t="str">
        <x:v>Released several new features at OpenAI DevDay in San Francisco</x:v>
      </x:c>
      <x:c r="I182" s="63" t="str">
        <x:v>OpenAI DevDay API 與代理平台更新</x:v>
      </x:c>
      <x:c r="J182" s="63" t="str">
        <x:v>Released several new features at OpenAI DevDay in San Francisco : Realtime API : Build fast speech-to-speech experiences into your applications using a WebSockets interface. Model distillation : Platform for fine-tuning cost-efficient models with your outputs from a large frontier model. Image fine-tuning : Fine-tune GPT-4o with images and text to improve vision capabilities. Evals : Create and run custom evaluations to measure model…</x:v>
      </x:c>
      <x:c r="K182" s="63" t="str">
        <x:v>OpenAI DevDay API 與代理平台更新。OpenAI 將此列為 2024-10-01 的功能；重點涉及即時語音與音訊、圖像與影片、模型微調，模型、端點與參數名稱依官方英文保留。</x:v>
      </x:c>
      <x:c r="L182" s="52" t="str">
        <x:v>https://developers.openai.com/api/docs/changelog</x:v>
      </x:c>
      <x:c r="M182" s="52" t="str">
        <x:v>official_changelog</x:v>
      </x:c>
      <x:c r="N182" s="52" t="str">
        <x:v>complete</x:v>
      </x:c>
      <x:c r="O182" s="52" t="str">
        <x:v>high</x:v>
      </x:c>
      <x:c r="P182" s="60" t="n">
        <x:v>3</x:v>
      </x:c>
      <x:c r="Q182" s="52" t="str">
        <x:v>audio | feature | realtime</x:v>
      </x:c>
    </x:row>
    <x:row r="183" ht="38" customHeight="1">
      <x:c r="A183" s="57" t="n">
        <x:v>45567</x:v>
      </x:c>
      <x:c r="B183" s="52" t="str">
        <x:v>api-deprecations</x:v>
      </x:c>
      <x:c r="C183" s="52" t="str">
        <x:v>OpenAI API Deprecations</x:v>
      </x:c>
      <x:c r="D183" s="52" t="str">
        <x:v>safety_lifecycle</x:v>
      </x:c>
      <x:c r="E183" s="52" t="str">
        <x:v>OpenAI API</x:v>
      </x:c>
      <x:c r="F183" s="52" t="str">
        <x:v>deprecation</x:v>
      </x:c>
      <x:c r="G183" s="52" t="str">
        <x:v>deprecated</x:v>
      </x:c>
      <x:c r="H183" s="63" t="str">
        <x:v>Assistants API beta v1</x:v>
      </x:c>
      <x:c r="I183" s="63" t="str">
        <x:v>淘汰通知：Assistants API beta v1</x:v>
      </x:c>
      <x:c r="J183" s="63" t="str">
        <x:v>In April 2024 when we released the v2 beta version of the Assistants API, we announced that access to the v1 beta would be shut off by the end of 2024. Access to the v1 beta will be discontinued on December 18, 2024. See the Assistants API v2 beta migration guide to learn more about how to migrate your tool usage to the latest version of the Assistants API.</x:v>
      </x:c>
      <x:c r="K183" s="63" t="str">
        <x:v>OpenAI 於 2024-10-02 為 OpenAI API 公布淘汰計畫；此節點依官方發布記錄整理，完整能力、適用方案與限制請見來源。</x:v>
      </x:c>
      <x:c r="L183" s="52" t="str">
        <x:v>https://platform.openai.com/docs/deprecations</x:v>
      </x:c>
      <x:c r="M183" s="52" t="str">
        <x:v>developer_deprecations</x:v>
      </x:c>
      <x:c r="N183" s="52" t="str">
        <x:v>parsed</x:v>
      </x:c>
      <x:c r="O183" s="52" t="str">
        <x:v>high</x:v>
      </x:c>
      <x:c r="P183" s="60" t="n">
        <x:v>0</x:v>
      </x:c>
      <x:c r="Q183" s="52" t="str"/>
    </x:row>
    <x:row r="184" ht="38" customHeight="1">
      <x:c r="A184" s="57" t="n">
        <x:v>45567</x:v>
      </x:c>
      <x:c r="B184" s="52" t="str">
        <x:v>lane-openai-api-deprecations</x:v>
      </x:c>
      <x:c r="C184" s="52" t="str">
        <x:v>OpenAI API Deprecations</x:v>
      </x:c>
      <x:c r="D184" s="52" t="str">
        <x:v>safety_lifecycle</x:v>
      </x:c>
      <x:c r="E184" s="52" t="str">
        <x:v>Assistants API</x:v>
      </x:c>
      <x:c r="F184" s="52" t="str">
        <x:v>deprecation</x:v>
      </x:c>
      <x:c r="G184" s="52" t="str">
        <x:v>deprecated</x:v>
      </x:c>
      <x:c r="H184" s="63" t="str">
        <x:v>Assistants API beta v1 deprecation</x:v>
      </x:c>
      <x:c r="I184" s="63" t="str">
        <x:v>Assistants API beta v1 棄用公告</x:v>
      </x:c>
      <x:c r="J184" s="63" t="str">
        <x:v>In April 2024 when we released the v2 beta version of the Assistants API, we announced that access to the v1 beta would be shut off by the end of 2024. Access to the v1 beta will be discontinued on December 18, 2024. See the Assistants API v2 beta migration guide to learn more about how to migrate your tool usage to the latest version of the Assistants API. Schedule/replacements: 2024-12-18 OpenAI-Beta: assistants=v1 OpenAI-Beta: ass…</x:v>
      </x:c>
      <x:c r="K184" s="63" t="str">
        <x:v>OpenAI 於 2024-10-02 公告 Assistants API beta v1 的棄用或下線時程，並列出替代方案與遷移方向。</x:v>
      </x:c>
      <x:c r="L184" s="52" t="str">
        <x:v>https://developers.openai.com/api/docs/deprecations#2024-10-02-assistants-api-beta-v1</x:v>
      </x:c>
      <x:c r="M184" s="52" t="str">
        <x:v>official_deprecation_registry</x:v>
      </x:c>
      <x:c r="N184" s="52" t="str">
        <x:v>complete</x:v>
      </x:c>
      <x:c r="O184" s="52" t="str">
        <x:v>high</x:v>
      </x:c>
      <x:c r="P184" s="60" t="n">
        <x:v>5</x:v>
      </x:c>
      <x:c r="Q184" s="52" t="str">
        <x:v>api | assistants-api | deprecation</x:v>
      </x:c>
    </x:row>
    <x:row r="185" ht="38" customHeight="1">
      <x:c r="A185" s="57" t="n">
        <x:v>45568</x:v>
      </x:c>
      <x:c r="B185" s="52" t="str">
        <x:v>lane-introducing-canvas</x:v>
      </x:c>
      <x:c r="C185" s="52" t="str">
        <x:v>Introducing canvas</x:v>
      </x:c>
      <x:c r="D185" s="52" t="str">
        <x:v>chatgpt_core</x:v>
      </x:c>
      <x:c r="E185" s="52" t="str">
        <x:v>Canvas</x:v>
      </x:c>
      <x:c r="F185" s="52" t="str">
        <x:v>feature</x:v>
      </x:c>
      <x:c r="G185" s="52" t="str">
        <x:v>beta</x:v>
      </x:c>
      <x:c r="H185" s="63" t="str">
        <x:v>Introducing canvas</x:v>
      </x:c>
      <x:c r="I185" s="63" t="str">
        <x:v>推出 Canvas</x:v>
      </x:c>
      <x:c r="J185" s="63" t="str">
        <x:v>OpenAI introduced a GPT-4o-powered collaborative workspace for writing and coding, with direct editing, inline feedback, shortcuts, and version restoration, initially for Plus and Team.</x:v>
      </x:c>
      <x:c r="K185" s="63" t="str">
        <x:v>OpenAI 推出由 GPT-4o 驅動的寫作與程式協作工作區，支援直接編輯、行內回饋、捷徑與版本還原，首波向 Plus 與 Team 開放。</x:v>
      </x:c>
      <x:c r="L185" s="52" t="str">
        <x:v>https://openai.com/index/introducing-canvas/</x:v>
      </x:c>
      <x:c r="M185" s="52" t="str">
        <x:v>launch_post</x:v>
      </x:c>
      <x:c r="N185" s="52" t="str">
        <x:v>complete</x:v>
      </x:c>
      <x:c r="O185" s="52" t="str">
        <x:v>high</x:v>
      </x:c>
      <x:c r="P185" s="60" t="n">
        <x:v>5</x:v>
      </x:c>
      <x:c r="Q185" s="52" t="str">
        <x:v>chatgpt | canvas | writing | coding</x:v>
      </x:c>
    </x:row>
    <x:row r="186" ht="38" customHeight="1">
      <x:c r="A186" s="57" t="n">
        <x:v>45582</x:v>
      </x:c>
      <x:c r="B186" s="52" t="str">
        <x:v>windows-release-notes</x:v>
      </x:c>
      <x:c r="C186" s="52" t="str">
        <x:v>Windows App — Release Notes</x:v>
      </x:c>
      <x:c r="D186" s="52" t="str">
        <x:v>clients_surfaces</x:v>
      </x:c>
      <x:c r="E186" s="52" t="str">
        <x:v>ChatGPT Windows</x:v>
      </x:c>
      <x:c r="F186" s="52" t="str">
        <x:v>platform</x:v>
      </x:c>
      <x:c r="G186" s="52" t="str">
        <x:v>research_preview</x:v>
      </x:c>
      <x:c r="H186" s="63" t="str">
        <x:v>Early ChatGPT app for Windows</x:v>
      </x:c>
      <x:c r="I186" s="63" t="str">
        <x:v>ChatGPT Windows App 搶先版</x:v>
      </x:c>
      <x:c r="J186" s="63" t="str">
        <x:v>OpenAI released an early Windows app to Plus, Team, Enterprise, and Edu users with an Alt-Space companion window.</x:v>
      </x:c>
      <x:c r="K186" s="63" t="str">
        <x:v>OpenAI 向 Plus、Team、Enterprise 與 Edu 推出 Windows App 搶先版，包含 Alt-Space Companion Window。</x:v>
      </x:c>
      <x:c r="L186" s="52" t="str">
        <x:v>https://help.openai.com/en/articles/10003026-windows-app-release-notes</x:v>
      </x:c>
      <x:c r="M186" s="52" t="str">
        <x:v>help_center_release_notes</x:v>
      </x:c>
      <x:c r="N186" s="52" t="str">
        <x:v>parsed</x:v>
      </x:c>
      <x:c r="O186" s="52" t="str">
        <x:v>high</x:v>
      </x:c>
      <x:c r="P186" s="60" t="n">
        <x:v>5</x:v>
      </x:c>
      <x:c r="Q186" s="52" t="str">
        <x:v>chatgpt | windows | desktop | early-access</x:v>
      </x:c>
    </x:row>
    <x:row r="187" ht="38" customHeight="1">
      <x:c r="A187" s="57" t="n">
        <x:v>45582</x:v>
      </x:c>
      <x:c r="B187" s="52" t="str">
        <x:v>windows-release-notes</x:v>
      </x:c>
      <x:c r="C187" s="52" t="str">
        <x:v>Windows App — Release Notes</x:v>
      </x:c>
      <x:c r="D187" s="52" t="str">
        <x:v>clients_surfaces</x:v>
      </x:c>
      <x:c r="E187" s="52" t="str">
        <x:v>ChatGPT Windows</x:v>
      </x:c>
      <x:c r="F187" s="52" t="str">
        <x:v>launch</x:v>
      </x:c>
      <x:c r="G187" s="52" t="str">
        <x:v>research_preview</x:v>
      </x:c>
      <x:c r="H187" s="63" t="str">
        <x:v>Early ChatGPT Windows app</x:v>
      </x:c>
      <x:c r="I187" s="63" t="str">
        <x:v>ChatGPT Windows App 早期版本</x:v>
      </x:c>
      <x:c r="J187" s="63" t="str">
        <x:v>OpenAI released an early Windows app for Plus, Team, Enterprise and Edu, including an Alt+Space companion window.</x:v>
      </x:c>
      <x:c r="K187" s="63" t="str">
        <x:v>OpenAI 向 Plus、Team、Enterprise 與 Edu 推出 Windows App 早期版本，包含 Alt+Space 伴隨視窗。</x:v>
      </x:c>
      <x:c r="L187" s="52" t="str">
        <x:v>https://help.openai.com/en/articles/10003026-windows-app-release-notes</x:v>
      </x:c>
      <x:c r="M187" s="52" t="str">
        <x:v>help_center_release_notes</x:v>
      </x:c>
      <x:c r="N187" s="52" t="str">
        <x:v>parsed</x:v>
      </x:c>
      <x:c r="O187" s="52" t="str">
        <x:v>high</x:v>
      </x:c>
      <x:c r="P187" s="60" t="n">
        <x:v>5</x:v>
      </x:c>
      <x:c r="Q187" s="52" t="str">
        <x:v>desktop | windows</x:v>
      </x:c>
    </x:row>
    <x:row r="188" ht="38" customHeight="1">
      <x:c r="A188" s="57" t="n">
        <x:v>45582</x:v>
      </x:c>
      <x:c r="B188" s="52" t="str">
        <x:v>lane-openai-api-changelog</x:v>
      </x:c>
      <x:c r="C188" s="52" t="str">
        <x:v>OpenAI API Changelog</x:v>
      </x:c>
      <x:c r="D188" s="52" t="str">
        <x:v>models_reasoning</x:v>
      </x:c>
      <x:c r="E188" s="52" t="str">
        <x:v>Model Platform</x:v>
      </x:c>
      <x:c r="F188" s="52" t="str">
        <x:v>model_release</x:v>
      </x:c>
      <x:c r="G188" s="52" t="str">
        <x:v>research_preview</x:v>
      </x:c>
      <x:c r="H188" s="63" t="str">
        <x:v>Released new gpt-4o-audio-preview model for chat completions</x:v>
      </x:c>
      <x:c r="I188" s="63" t="str">
        <x:v>模型發布：Model Platform</x:v>
      </x:c>
      <x:c r="J188" s="63" t="str">
        <x:v>Released new gpt-4o-audio-preview model for chat completions, which supports both audio inputs and outputs. Uses the same underlying model as the Realtime API .</x:v>
      </x:c>
      <x:c r="K188" s="63" t="str">
        <x:v>推出：全新 gpt-4o-audio-preview 模型 for chat completions, which supports both audio inputs and outputs。OpenAI 將此列為 2024-10-17 的功能；重點涉及即時語音與音訊，模型、端點與參數名稱依官方英文保留。</x:v>
      </x:c>
      <x:c r="L188" s="52" t="str">
        <x:v>https://developers.openai.com/api/docs/changelog</x:v>
      </x:c>
      <x:c r="M188" s="52" t="str">
        <x:v>official_changelog</x:v>
      </x:c>
      <x:c r="N188" s="52" t="str">
        <x:v>complete</x:v>
      </x:c>
      <x:c r="O188" s="52" t="str">
        <x:v>high</x:v>
      </x:c>
      <x:c r="P188" s="60" t="n">
        <x:v>3</x:v>
      </x:c>
      <x:c r="Q188" s="52" t="str">
        <x:v>api | feature | models</x:v>
      </x:c>
    </x:row>
    <x:row r="189" ht="38" customHeight="1">
      <x:c r="A189" s="57" t="n">
        <x:v>45595</x:v>
      </x:c>
      <x:c r="B189" s="52" t="str">
        <x:v>lane-openai-api-changelog</x:v>
      </x:c>
      <x:c r="C189" s="52" t="str">
        <x:v>OpenAI API Changelog</x:v>
      </x:c>
      <x:c r="D189" s="52" t="str">
        <x:v>multimodal</x:v>
      </x:c>
      <x:c r="E189" s="52" t="str">
        <x:v>Realtime &amp; Audio API</x:v>
      </x:c>
      <x:c r="F189" s="52" t="str">
        <x:v>platform</x:v>
      </x:c>
      <x:c r="G189" s="52" t="str">
        <x:v>active</x:v>
      </x:c>
      <x:c r="H189" s="63" t="str">
        <x:v>Added five new voice types in the Realtime API and Chat Completions API.</x:v>
      </x:c>
      <x:c r="I189" s="63" t="str">
        <x:v>平台更新：Realtime &amp; Audio API</x:v>
      </x:c>
      <x:c r="J189" s="63" t="str">
        <x:v>Added five new voice types in the Realtime API and Chat Completions API .</x:v>
      </x:c>
      <x:c r="K189" s="63" t="str">
        <x:v>新增：five 全新 voice types in Realtime API and Chat Completions API。OpenAI 將此列為 2024-10-30 的功能；重點涉及即時語音與音訊，模型、端點與參數名稱依官方英文保留。</x:v>
      </x:c>
      <x:c r="L189" s="52" t="str">
        <x:v>https://developers.openai.com/api/docs/changelog</x:v>
      </x:c>
      <x:c r="M189" s="52" t="str">
        <x:v>official_changelog</x:v>
      </x:c>
      <x:c r="N189" s="52" t="str">
        <x:v>complete</x:v>
      </x:c>
      <x:c r="O189" s="52" t="str">
        <x:v>high</x:v>
      </x:c>
      <x:c r="P189" s="60" t="n">
        <x:v>2</x:v>
      </x:c>
      <x:c r="Q189" s="52" t="str">
        <x:v>audio | feature | realtime</x:v>
      </x:c>
    </x:row>
    <x:row r="190" ht="38" customHeight="1">
      <x:c r="A190" s="57" t="n">
        <x:v>45595</x:v>
      </x:c>
      <x:c r="B190" s="52" t="str">
        <x:v>macos-release-notes</x:v>
      </x:c>
      <x:c r="C190" s="52" t="str">
        <x:v>ChatGPT macOS app release notes</x:v>
      </x:c>
      <x:c r="D190" s="52" t="str">
        <x:v>clients_surfaces</x:v>
      </x:c>
      <x:c r="E190" s="52" t="str">
        <x:v>ChatGPT Desktop</x:v>
      </x:c>
      <x:c r="F190" s="52" t="str">
        <x:v>feature</x:v>
      </x:c>
      <x:c r="G190" s="52" t="str">
        <x:v>active</x:v>
      </x:c>
      <x:c r="H190" s="63" t="str">
        <x:v>Advanced Voice Mode and search on desktop clients</x:v>
      </x:c>
      <x:c r="I190" s="63" t="str">
        <x:v>桌面 App 新增進階語音與搜尋</x:v>
      </x:c>
      <x:c r="J190" s="63" t="str">
        <x:v>The macOS and Windows apps added Advanced Voice Mode; Windows added chat-history search, while macOS added o1 model support, Handoff, notifications, find-in-chat, and performance improvements.</x:v>
      </x:c>
      <x:c r="K190" s="63" t="str">
        <x:v>macOS 與 Windows App 新增進階語音；Windows 加入聊天記錄搜尋，macOS 則加入 o1、Handoff、通知與效能改善。</x:v>
      </x:c>
      <x:c r="L190" s="52" t="str">
        <x:v>https://help.openai.com/en/articles/9703738-desktop-app-release-notes</x:v>
      </x:c>
      <x:c r="M190" s="52" t="str">
        <x:v>help_center_release_notes</x:v>
      </x:c>
      <x:c r="N190" s="52" t="str">
        <x:v>parsed</x:v>
      </x:c>
      <x:c r="O190" s="52" t="str">
        <x:v>high</x:v>
      </x:c>
      <x:c r="P190" s="60" t="n">
        <x:v>4</x:v>
      </x:c>
      <x:c r="Q190" s="52" t="str">
        <x:v>macos | voice | windows</x:v>
      </x:c>
    </x:row>
    <x:row r="191" ht="38" customHeight="1">
      <x:c r="A191" s="57" t="n">
        <x:v>45595</x:v>
      </x:c>
      <x:c r="B191" s="52" t="str">
        <x:v>macos-release-notes</x:v>
      </x:c>
      <x:c r="C191" s="52" t="str">
        <x:v>ChatGPT macOS app release notes</x:v>
      </x:c>
      <x:c r="D191" s="52" t="str">
        <x:v>multimodal</x:v>
      </x:c>
      <x:c r="E191" s="52" t="str">
        <x:v>Advanced Voice on macOS</x:v>
      </x:c>
      <x:c r="F191" s="52" t="str">
        <x:v>availability</x:v>
      </x:c>
      <x:c r="G191" s="52" t="str">
        <x:v>general_availability</x:v>
      </x:c>
      <x:c r="H191" s="63" t="str">
        <x:v>Advanced Voice on macOS</x:v>
      </x:c>
      <x:c r="I191" s="63" t="str">
        <x:v>Advanced Voice 登陸 macOS</x:v>
      </x:c>
      <x:c r="J191" s="63" t="str">
        <x:v>The macOS app added Advanced Voice Mode for real-time, interruptible, emotionally expressive desktop conversations.</x:v>
      </x:c>
      <x:c r="K191" s="63" t="str">
        <x:v>macOS App 新增 Advanced Voice Mode，提供即時、可打斷且具情緒表達的桌面對話。</x:v>
      </x:c>
      <x:c r="L191" s="52" t="str">
        <x:v>https://help.openai.com/en/articles/9703738-desktop-app-release-notes</x:v>
      </x:c>
      <x:c r="M191" s="52" t="str">
        <x:v>help_center_release_notes</x:v>
      </x:c>
      <x:c r="N191" s="52" t="str">
        <x:v>parsed</x:v>
      </x:c>
      <x:c r="O191" s="52" t="str">
        <x:v>high</x:v>
      </x:c>
      <x:c r="P191" s="60" t="n">
        <x:v>3</x:v>
      </x:c>
      <x:c r="Q191" s="52" t="str">
        <x:v>chatgpt | macos | advanced-voice | desktop</x:v>
      </x:c>
    </x:row>
    <x:row r="192" ht="38" customHeight="1">
      <x:c r="A192" s="57" t="n">
        <x:v>45595</x:v>
      </x:c>
      <x:c r="B192" s="52" t="str">
        <x:v>windows-release-notes</x:v>
      </x:c>
      <x:c r="C192" s="52" t="str">
        <x:v>Windows App — Release Notes</x:v>
      </x:c>
      <x:c r="D192" s="52" t="str">
        <x:v>multimodal</x:v>
      </x:c>
      <x:c r="E192" s="52" t="str">
        <x:v>Advanced Voice on Windows</x:v>
      </x:c>
      <x:c r="F192" s="52" t="str">
        <x:v>availability</x:v>
      </x:c>
      <x:c r="G192" s="52" t="str">
        <x:v>general_availability</x:v>
      </x:c>
      <x:c r="H192" s="63" t="str">
        <x:v>Advanced Voice on Windows</x:v>
      </x:c>
      <x:c r="I192" s="63" t="str">
        <x:v>Advanced Voice 登陸 Windows</x:v>
      </x:c>
      <x:c r="J192" s="63" t="str">
        <x:v>The Windows app added hands-free Advanced Voice conversations with interruption support and emotion-aware responses.</x:v>
      </x:c>
      <x:c r="K192" s="63" t="str">
        <x:v>Windows App 新增免手持的 Advanced Voice 對話，支援打斷與情緒感知回覆。</x:v>
      </x:c>
      <x:c r="L192" s="52" t="str">
        <x:v>https://help.openai.com/en/articles/10003026-windows-app-release-notes</x:v>
      </x:c>
      <x:c r="M192" s="52" t="str">
        <x:v>help_center_release_notes</x:v>
      </x:c>
      <x:c r="N192" s="52" t="str">
        <x:v>parsed</x:v>
      </x:c>
      <x:c r="O192" s="52" t="str">
        <x:v>high</x:v>
      </x:c>
      <x:c r="P192" s="60" t="n">
        <x:v>3</x:v>
      </x:c>
      <x:c r="Q192" s="52" t="str">
        <x:v>chatgpt | windows | advanced-voice | desktop</x:v>
      </x:c>
    </x:row>
    <x:row r="193" ht="38" customHeight="1">
      <x:c r="A193" s="57" t="n">
        <x:v>45595</x:v>
      </x:c>
      <x:c r="B193" s="52" t="str">
        <x:v>windows-release-notes</x:v>
      </x:c>
      <x:c r="C193" s="52" t="str">
        <x:v>Windows App — Release Notes</x:v>
      </x:c>
      <x:c r="D193" s="52" t="str">
        <x:v>clients_surfaces</x:v>
      </x:c>
      <x:c r="E193" s="52" t="str">
        <x:v>ChatGPT Windows</x:v>
      </x:c>
      <x:c r="F193" s="52" t="str">
        <x:v>feature</x:v>
      </x:c>
      <x:c r="G193" s="52" t="str">
        <x:v>general_availability</x:v>
      </x:c>
      <x:c r="H193" s="63" t="str">
        <x:v>Conversation history search on Windows</x:v>
      </x:c>
      <x:c r="I193" s="63" t="str">
        <x:v>Windows 對話紀錄搜尋</x:v>
      </x:c>
      <x:c r="J193" s="63" t="str">
        <x:v>The Windows app added Control-K search across prior conversations.</x:v>
      </x:c>
      <x:c r="K193" s="63" t="str">
        <x:v>Windows App 新增 Control-K，可搜尋過往對話。</x:v>
      </x:c>
      <x:c r="L193" s="52" t="str">
        <x:v>https://help.openai.com/en/articles/10003026-windows-app-release-notes</x:v>
      </x:c>
      <x:c r="M193" s="52" t="str">
        <x:v>help_center_release_notes</x:v>
      </x:c>
      <x:c r="N193" s="52" t="str">
        <x:v>parsed</x:v>
      </x:c>
      <x:c r="O193" s="52" t="str">
        <x:v>high</x:v>
      </x:c>
      <x:c r="P193" s="60" t="n">
        <x:v>2</x:v>
      </x:c>
      <x:c r="Q193" s="52" t="str">
        <x:v>chatgpt | windows | history-search | desktop</x:v>
      </x:c>
    </x:row>
    <x:row r="194" ht="38" customHeight="1">
      <x:c r="A194" s="57" t="n">
        <x:v>45595</x:v>
      </x:c>
      <x:c r="B194" s="52" t="str">
        <x:v>macos-release-notes</x:v>
      </x:c>
      <x:c r="C194" s="52" t="str">
        <x:v>ChatGPT macOS app release notes</x:v>
      </x:c>
      <x:c r="D194" s="52" t="str">
        <x:v>clients_surfaces</x:v>
      </x:c>
      <x:c r="E194" s="52" t="str">
        <x:v>ChatGPT macOS</x:v>
      </x:c>
      <x:c r="F194" s="52" t="str">
        <x:v>feature</x:v>
      </x:c>
      <x:c r="G194" s="52" t="str">
        <x:v>active</x:v>
      </x:c>
      <x:c r="H194" s="63" t="str">
        <x:v>o1 models and Apple Handoff on macOS</x:v>
      </x:c>
      <x:c r="I194" s="63" t="str">
        <x:v>macOS 支援 o1 模型與 Apple Handoff</x:v>
      </x:c>
      <x:c r="J194" s="63" t="str">
        <x:v>ChatGPT macOS added o1-preview and o1-mini, Apple Handoff with iOS, draft restoration, in-conversation find, and completion notifications.</x:v>
      </x:c>
      <x:c r="K194" s="63" t="str">
        <x:v>ChatGPT macOS 新增 o1-preview、o1-mini、與 iOS 的 Apple Handoff、草稿還原、對話內搜尋及完成通知。</x:v>
      </x:c>
      <x:c r="L194" s="52" t="str">
        <x:v>https://help.openai.com/en/articles/9703738-desktop-app-release-notes</x:v>
      </x:c>
      <x:c r="M194" s="52" t="str">
        <x:v>help_center_release_notes</x:v>
      </x:c>
      <x:c r="N194" s="52" t="str">
        <x:v>parsed</x:v>
      </x:c>
      <x:c r="O194" s="52" t="str">
        <x:v>high</x:v>
      </x:c>
      <x:c r="P194" s="60" t="n">
        <x:v>3</x:v>
      </x:c>
      <x:c r="Q194" s="52" t="str">
        <x:v>chatgpt | macos | o1 | handoff</x:v>
      </x:c>
    </x:row>
    <x:row r="195" ht="38" customHeight="1">
      <x:c r="A195" s="57" t="n">
        <x:v>45596</x:v>
      </x:c>
      <x:c r="B195" s="52" t="str">
        <x:v>lane-introducing-chatgpt-search</x:v>
      </x:c>
      <x:c r="C195" s="52" t="str">
        <x:v>Introducing ChatGPT search</x:v>
      </x:c>
      <x:c r="D195" s="52" t="str">
        <x:v>search_commerce</x:v>
      </x:c>
      <x:c r="E195" s="52" t="str">
        <x:v>ChatGPT Search</x:v>
      </x:c>
      <x:c r="F195" s="52" t="str">
        <x:v>launch</x:v>
      </x:c>
      <x:c r="G195" s="52" t="str">
        <x:v>active</x:v>
      </x:c>
      <x:c r="H195" s="63" t="str">
        <x:v>Introducing ChatGPT search</x:v>
      </x:c>
      <x:c r="I195" s="63" t="str">
        <x:v>推出 ChatGPT Search</x:v>
      </x:c>
      <x:c r="J195" s="63" t="str">
        <x:v>OpenAI integrated web search into ChatGPT with automatic or manual activation, timely answers, source links, and new visual treatments for weather, stocks, sports, news, and maps.</x:v>
      </x:c>
      <x:c r="K195" s="63" t="str">
        <x:v>OpenAI 將網路搜尋整合進 ChatGPT，可自動或手動啟動，提供即時答案、來源連結，以及天氣、股票、運動、新聞與地圖的新視覺呈現。</x:v>
      </x:c>
      <x:c r="L195" s="52" t="str">
        <x:v>https://openai.com/index/introducing-chatgpt-search/</x:v>
      </x:c>
      <x:c r="M195" s="52" t="str">
        <x:v>launch_post</x:v>
      </x:c>
      <x:c r="N195" s="52" t="str">
        <x:v>complete</x:v>
      </x:c>
      <x:c r="O195" s="52" t="str">
        <x:v>high</x:v>
      </x:c>
      <x:c r="P195" s="60" t="n">
        <x:v>5</x:v>
      </x:c>
      <x:c r="Q195" s="52" t="str">
        <x:v>chatgpt | search | web | sources</x:v>
      </x:c>
    </x:row>
    <x:row r="196" ht="38" customHeight="1">
      <x:c r="A196" s="57" t="n">
        <x:v>45600</x:v>
      </x:c>
      <x:c r="B196" s="52" t="str">
        <x:v>api-changelog</x:v>
      </x:c>
      <x:c r="C196" s="52" t="str">
        <x:v>OpenAI API Changelog</x:v>
      </x:c>
      <x:c r="D196" s="52" t="str">
        <x:v>models_reasoning</x:v>
      </x:c>
      <x:c r="E196" s="52" t="str">
        <x:v>ChatGPT Enterprise &amp; Edu</x:v>
      </x:c>
      <x:c r="F196" s="52" t="str">
        <x:v>launch</x:v>
      </x:c>
      <x:c r="G196" s="52" t="str">
        <x:v>active</x:v>
      </x:c>
      <x:c r="H196" s="63" t="str">
        <x:v>Released Predicted Outputs</x:v>
      </x:c>
      <x:c r="I196" s="63" t="str">
        <x:v>發布Predicted Outputs</x:v>
      </x:c>
      <x:c r="J196" s="63" t="str">
        <x:v>v1/chat/completions Released Predicted Outputs, which greatly reduces latency for model responses where much of the response is known ahead of time. This is most common when regenerating the content of documents and code files with only minor changes.</x:v>
      </x:c>
      <x:c r="K196" s="63" t="str">
        <x:v>OpenAI 於 2024-11-04 為 ChatGPT Enterprise &amp; Edu 推出新產品或能力；此節點依官方發布記錄整理，完整能力、適用方案與限制請見來源。</x:v>
      </x:c>
      <x:c r="L196" s="52" t="str">
        <x:v>https://platform.openai.com/docs/changelog</x:v>
      </x:c>
      <x:c r="M196" s="52" t="str">
        <x:v>developer_changelog</x:v>
      </x:c>
      <x:c r="N196" s="52" t="str">
        <x:v>parsed</x:v>
      </x:c>
      <x:c r="O196" s="52" t="str">
        <x:v>high</x:v>
      </x:c>
      <x:c r="P196" s="60" t="n">
        <x:v>0</x:v>
      </x:c>
      <x:c r="Q196" s="52" t="str"/>
    </x:row>
    <x:row r="197" ht="38" customHeight="1">
      <x:c r="A197" s="57" t="n">
        <x:v>45600</x:v>
      </x:c>
      <x:c r="B197" s="52" t="str">
        <x:v>lane-openai-api-changelog</x:v>
      </x:c>
      <x:c r="C197" s="52" t="str">
        <x:v>OpenAI API Changelog</x:v>
      </x:c>
      <x:c r="D197" s="52" t="str">
        <x:v>models_reasoning</x:v>
      </x:c>
      <x:c r="E197" s="52" t="str">
        <x:v>Model Platform</x:v>
      </x:c>
      <x:c r="F197" s="52" t="str">
        <x:v>model_release</x:v>
      </x:c>
      <x:c r="G197" s="52" t="str">
        <x:v>active</x:v>
      </x:c>
      <x:c r="H197" s="63" t="str">
        <x:v>Released Predicted Outputs</x:v>
      </x:c>
      <x:c r="I197" s="63" t="str">
        <x:v>推出：Predicted Outputs , which greatly reduces latency for 模型 responses where much of response is known ahead of time.</x:v>
      </x:c>
      <x:c r="J197" s="63" t="str">
        <x:v>Released Predicted Outputs , which greatly reduces latency for model responses where much of the response is known ahead of time. This is most common when regenerating the content of documents and code files with only minor changes.</x:v>
      </x:c>
      <x:c r="K197" s="63" t="str">
        <x:v>推出：Predicted Outputs , which greatly reduces latency for 模型 responses where much of response is known ahead of time。OpenAI 將此列為 2024-11-04 的功能；重點涉及代理與工具調用，模型、端點與參數名稱依官方英文保留。</x:v>
      </x:c>
      <x:c r="L197" s="52" t="str">
        <x:v>https://developers.openai.com/api/docs/changelog</x:v>
      </x:c>
      <x:c r="M197" s="52" t="str">
        <x:v>official_changelog</x:v>
      </x:c>
      <x:c r="N197" s="52" t="str">
        <x:v>complete</x:v>
      </x:c>
      <x:c r="O197" s="52" t="str">
        <x:v>high</x:v>
      </x:c>
      <x:c r="P197" s="60" t="n">
        <x:v>3</x:v>
      </x:c>
      <x:c r="Q197" s="52" t="str">
        <x:v>api | feature | models</x:v>
      </x:c>
    </x:row>
    <x:row r="198" ht="38" customHeight="1">
      <x:c r="A198" s="57" t="n">
        <x:v>45601</x:v>
      </x:c>
      <x:c r="B198" s="52" t="str">
        <x:v>model-release-notes</x:v>
      </x:c>
      <x:c r="C198" s="52" t="str">
        <x:v>Model Release Notes</x:v>
      </x:c>
      <x:c r="D198" s="52" t="str">
        <x:v>models_reasoning</x:v>
      </x:c>
      <x:c r="E198" s="52" t="str">
        <x:v>GPT-4o mini</x:v>
      </x:c>
      <x:c r="F198" s="52" t="str">
        <x:v>model_update</x:v>
      </x:c>
      <x:c r="G198" s="52" t="str">
        <x:v>active</x:v>
      </x:c>
      <x:c r="H198" s="63" t="str">
        <x:v>GPT-4o mini update in ChatGPT</x:v>
      </x:c>
      <x:c r="I198" s="63" t="str">
        <x:v>ChatGPT 中的 GPT-4o mini 更新</x:v>
      </x:c>
      <x:c r="J198" s="63" t="str">
        <x:v>OpenAI updated GPT-4o mini for Free, Plus, Team, and logged-out ChatGPT users.</x:v>
      </x:c>
      <x:c r="K198" s="63" t="str">
        <x:v>OpenAI 更新供 Free、Plus、Team 與未登入 ChatGPT 使用者使用的 GPT-4o mini。</x:v>
      </x:c>
      <x:c r="L198" s="52" t="str">
        <x:v>https://help.openai.com/en/articles/9624314-model-release-notes</x:v>
      </x:c>
      <x:c r="M198" s="52" t="str">
        <x:v>help_center_release_notes</x:v>
      </x:c>
      <x:c r="N198" s="52" t="str">
        <x:v>parsed</x:v>
      </x:c>
      <x:c r="O198" s="52" t="str">
        <x:v>high</x:v>
      </x:c>
      <x:c r="P198" s="60" t="n">
        <x:v>2</x:v>
      </x:c>
      <x:c r="Q198" s="52" t="str">
        <x:v>gpt-4o-mini | chatgpt | model-update | free</x:v>
      </x:c>
    </x:row>
    <x:row r="199" ht="38" customHeight="1">
      <x:c r="A199" s="57" t="n">
        <x:v>45603</x:v>
      </x:c>
      <x:c r="B199" s="52" t="str">
        <x:v>windows-release-notes</x:v>
      </x:c>
      <x:c r="C199" s="52" t="str">
        <x:v>Windows App — Release Notes</x:v>
      </x:c>
      <x:c r="D199" s="52" t="str">
        <x:v>clients_surfaces</x:v>
      </x:c>
      <x:c r="E199" s="52" t="str">
        <x:v>ChatGPT Windows</x:v>
      </x:c>
      <x:c r="F199" s="52" t="str">
        <x:v>feature</x:v>
      </x:c>
      <x:c r="G199" s="52" t="str">
        <x:v>general_availability</x:v>
      </x:c>
      <x:c r="H199" s="63" t="str">
        <x:v>Take and attach photos in the Windows app</x:v>
      </x:c>
      <x:c r="I199" s="63" t="str">
        <x:v>Windows App 可拍照並附加</x:v>
      </x:c>
      <x:c r="J199" s="63" t="str">
        <x:v>ChatGPT Windows added webcam capture for attaching a photo directly to a conversation.</x:v>
      </x:c>
      <x:c r="K199" s="63" t="str">
        <x:v>ChatGPT Windows 新增網路攝影機拍照，可直接將照片附加到對話。</x:v>
      </x:c>
      <x:c r="L199" s="52" t="str">
        <x:v>https://help.openai.com/en/articles/10003026-windows-app-release-notes</x:v>
      </x:c>
      <x:c r="M199" s="52" t="str">
        <x:v>help_center_release_notes</x:v>
      </x:c>
      <x:c r="N199" s="52" t="str">
        <x:v>parsed</x:v>
      </x:c>
      <x:c r="O199" s="52" t="str">
        <x:v>high</x:v>
      </x:c>
      <x:c r="P199" s="60" t="n">
        <x:v>2</x:v>
      </x:c>
      <x:c r="Q199" s="52" t="str">
        <x:v>chatgpt | windows | camera | image-input</x:v>
      </x:c>
    </x:row>
    <x:row r="200" ht="38" customHeight="1">
      <x:c r="A200" s="57" t="n">
        <x:v>45610</x:v>
      </x:c>
      <x:c r="B200" s="52" t="str">
        <x:v>windows-release-notes</x:v>
      </x:c>
      <x:c r="C200" s="52" t="str">
        <x:v>Windows App — Release Notes</x:v>
      </x:c>
      <x:c r="D200" s="52" t="str">
        <x:v>clients_surfaces</x:v>
      </x:c>
      <x:c r="E200" s="52" t="str">
        <x:v>ChatGPT Windows</x:v>
      </x:c>
      <x:c r="F200" s="52" t="str">
        <x:v>feature</x:v>
      </x:c>
      <x:c r="G200" s="52" t="str">
        <x:v>general_availability</x:v>
      </x:c>
      <x:c r="H200" s="63" t="str">
        <x:v>Attach screenshots in the Windows app</x:v>
      </x:c>
      <x:c r="I200" s="63" t="str">
        <x:v>Windows App 可附加螢幕截圖</x:v>
      </x:c>
      <x:c r="J200" s="63" t="str">
        <x:v>ChatGPT Windows integrated the Snipping Tool to capture a window, full screen, or custom region and insert it into a chat.</x:v>
      </x:c>
      <x:c r="K200" s="63" t="str">
        <x:v>ChatGPT Windows 整合 Snipping Tool，可擷取視窗、全螢幕或自訂區域並插入聊天。</x:v>
      </x:c>
      <x:c r="L200" s="52" t="str">
        <x:v>https://help.openai.com/en/articles/10003026-windows-app-release-notes</x:v>
      </x:c>
      <x:c r="M200" s="52" t="str">
        <x:v>help_center_release_notes</x:v>
      </x:c>
      <x:c r="N200" s="52" t="str">
        <x:v>parsed</x:v>
      </x:c>
      <x:c r="O200" s="52" t="str">
        <x:v>high</x:v>
      </x:c>
      <x:c r="P200" s="60" t="n">
        <x:v>2</x:v>
      </x:c>
      <x:c r="Q200" s="52" t="str">
        <x:v>chatgpt | windows | screenshot | snipping-tool</x:v>
      </x:c>
    </x:row>
    <x:row r="201" ht="38" customHeight="1">
      <x:c r="A201" s="57" t="n">
        <x:v>45610</x:v>
      </x:c>
      <x:c r="B201" s="52" t="str">
        <x:v>macos-release-notes</x:v>
      </x:c>
      <x:c r="C201" s="52" t="str">
        <x:v>ChatGPT macOS app release notes</x:v>
      </x:c>
      <x:c r="D201" s="52" t="str">
        <x:v>clients_surfaces</x:v>
      </x:c>
      <x:c r="E201" s="52" t="str">
        <x:v>ChatGPT macOS</x:v>
      </x:c>
      <x:c r="F201" s="52" t="str">
        <x:v>feature</x:v>
      </x:c>
      <x:c r="G201" s="52" t="str">
        <x:v>general_availability</x:v>
      </x:c>
      <x:c r="H201" s="63" t="str">
        <x:v>Model picker and Temporary Chat in the macOS chat bar</x:v>
      </x:c>
      <x:c r="I201" s="63" t="str">
        <x:v>macOS 聊天列加入模型選擇與 Temporary Chat</x:v>
      </x:c>
      <x:c r="J201" s="63" t="str">
        <x:v>The redesigned macOS chat bar added direct model switching and a Temporary Chat toggle.</x:v>
      </x:c>
      <x:c r="K201" s="63" t="str">
        <x:v>重新設計的 macOS 聊天列加入直接切換模型與 Temporary Chat 開關。</x:v>
      </x:c>
      <x:c r="L201" s="52" t="str">
        <x:v>https://help.openai.com/en/articles/9703738-desktop-app-release-notes</x:v>
      </x:c>
      <x:c r="M201" s="52" t="str">
        <x:v>help_center_release_notes</x:v>
      </x:c>
      <x:c r="N201" s="52" t="str">
        <x:v>parsed</x:v>
      </x:c>
      <x:c r="O201" s="52" t="str">
        <x:v>high</x:v>
      </x:c>
      <x:c r="P201" s="60" t="n">
        <x:v>2</x:v>
      </x:c>
      <x:c r="Q201" s="52" t="str">
        <x:v>chatgpt | macos | model-picker | temporary-chat</x:v>
      </x:c>
    </x:row>
    <x:row r="202" ht="38" customHeight="1">
      <x:c r="A202" s="57" t="n">
        <x:v>45610</x:v>
      </x:c>
      <x:c r="B202" s="52" t="str">
        <x:v>macos-release-notes</x:v>
      </x:c>
      <x:c r="C202" s="52" t="str">
        <x:v>ChatGPT macOS app release notes</x:v>
      </x:c>
      <x:c r="D202" s="52" t="str">
        <x:v>clients_surfaces</x:v>
      </x:c>
      <x:c r="E202" s="52" t="str">
        <x:v>Work with Apps</x:v>
      </x:c>
      <x:c r="F202" s="52" t="str">
        <x:v>integration</x:v>
      </x:c>
      <x:c r="G202" s="52" t="str">
        <x:v>beta</x:v>
      </x:c>
      <x:c r="H202" s="63" t="str">
        <x:v>Work with Apps beta on macOS</x:v>
      </x:c>
      <x:c r="I202" s="63" t="str">
        <x:v>整合更新：macOS Work with Apps Beta</x:v>
      </x:c>
      <x:c r="J202" s="63" t="str">
        <x:v>ChatGPT macOS gained an early beta that could read content from supported coding apps to provide context-aware answers for Plus and Team users.</x:v>
      </x:c>
      <x:c r="K202" s="63" t="str">
        <x:v>ChatGPT macOS 新增搶先 Beta，可讀取支援的程式開發 App 內容，為 Plus 與 Team 使用者提供具上下文的回答。</x:v>
      </x:c>
      <x:c r="L202" s="52" t="str">
        <x:v>https://help.openai.com/en/articles/9703738-desktop-app-release-notes</x:v>
      </x:c>
      <x:c r="M202" s="52" t="str">
        <x:v>help_center_release_notes</x:v>
      </x:c>
      <x:c r="N202" s="52" t="str">
        <x:v>parsed</x:v>
      </x:c>
      <x:c r="O202" s="52" t="str">
        <x:v>high</x:v>
      </x:c>
      <x:c r="P202" s="60" t="n">
        <x:v>4</x:v>
      </x:c>
      <x:c r="Q202" s="52" t="str">
        <x:v>chatgpt | macos | work-with-apps | coding</x:v>
      </x:c>
    </x:row>
    <x:row r="203" ht="38" customHeight="1">
      <x:c r="A203" s="57" t="n">
        <x:v>45610</x:v>
      </x:c>
      <x:c r="B203" s="52" t="str">
        <x:v>macos-release-notes</x:v>
      </x:c>
      <x:c r="C203" s="52" t="str">
        <x:v>ChatGPT macOS app release notes</x:v>
      </x:c>
      <x:c r="D203" s="52" t="str">
        <x:v>clients_surfaces</x:v>
      </x:c>
      <x:c r="E203" s="52" t="str">
        <x:v>ChatGPT Desktop</x:v>
      </x:c>
      <x:c r="F203" s="52" t="str">
        <x:v>feature</x:v>
      </x:c>
      <x:c r="G203" s="52" t="str">
        <x:v>beta</x:v>
      </x:c>
      <x:c r="H203" s="63" t="str">
        <x:v>Work with Apps on macOS and screenshots on Windows</x:v>
      </x:c>
      <x:c r="I203" s="63" t="str">
        <x:v>macOS Work with Apps 與 Windows 截圖</x:v>
      </x:c>
      <x:c r="J203" s="63" t="str">
        <x:v>The macOS app began reading supported coding apps in beta, while the Windows app added instant Snipping Tool screenshots and sidebar improvements.</x:v>
      </x:c>
      <x:c r="K203" s="63" t="str">
        <x:v>macOS App 開始以 beta 讀取支援的編碼工具；Windows App 新增 Snipping Tool 截圖與側欄改善。</x:v>
      </x:c>
      <x:c r="L203" s="52" t="str">
        <x:v>https://help.openai.com/en/articles/9703738-desktop-app-release-notes</x:v>
      </x:c>
      <x:c r="M203" s="52" t="str">
        <x:v>help_center_release_notes</x:v>
      </x:c>
      <x:c r="N203" s="52" t="str">
        <x:v>parsed</x:v>
      </x:c>
      <x:c r="O203" s="52" t="str">
        <x:v>high</x:v>
      </x:c>
      <x:c r="P203" s="60" t="n">
        <x:v>4</x:v>
      </x:c>
      <x:c r="Q203" s="52" t="str">
        <x:v>macos | windows | work-with-apps</x:v>
      </x:c>
    </x:row>
    <x:row r="204" ht="38" customHeight="1">
      <x:c r="A204" s="57" t="n">
        <x:v>45615</x:v>
      </x:c>
      <x:c r="B204" s="52" t="str">
        <x:v>chatgpt-release-notes</x:v>
      </x:c>
      <x:c r="C204" s="52" t="str">
        <x:v>ChatGPT — Release Notes</x:v>
      </x:c>
      <x:c r="D204" s="52" t="str">
        <x:v>multimodal</x:v>
      </x:c>
      <x:c r="E204" s="52" t="str">
        <x:v>Advanced Voice Mode</x:v>
      </x:c>
      <x:c r="F204" s="52" t="str">
        <x:v>availability</x:v>
      </x:c>
      <x:c r="G204" s="52" t="str">
        <x:v>active</x:v>
      </x:c>
      <x:c r="H204" s="63" t="str">
        <x:v>Advanced Voice for ChatGPT Web</x:v>
      </x:c>
      <x:c r="I204" s="63" t="str">
        <x:v>Advanced Voice 登陸 ChatGPT Web</x:v>
      </x:c>
      <x:c r="J204" s="63" t="str">
        <x:v>Starting today, we’re beginning to roll out Advanced Voice Mode on web (already available on mobile and desktop apps). You can now start a voice chat on chatgpt.com on your desktop and have real-time, natural conversations with ChatGPT while doing tasks like shopping, planning, writing, and brainstorming. We’re starting to roll out to all paid (Plus, Team, Enterprise, and Edu) users today, and expect it to take a few days.</x:v>
      </x:c>
      <x:c r="K204" s="63" t="str">
        <x:v>OpenAI 於 2024-11-19 為 ChatGPT Voice 調整方案、額度或計費；此節點依官方發布記錄整理，完整能力、適用方案與限制請見來源。</x:v>
      </x:c>
      <x:c r="L204" s="52" t="str">
        <x:v>https://help.openai.com/en/articles/6825453-chatgpt-release-notes</x:v>
      </x:c>
      <x:c r="M204" s="52" t="str">
        <x:v>help_center_release_notes</x:v>
      </x:c>
      <x:c r="N204" s="52" t="str">
        <x:v>parsed</x:v>
      </x:c>
      <x:c r="O204" s="52" t="str">
        <x:v>high</x:v>
      </x:c>
      <x:c r="P204" s="60" t="n">
        <x:v>4</x:v>
      </x:c>
      <x:c r="Q204" s="52" t="str">
        <x:v>chatgpt | advanced-voice | web | paid-plans</x:v>
      </x:c>
    </x:row>
    <x:row r="205" ht="38" customHeight="1">
      <x:c r="A205" s="57" t="n">
        <x:v>45616</x:v>
      </x:c>
      <x:c r="B205" s="52" t="str">
        <x:v>model-release-notes</x:v>
      </x:c>
      <x:c r="C205" s="52" t="str">
        <x:v>Model Release Notes</x:v>
      </x:c>
      <x:c r="D205" s="52" t="str">
        <x:v>models_reasoning</x:v>
      </x:c>
      <x:c r="E205" s="52" t="str">
        <x:v>GPT-4o</x:v>
      </x:c>
      <x:c r="F205" s="52" t="str">
        <x:v>model_update</x:v>
      </x:c>
      <x:c r="G205" s="52" t="str">
        <x:v>active</x:v>
      </x:c>
      <x:c r="H205" s="63" t="str">
        <x:v>GPT-4o writing and file-analysis update</x:v>
      </x:c>
      <x:c r="I205" s="63" t="str">
        <x:v>GPT-4o 寫作與檔案分析更新</x:v>
      </x:c>
      <x:c r="J205" s="63" t="str">
        <x:v>OpenAI updated GPT-4o on paid ChatGPT tiers with more natural, audience-aware writing and deeper analysis of uploaded files.</x:v>
      </x:c>
      <x:c r="K205" s="63" t="str">
        <x:v>OpenAI 更新付費 ChatGPT 方案中的 GPT-4o，使寫作更自然且更能掌握受眾，並加深對上傳檔案的分析。</x:v>
      </x:c>
      <x:c r="L205" s="52" t="str">
        <x:v>https://help.openai.com/en/articles/9624314-model-release-notes</x:v>
      </x:c>
      <x:c r="M205" s="52" t="str">
        <x:v>help_center_release_notes</x:v>
      </x:c>
      <x:c r="N205" s="52" t="str">
        <x:v>parsed</x:v>
      </x:c>
      <x:c r="O205" s="52" t="str">
        <x:v>high</x:v>
      </x:c>
      <x:c r="P205" s="60" t="n">
        <x:v>3</x:v>
      </x:c>
      <x:c r="Q205" s="52" t="str">
        <x:v>gpt-4o | writing | files | model-update</x:v>
      </x:c>
    </x:row>
    <x:row r="206" ht="38" customHeight="1">
      <x:c r="A206" s="57" t="n">
        <x:v>45616</x:v>
      </x:c>
      <x:c r="B206" s="52" t="str">
        <x:v>api-changelog</x:v>
      </x:c>
      <x:c r="C206" s="52" t="str">
        <x:v>OpenAI API Changelog</x:v>
      </x:c>
      <x:c r="D206" s="52" t="str">
        <x:v>models_reasoning</x:v>
      </x:c>
      <x:c r="E206" s="52" t="str">
        <x:v>GPT-4o</x:v>
      </x:c>
      <x:c r="F206" s="52" t="str">
        <x:v>model_release</x:v>
      </x:c>
      <x:c r="G206" s="52" t="str">
        <x:v>active</x:v>
      </x:c>
      <x:c r="H206" s="63" t="str">
        <x:v>Released gpt-4o-2024-11-20</x:v>
      </x:c>
      <x:c r="I206" s="63" t="str">
        <x:v>發布gpt-4o-2024-11-20</x:v>
      </x:c>
      <x:c r="J206" s="63" t="str">
        <x:v>v1/chat/completions Released gpt-4o-2024-11-20, our newest model in the gpt-4o series.</x:v>
      </x:c>
      <x:c r="K206" s="63" t="str">
        <x:v>OpenAI 於 2024-11-20 為 GPT-4o 發布模型；此節點依官方發布記錄整理，完整能力、適用方案與限制請見來源。</x:v>
      </x:c>
      <x:c r="L206" s="52" t="str">
        <x:v>https://platform.openai.com/docs/changelog</x:v>
      </x:c>
      <x:c r="M206" s="52" t="str">
        <x:v>developer_changelog</x:v>
      </x:c>
      <x:c r="N206" s="52" t="str">
        <x:v>parsed</x:v>
      </x:c>
      <x:c r="O206" s="52" t="str">
        <x:v>high</x:v>
      </x:c>
      <x:c r="P206" s="60" t="n">
        <x:v>0</x:v>
      </x:c>
      <x:c r="Q206" s="52" t="str"/>
    </x:row>
    <x:row r="207" ht="38" customHeight="1">
      <x:c r="A207" s="57" t="n">
        <x:v>45616</x:v>
      </x:c>
      <x:c r="B207" s="52" t="str">
        <x:v>lane-openai-api-changelog</x:v>
      </x:c>
      <x:c r="C207" s="52" t="str">
        <x:v>OpenAI API Changelog</x:v>
      </x:c>
      <x:c r="D207" s="52" t="str">
        <x:v>models_reasoning</x:v>
      </x:c>
      <x:c r="E207" s="52" t="str">
        <x:v>Model Platform</x:v>
      </x:c>
      <x:c r="F207" s="52" t="str">
        <x:v>model_release</x:v>
      </x:c>
      <x:c r="G207" s="52" t="str">
        <x:v>active</x:v>
      </x:c>
      <x:c r="H207" s="63" t="str">
        <x:v>Released gpt-4o-2024-11-20</x:v>
      </x:c>
      <x:c r="I207" s="63" t="str">
        <x:v>推出：gpt-4o-2024-11-20 , our newest 模型 in gpt-4o series.</x:v>
      </x:c>
      <x:c r="J207" s="63" t="str">
        <x:v>Released gpt-4o-2024-11-20 , our newest model in the gpt-4o series.</x:v>
      </x:c>
      <x:c r="K207" s="63" t="str">
        <x:v>推出：gpt-4o-2024-11-20 , our newest 模型 in gpt-4o series。OpenAI 將此列為 2024-11-20 的更新；重點涉及平台功能與可用性，模型、端點與參數名稱依官方英文保留。</x:v>
      </x:c>
      <x:c r="L207" s="52" t="str">
        <x:v>https://developers.openai.com/api/docs/changelog</x:v>
      </x:c>
      <x:c r="M207" s="52" t="str">
        <x:v>official_changelog</x:v>
      </x:c>
      <x:c r="N207" s="52" t="str">
        <x:v>complete</x:v>
      </x:c>
      <x:c r="O207" s="52" t="str">
        <x:v>high</x:v>
      </x:c>
      <x:c r="P207" s="60" t="n">
        <x:v>4</x:v>
      </x:c>
      <x:c r="Q207" s="52" t="str">
        <x:v>api | models | update</x:v>
      </x:c>
    </x:row>
    <x:row r="208" ht="38" customHeight="1">
      <x:c r="A208" s="57" t="n">
        <x:v>45618</x:v>
      </x:c>
      <x:c r="B208" s="52" t="str">
        <x:v>chatgpt-release-notes</x:v>
      </x:c>
      <x:c r="C208" s="52" t="str">
        <x:v>ChatGPT — Release Notes</x:v>
      </x:c>
      <x:c r="D208" s="52" t="str">
        <x:v>clients_surfaces</x:v>
      </x:c>
      <x:c r="E208" s="52" t="str">
        <x:v>ChatGPT Web</x:v>
      </x:c>
      <x:c r="F208" s="52" t="str">
        <x:v>feature</x:v>
      </x:c>
      <x:c r="G208" s="52" t="str">
        <x:v>active</x:v>
      </x:c>
      <x:c r="H208" s="63" t="str">
        <x:v>ChatGPT Web sidebar and responsive-experience redesign</x:v>
      </x:c>
      <x:c r="I208" s="63" t="str">
        <x:v>ChatGPT Web 側邊欄與響應式體驗改版</x:v>
      </x:c>
      <x:c r="J208" s="63" t="str">
        <x:v>OpenAI rolled out a floating sidebar, revised conversation and GPT navigation, an updated composer, improved Canvas coexistence, and a more robust mobile web experience.</x:v>
      </x:c>
      <x:c r="K208" s="63" t="str">
        <x:v>OpenAI 推出浮動側邊欄、改版的對話與 GPT 導覽、新輸入列、更佳 Canvas 並列顯示，以及更穩健的行動網頁體驗。</x:v>
      </x:c>
      <x:c r="L208" s="52" t="str">
        <x:v>https://help.openai.com/en/articles/6825453-chatgpt-release-notes</x:v>
      </x:c>
      <x:c r="M208" s="52" t="str">
        <x:v>help_center_release_notes</x:v>
      </x:c>
      <x:c r="N208" s="52" t="str">
        <x:v>parsed</x:v>
      </x:c>
      <x:c r="O208" s="52" t="str">
        <x:v>high</x:v>
      </x:c>
      <x:c r="P208" s="60" t="n">
        <x:v>3</x:v>
      </x:c>
      <x:c r="Q208" s="52" t="str">
        <x:v>chatgpt | web | sidebar | redesign</x:v>
      </x:c>
    </x:row>
    <x:row r="209" ht="38" customHeight="1">
      <x:c r="A209" s="57" t="n">
        <x:v>45618</x:v>
      </x:c>
      <x:c r="B209" s="52" t="str">
        <x:v>chatgpt-release-notes</x:v>
      </x:c>
      <x:c r="C209" s="52" t="str">
        <x:v>ChatGPT — Release Notes</x:v>
      </x:c>
      <x:c r="D209" s="52" t="str">
        <x:v>chatgpt_core</x:v>
      </x:c>
      <x:c r="E209" s="52" t="str">
        <x:v>ChatGPT</x:v>
      </x:c>
      <x:c r="F209" s="52" t="str">
        <x:v>availability</x:v>
      </x:c>
      <x:c r="G209" s="52" t="str">
        <x:v>active</x:v>
      </x:c>
      <x:c r="H209" s="63" t="str">
        <x:v>Updates to the ChatGPT Web experience</x:v>
      </x:c>
      <x:c r="I209" s="63" t="str">
        <x:v>更新：the ChatGPT Web experience</x:v>
      </x:c>
      <x:c r="J209" s="63" t="str">
        <x:v>We are rolling out the following updates over the next two weeks to all ChatGPT users. New floating mode added with soft dismiss behavior</x:v>
      </x:c>
      <x:c r="K209" s="63" t="str">
        <x:v>OpenAI 於 2024-11-22 為 ChatGPT 擴大開放範圍；此節點依官方發布記錄整理，完整能力、適用方案與限制請見來源。</x:v>
      </x:c>
      <x:c r="L209" s="52" t="str">
        <x:v>https://help.openai.com/en/articles/6825453-chatgpt-release-notes</x:v>
      </x:c>
      <x:c r="M209" s="52" t="str">
        <x:v>help_center_release_notes</x:v>
      </x:c>
      <x:c r="N209" s="52" t="str">
        <x:v>parsed</x:v>
      </x:c>
      <x:c r="O209" s="52" t="str">
        <x:v>high</x:v>
      </x:c>
      <x:c r="P209" s="60" t="n">
        <x:v>0</x:v>
      </x:c>
      <x:c r="Q209" s="52" t="str"/>
    </x:row>
    <x:row r="210" ht="38" customHeight="1">
      <x:c r="A210" s="57" t="n">
        <x:v>45622</x:v>
      </x:c>
      <x:c r="B210" s="52" t="str">
        <x:v>macos-release-notes</x:v>
      </x:c>
      <x:c r="C210" s="52" t="str">
        <x:v>ChatGPT macOS app release notes</x:v>
      </x:c>
      <x:c r="D210" s="52" t="str">
        <x:v>clients_surfaces</x:v>
      </x:c>
      <x:c r="E210" s="52" t="str">
        <x:v>ChatGPT macOS</x:v>
      </x:c>
      <x:c r="F210" s="52" t="str">
        <x:v>integration</x:v>
      </x:c>
      <x:c r="G210" s="52" t="str">
        <x:v>beta</x:v>
      </x:c>
      <x:c r="H210" s="63" t="str">
        <x:v>Slash commands and more coding apps on macOS</x:v>
      </x:c>
      <x:c r="I210" s="63" t="str">
        <x:v>macOS 新增斜線指令與更多程式 App</x:v>
      </x:c>
      <x:c r="J210" s="63" t="str">
        <x:v>ChatGPT macOS added slash commands for search, o1 reasoning, and DALL-E plus Work with Apps support for VS Code forks, JetBrains IDEs, and more editors and terminals.</x:v>
      </x:c>
      <x:c r="K210" s="63" t="str">
        <x:v>ChatGPT macOS 新增搜尋、o1 推理與 DALL-E 的斜線指令，並將 Work with Apps 擴展至 VS Code 衍生版、JetBrains IDE 與更多編輯器、終端機。</x:v>
      </x:c>
      <x:c r="L210" s="52" t="str">
        <x:v>https://help.openai.com/en/articles/9703738-desktop-app-release-notes</x:v>
      </x:c>
      <x:c r="M210" s="52" t="str">
        <x:v>help_center_release_notes</x:v>
      </x:c>
      <x:c r="N210" s="52" t="str">
        <x:v>parsed</x:v>
      </x:c>
      <x:c r="O210" s="52" t="str">
        <x:v>high</x:v>
      </x:c>
      <x:c r="P210" s="60" t="n">
        <x:v>3</x:v>
      </x:c>
      <x:c r="Q210" s="52" t="str">
        <x:v>chatgpt | macos | slash-commands | work-with-apps | ide</x:v>
      </x:c>
    </x:row>
    <x:row r="211" ht="38" customHeight="1">
      <x:c r="A211" s="57" t="n">
        <x:v>45629</x:v>
      </x:c>
      <x:c r="B211" s="52" t="str">
        <x:v>enterprise-edu-release-notes</x:v>
      </x:c>
      <x:c r="C211" s="52" t="str">
        <x:v>ChatGPT Enterprise &amp; Edu — Release Notes</x:v>
      </x:c>
      <x:c r="D211" s="52" t="str">
        <x:v>enterprise_vertical</x:v>
      </x:c>
      <x:c r="E211" s="52" t="str">
        <x:v>Work with Apps</x:v>
      </x:c>
      <x:c r="F211" s="52" t="str">
        <x:v>availability</x:v>
      </x:c>
      <x:c r="G211" s="52" t="str">
        <x:v>active</x:v>
      </x:c>
      <x:c r="H211" s="63" t="str">
        <x:v>Work with Apps reaches Enterprise and Edu</x:v>
      </x:c>
      <x:c r="I211" s="63" t="str">
        <x:v>Work with Apps 開放 Enterprise 與 Edu</x:v>
      </x:c>
      <x:c r="J211" s="63" t="str">
        <x:v>OpenAI expanded macOS Work with Apps to Enterprise and Edu, with an administrative control to disable it for a workspace.</x:v>
      </x:c>
      <x:c r="K211" s="63" t="str">
        <x:v>OpenAI 將 macOS Work with Apps 擴展至 Enterprise 與 Edu，並提供工作區管理員停用控制。</x:v>
      </x:c>
      <x:c r="L211" s="52" t="str">
        <x:v>https://help.openai.com/en/articles/10128477-chatgpt-enterprise-edu-release-notes</x:v>
      </x:c>
      <x:c r="M211" s="52" t="str">
        <x:v>help_center_release_notes</x:v>
      </x:c>
      <x:c r="N211" s="52" t="str">
        <x:v>parsed</x:v>
      </x:c>
      <x:c r="O211" s="52" t="str">
        <x:v>high</x:v>
      </x:c>
      <x:c r="P211" s="60" t="n">
        <x:v>3</x:v>
      </x:c>
      <x:c r="Q211" s="52" t="str">
        <x:v>chatgpt | work-with-apps | enterprise | edu</x:v>
      </x:c>
    </x:row>
    <x:row r="212" ht="38" customHeight="1">
      <x:c r="A212" s="57" t="n">
        <x:v>45630</x:v>
      </x:c>
      <x:c r="B212" s="52" t="str">
        <x:v>api-changelog</x:v>
      </x:c>
      <x:c r="C212" s="52" t="str">
        <x:v>OpenAI API Changelog</x:v>
      </x:c>
      <x:c r="D212" s="52" t="str">
        <x:v>developer_platform</x:v>
      </x:c>
      <x:c r="E212" s="52" t="str">
        <x:v>OpenAI API</x:v>
      </x:c>
      <x:c r="F212" s="52" t="str">
        <x:v>launch</x:v>
      </x:c>
      <x:c r="G212" s="52" t="str">
        <x:v>active</x:v>
      </x:c>
      <x:c r="H212" s="63" t="str">
        <x:v>Launched Usage API</x:v>
      </x:c>
      <x:c r="I212" s="63" t="str">
        <x:v>推出：Launched Usage API</x:v>
      </x:c>
      <x:c r="J212" s="63" t="str">
        <x:v>Launched Usage API, enabling customers to programmatically query activities and spending across OpenAI APIs.</x:v>
      </x:c>
      <x:c r="K212" s="63" t="str">
        <x:v>OpenAI 於 2024-12-04 為 OpenAI API 推出新產品或能力；此節點依官方發布記錄整理，完整能力、適用方案與限制請見來源。</x:v>
      </x:c>
      <x:c r="L212" s="52" t="str">
        <x:v>https://platform.openai.com/docs/changelog</x:v>
      </x:c>
      <x:c r="M212" s="52" t="str">
        <x:v>developer_changelog</x:v>
      </x:c>
      <x:c r="N212" s="52" t="str">
        <x:v>parsed</x:v>
      </x:c>
      <x:c r="O212" s="52" t="str">
        <x:v>high</x:v>
      </x:c>
      <x:c r="P212" s="60" t="n">
        <x:v>0</x:v>
      </x:c>
      <x:c r="Q212" s="52" t="str"/>
    </x:row>
    <x:row r="213" ht="38" customHeight="1">
      <x:c r="A213" s="57" t="n">
        <x:v>45630</x:v>
      </x:c>
      <x:c r="B213" s="52" t="str">
        <x:v>lane-openai-api-changelog</x:v>
      </x:c>
      <x:c r="C213" s="52" t="str">
        <x:v>OpenAI API Changelog</x:v>
      </x:c>
      <x:c r="D213" s="52" t="str">
        <x:v>developer_platform</x:v>
      </x:c>
      <x:c r="E213" s="52" t="str">
        <x:v>OpenAI API Platform</x:v>
      </x:c>
      <x:c r="F213" s="52" t="str">
        <x:v>launch</x:v>
      </x:c>
      <x:c r="G213" s="52" t="str">
        <x:v>active</x:v>
      </x:c>
      <x:c r="H213" s="63" t="str">
        <x:v>Launched Usage API</x:v>
      </x:c>
      <x:c r="I213" s="63" t="str">
        <x:v>推出：OpenAI API Platform</x:v>
      </x:c>
      <x:c r="J213" s="63" t="str">
        <x:v>Launched Usage API , enabling customers to programmatically query activities and spending across OpenAI APIs.</x:v>
      </x:c>
      <x:c r="K213" s="63" t="str">
        <x:v>推出：Usage API , enabling customers to programmatically query activities and spending across OpenAI APIs。OpenAI 將此列為 2024-12-04 的功能；重點涉及平台功能與可用性，模型、端點與參數名稱依官方英文保留。</x:v>
      </x:c>
      <x:c r="L213" s="52" t="str">
        <x:v>https://developers.openai.com/api/docs/changelog</x:v>
      </x:c>
      <x:c r="M213" s="52" t="str">
        <x:v>official_changelog</x:v>
      </x:c>
      <x:c r="N213" s="52" t="str">
        <x:v>complete</x:v>
      </x:c>
      <x:c r="O213" s="52" t="str">
        <x:v>high</x:v>
      </x:c>
      <x:c r="P213" s="60" t="n">
        <x:v>3</x:v>
      </x:c>
      <x:c r="Q213" s="52" t="str">
        <x:v>api-platform | feature</x:v>
      </x:c>
    </x:row>
    <x:row r="214" ht="38" customHeight="1">
      <x:c r="A214" s="57" t="n">
        <x:v>45631</x:v>
      </x:c>
      <x:c r="B214" s="52" t="str">
        <x:v>lane-introducing-chatgpt-pro</x:v>
      </x:c>
      <x:c r="C214" s="52" t="str">
        <x:v>Introducing ChatGPT Pro</x:v>
      </x:c>
      <x:c r="D214" s="52" t="str">
        <x:v>models_reasoning</x:v>
      </x:c>
      <x:c r="E214" s="52" t="str">
        <x:v>OpenAI o1</x:v>
      </x:c>
      <x:c r="F214" s="52" t="str">
        <x:v>model_release</x:v>
      </x:c>
      <x:c r="G214" s="52" t="str">
        <x:v>general_availability</x:v>
      </x:c>
      <x:c r="H214" s="63" t="str">
        <x:v>Full OpenAI o1 released in ChatGPT</x:v>
      </x:c>
      <x:c r="I214" s="63" t="str">
        <x:v>完整版 OpenAI o1 登陸 ChatGPT</x:v>
      </x:c>
      <x:c r="J214" s="63" t="str">
        <x:v>OpenAI made the production o1 model available in ChatGPT alongside the new Pro plan, presenting it as its most intelligent model for difficult reasoning tasks.</x:v>
      </x:c>
      <x:c r="K214" s="63" t="str">
        <x:v>OpenAI 隨新的 Pro 方案在 ChatGPT 中提供正式版 o1，並將其定位為處理困難推理工作的最智慧模型。</x:v>
      </x:c>
      <x:c r="L214" s="52" t="str">
        <x:v>https://openai.com/index/introducing-chatgpt-pro/</x:v>
      </x:c>
      <x:c r="M214" s="52" t="str">
        <x:v>launch_post</x:v>
      </x:c>
      <x:c r="N214" s="52" t="str">
        <x:v>complete</x:v>
      </x:c>
      <x:c r="O214" s="52" t="str">
        <x:v>high</x:v>
      </x:c>
      <x:c r="P214" s="60" t="n">
        <x:v>5</x:v>
      </x:c>
      <x:c r="Q214" s="52" t="str">
        <x:v>o1 | reasoning | chatgpt | model-release</x:v>
      </x:c>
    </x:row>
    <x:row r="215" ht="38" customHeight="1">
      <x:c r="A215" s="57" t="n">
        <x:v>45631</x:v>
      </x:c>
      <x:c r="B215" s="52" t="str">
        <x:v>lane-introducing-chatgpt-pro</x:v>
      </x:c>
      <x:c r="C215" s="52" t="str">
        <x:v>Introducing ChatGPT Pro</x:v>
      </x:c>
      <x:c r="D215" s="52" t="str">
        <x:v>chatgpt_core</x:v>
      </x:c>
      <x:c r="E215" s="52" t="str">
        <x:v>ChatGPT Pro</x:v>
      </x:c>
      <x:c r="F215" s="52" t="str">
        <x:v>launch</x:v>
      </x:c>
      <x:c r="G215" s="52" t="str">
        <x:v>active</x:v>
      </x:c>
      <x:c r="H215" s="63" t="str">
        <x:v>Introducing ChatGPT Pro</x:v>
      </x:c>
      <x:c r="I215" s="63" t="str">
        <x:v>推出 ChatGPT Pro</x:v>
      </x:c>
      <x:c r="J215" s="63" t="str">
        <x:v>OpenAI launched a $200-per-month plan with unlimited access to o1, o1-mini, GPT-4o, and Advanced Voice plus access to o1 pro mode.</x:v>
      </x:c>
      <x:c r="K215" s="63" t="str">
        <x:v>OpenAI 推出每月 200 美元的方案，提供 o1、o1-mini、GPT-4o 與 Advanced Voice 無上限使用，以及 o1 pro mode。</x:v>
      </x:c>
      <x:c r="L215" s="52" t="str">
        <x:v>https://openai.com/index/introducing-chatgpt-pro/</x:v>
      </x:c>
      <x:c r="M215" s="52" t="str">
        <x:v>launch_post</x:v>
      </x:c>
      <x:c r="N215" s="52" t="str">
        <x:v>complete</x:v>
      </x:c>
      <x:c r="O215" s="52" t="str">
        <x:v>high</x:v>
      </x:c>
      <x:c r="P215" s="60" t="n">
        <x:v>5</x:v>
      </x:c>
      <x:c r="Q215" s="52" t="str">
        <x:v>chatgpt | pro | subscription | o1</x:v>
      </x:c>
    </x:row>
    <x:row r="216" ht="38" customHeight="1">
      <x:c r="A216" s="57" t="n">
        <x:v>45631</x:v>
      </x:c>
      <x:c r="B216" s="52" t="str">
        <x:v>lane-introducing-chatgpt-pro</x:v>
      </x:c>
      <x:c r="C216" s="52" t="str">
        <x:v>Introducing ChatGPT Pro</x:v>
      </x:c>
      <x:c r="D216" s="52" t="str">
        <x:v>models_reasoning</x:v>
      </x:c>
      <x:c r="E216" s="52" t="str">
        <x:v>o1 pro mode</x:v>
      </x:c>
      <x:c r="F216" s="52" t="str">
        <x:v>feature</x:v>
      </x:c>
      <x:c r="G216" s="52" t="str">
        <x:v>general_availability</x:v>
      </x:c>
      <x:c r="H216" s="63" t="str">
        <x:v>o1 pro mode</x:v>
      </x:c>
      <x:c r="I216" s="63" t="str">
        <x:v>功能更新：o1 pro mode</x:v>
      </x:c>
      <x:c r="J216" s="63" t="str">
        <x:v>ChatGPT Pro introduced an o1 mode that uses more compute and longer reasoning time to improve reliability on difficult problems.</x:v>
      </x:c>
      <x:c r="K216" s="63" t="str">
        <x:v>ChatGPT Pro 推出會使用更多運算與更長推理時間的 o1 模式，以提升困難問題的可靠度。</x:v>
      </x:c>
      <x:c r="L216" s="52" t="str">
        <x:v>https://openai.com/index/introducing-chatgpt-pro/</x:v>
      </x:c>
      <x:c r="M216" s="52" t="str">
        <x:v>launch_post</x:v>
      </x:c>
      <x:c r="N216" s="52" t="str">
        <x:v>complete</x:v>
      </x:c>
      <x:c r="O216" s="52" t="str">
        <x:v>high</x:v>
      </x:c>
      <x:c r="P216" s="60" t="n">
        <x:v>4</x:v>
      </x:c>
      <x:c r="Q216" s="52" t="str">
        <x:v>o1 | pro-mode | reasoning | chatgpt-pro</x:v>
      </x:c>
    </x:row>
    <x:row r="217" ht="38" customHeight="1">
      <x:c r="A217" s="57" t="n">
        <x:v>45635</x:v>
      </x:c>
      <x:c r="B217" s="52" t="str">
        <x:v>lane-sora-is-here</x:v>
      </x:c>
      <x:c r="C217" s="52" t="str">
        <x:v>Sora is here</x:v>
      </x:c>
      <x:c r="D217" s="52" t="str">
        <x:v>multimodal</x:v>
      </x:c>
      <x:c r="E217" s="52" t="str">
        <x:v>Sora Turbo</x:v>
      </x:c>
      <x:c r="F217" s="52" t="str">
        <x:v>launch</x:v>
      </x:c>
      <x:c r="G217" s="52" t="str">
        <x:v>general_availability</x:v>
      </x:c>
      <x:c r="H217" s="63" t="str">
        <x:v>Sora is here</x:v>
      </x:c>
      <x:c r="I217" s="63" t="str">
        <x:v>Sora 正式上線</x:v>
      </x:c>
      <x:c r="J217" s="63" t="str">
        <x:v>OpenAI moved Sora out of research preview by launching the faster Sora Turbo as a standalone product for Plus and Pro users, with storyboards, remixing, blending, and up to 1080p 20-second output.</x:v>
      </x:c>
      <x:c r="K217" s="63" t="str">
        <x:v>OpenAI 將 Sora 移出研究預覽，向 Plus 與 Pro 推出更快的獨立產品 Sora Turbo，具 Storyboard、Remix、Blend 與最高 1080p、20 秒輸出。</x:v>
      </x:c>
      <x:c r="L217" s="52" t="str">
        <x:v>https://openai.com/index/sora-is-here/</x:v>
      </x:c>
      <x:c r="M217" s="52" t="str">
        <x:v>launch_post</x:v>
      </x:c>
      <x:c r="N217" s="52" t="str">
        <x:v>complete</x:v>
      </x:c>
      <x:c r="O217" s="52" t="str">
        <x:v>high</x:v>
      </x:c>
      <x:c r="P217" s="60" t="n">
        <x:v>5</x:v>
      </x:c>
      <x:c r="Q217" s="52" t="str">
        <x:v>sora | sora-turbo | video-generation | standalone-product</x:v>
      </x:c>
    </x:row>
    <x:row r="218" ht="38" customHeight="1">
      <x:c r="A218" s="57" t="n">
        <x:v>45636</x:v>
      </x:c>
      <x:c r="B218" s="52" t="str">
        <x:v>chatgpt-release-notes</x:v>
      </x:c>
      <x:c r="C218" s="52" t="str">
        <x:v>ChatGPT — Release Notes</x:v>
      </x:c>
      <x:c r="D218" s="52" t="str">
        <x:v>memory_knowledge</x:v>
      </x:c>
      <x:c r="E218" s="52" t="str">
        <x:v>ChatGPT</x:v>
      </x:c>
      <x:c r="F218" s="52" t="str">
        <x:v>launch</x:v>
      </x:c>
      <x:c r="G218" s="52" t="str">
        <x:v>active</x:v>
      </x:c>
      <x:c r="H218" s="63" t="str">
        <x:v>Canvas</x:v>
      </x:c>
      <x:c r="I218" s="63" t="str">
        <x:v>推出：Canvas</x:v>
      </x:c>
      <x:c r="J218" s="63" t="str">
        <x:v>Today we made Canvas available in 4o by default for all users, Free and Paid. Additionally, we launched a number of new capabilities for canvas, including: Canvas in GPTs: Canvas can now be used with GPTs when enabled in the GPT creator. This toggle will be enabled for newly created GPTs by default.</x:v>
      </x:c>
      <x:c r="K218" s="63" t="str">
        <x:v>OpenAI 於 2024-12-10 為 ChatGPT 推出新產品或能力；此節點依官方發布記錄整理，完整能力、適用方案與限制請見來源。</x:v>
      </x:c>
      <x:c r="L218" s="52" t="str">
        <x:v>https://help.openai.com/en/articles/6825453-chatgpt-release-notes</x:v>
      </x:c>
      <x:c r="M218" s="52" t="str">
        <x:v>help_center_release_notes</x:v>
      </x:c>
      <x:c r="N218" s="52" t="str">
        <x:v>parsed</x:v>
      </x:c>
      <x:c r="O218" s="52" t="str">
        <x:v>high</x:v>
      </x:c>
      <x:c r="P218" s="60" t="n">
        <x:v>0</x:v>
      </x:c>
      <x:c r="Q218" s="52" t="str"/>
    </x:row>
    <x:row r="219" ht="38" customHeight="1">
      <x:c r="A219" s="57" t="n">
        <x:v>45636</x:v>
      </x:c>
      <x:c r="B219" s="52" t="str">
        <x:v>chatgpt-release-notes</x:v>
      </x:c>
      <x:c r="C219" s="52" t="str">
        <x:v>ChatGPT — Release Notes</x:v>
      </x:c>
      <x:c r="D219" s="52" t="str">
        <x:v>chatgpt_core</x:v>
      </x:c>
      <x:c r="E219" s="52" t="str">
        <x:v>Canvas</x:v>
      </x:c>
      <x:c r="F219" s="52" t="str">
        <x:v>availability</x:v>
      </x:c>
      <x:c r="G219" s="52" t="str">
        <x:v>general_availability</x:v>
      </x:c>
      <x:c r="H219" s="63" t="str">
        <x:v>Canvas becomes default in GPT-4o for all users</x:v>
      </x:c>
      <x:c r="I219" s="63" t="str">
        <x:v>Canvas 成為所有使用者的 GPT-4o 預設能力</x:v>
      </x:c>
      <x:c r="J219" s="63" t="str">
        <x:v>OpenAI made Canvas available by default in GPT-4o to both free and paid ChatGPT users.</x:v>
      </x:c>
      <x:c r="K219" s="63" t="str">
        <x:v>OpenAI 將 Canvas 設為 GPT-4o 的預設可用能力，向 ChatGPT 免費與付費使用者全面開放。</x:v>
      </x:c>
      <x:c r="L219" s="52" t="str">
        <x:v>https://help.openai.com/en/articles/6825453-chatgpt-release-notes</x:v>
      </x:c>
      <x:c r="M219" s="52" t="str">
        <x:v>help_center_release_notes</x:v>
      </x:c>
      <x:c r="N219" s="52" t="str">
        <x:v>parsed</x:v>
      </x:c>
      <x:c r="O219" s="52" t="str">
        <x:v>high</x:v>
      </x:c>
      <x:c r="P219" s="60" t="n">
        <x:v>5</x:v>
      </x:c>
      <x:c r="Q219" s="52" t="str">
        <x:v>chatgpt | canvas | gpt-4o | free</x:v>
      </x:c>
    </x:row>
    <x:row r="220" ht="38" customHeight="1">
      <x:c r="A220" s="57" t="n">
        <x:v>45636</x:v>
      </x:c>
      <x:c r="B220" s="52" t="str">
        <x:v>chatgpt-release-notes</x:v>
      </x:c>
      <x:c r="C220" s="52" t="str">
        <x:v>ChatGPT — Release Notes</x:v>
      </x:c>
      <x:c r="D220" s="52" t="str">
        <x:v>developer_platform</x:v>
      </x:c>
      <x:c r="E220" s="52" t="str">
        <x:v>Canvas</x:v>
      </x:c>
      <x:c r="F220" s="52" t="str">
        <x:v>feature</x:v>
      </x:c>
      <x:c r="G220" s="52" t="str">
        <x:v>active</x:v>
      </x:c>
      <x:c r="H220" s="63" t="str">
        <x:v>Canvas gains GPTs, Python execution, and shortcuts</x:v>
      </x:c>
      <x:c r="I220" s="63" t="str">
        <x:v>Canvas 新增 GPT、Python 執行與捷徑</x:v>
      </x:c>
      <x:c r="J220" s="63" t="str">
        <x:v>Canvas gained optional use inside GPTs, Python code execution with automatic bug-fix attempts, paste-to-canvas shortcuts, and a toolbox entry.</x:v>
      </x:c>
      <x:c r="K220" s="63" t="str">
        <x:v>Canvas 新增在 GPT 中選用、Python 程式碼執行與自動修錯嘗試、貼上即開 Canvas 的捷徑，以及工具箱入口。</x:v>
      </x:c>
      <x:c r="L220" s="52" t="str">
        <x:v>https://help.openai.com/en/articles/6825453-chatgpt-release-notes</x:v>
      </x:c>
      <x:c r="M220" s="52" t="str">
        <x:v>help_center_release_notes</x:v>
      </x:c>
      <x:c r="N220" s="52" t="str">
        <x:v>parsed</x:v>
      </x:c>
      <x:c r="O220" s="52" t="str">
        <x:v>high</x:v>
      </x:c>
      <x:c r="P220" s="60" t="n">
        <x:v>4</x:v>
      </x:c>
      <x:c r="Q220" s="52" t="str">
        <x:v>chatgpt | canvas | python | gpts</x:v>
      </x:c>
    </x:row>
    <x:row r="221" ht="38" customHeight="1">
      <x:c r="A221" s="57" t="n">
        <x:v>45637</x:v>
      </x:c>
      <x:c r="B221" s="52" t="str">
        <x:v>enterprise-edu-release-notes</x:v>
      </x:c>
      <x:c r="C221" s="52" t="str">
        <x:v>ChatGPT Enterprise &amp; Edu — Release Notes</x:v>
      </x:c>
      <x:c r="D221" s="52" t="str">
        <x:v>clients_surfaces</x:v>
      </x:c>
      <x:c r="E221" s="52" t="str">
        <x:v>ChatGPT in Apple Intelligence</x:v>
      </x:c>
      <x:c r="F221" s="52" t="str">
        <x:v>integration</x:v>
      </x:c>
      <x:c r="G221" s="52" t="str">
        <x:v>general_availability</x:v>
      </x:c>
      <x:c r="H221" s="63" t="str">
        <x:v>ChatGPT becomes available through Apple Intelligence</x:v>
      </x:c>
      <x:c r="I221" s="63" t="str">
        <x:v>ChatGPT 透過 Apple Intelligence 上線</x:v>
      </x:c>
      <x:c r="J221" s="63" t="str">
        <x:v>The ChatGPT integration in Apple Intelligence became available, while Enterprise and Edu administrators received a workspace control to enable or disable account connections.</x:v>
      </x:c>
      <x:c r="K221" s="63" t="str">
        <x:v>ChatGPT 的 Apple Intelligence 整合正式上線，Enterprise 與 Edu 管理員並獲得啟用或停用工作區帳戶連線的控制。</x:v>
      </x:c>
      <x:c r="L221" s="52" t="str">
        <x:v>https://help.openai.com/en/articles/10128477-chatgpt-enterprise-edu-release-notes</x:v>
      </x:c>
      <x:c r="M221" s="52" t="str">
        <x:v>help_center_release_notes</x:v>
      </x:c>
      <x:c r="N221" s="52" t="str">
        <x:v>parsed</x:v>
      </x:c>
      <x:c r="O221" s="52" t="str">
        <x:v>high</x:v>
      </x:c>
      <x:c r="P221" s="60" t="n">
        <x:v>5</x:v>
      </x:c>
      <x:c r="Q221" s="52" t="str">
        <x:v>chatgpt | apple-intelligence | siri | integration</x:v>
      </x:c>
    </x:row>
    <x:row r="222" ht="38" customHeight="1">
      <x:c r="A222" s="57" t="n">
        <x:v>45638</x:v>
      </x:c>
      <x:c r="B222" s="52" t="str">
        <x:v>chatgpt-release-notes</x:v>
      </x:c>
      <x:c r="C222" s="52" t="str">
        <x:v>ChatGPT — Release Notes</x:v>
      </x:c>
      <x:c r="D222" s="52" t="str">
        <x:v>multimodal</x:v>
      </x:c>
      <x:c r="E222" s="52" t="str">
        <x:v>ChatGPT Voice</x:v>
      </x:c>
      <x:c r="F222" s="52" t="str">
        <x:v>availability</x:v>
      </x:c>
      <x:c r="G222" s="52" t="str">
        <x:v>active</x:v>
      </x:c>
      <x:c r="H222" s="63" t="str">
        <x:v>Santa Voice and Video and Screen Share in Voice Chats</x:v>
      </x:c>
      <x:c r="I222" s="63" t="str">
        <x:v>開放使用：ChatGPT Voice</x:v>
      </x:c>
      <x:c r="J222" s="63" t="str">
        <x:v>Today we started rolling out two updates to voice mode in ChatGPT: Santa voice:You can now chat with Santa in ChatGPT! Until early January, you can find Santa in the list of available voices in settings or by tapping on a snowflake icon. We are rolling out Santa globally to all logged in users today, and you can chat with Santa everywhere you use voice mode.</x:v>
      </x:c>
      <x:c r="K222" s="63" t="str">
        <x:v>OpenAI 於 2024-12-12 為 ChatGPT Voice 擴大開放範圍；此節點依官方發布記錄整理，完整能力、適用方案與限制請見來源。</x:v>
      </x:c>
      <x:c r="L222" s="52" t="str">
        <x:v>https://help.openai.com/en/articles/6825453-chatgpt-release-notes</x:v>
      </x:c>
      <x:c r="M222" s="52" t="str">
        <x:v>help_center_release_notes</x:v>
      </x:c>
      <x:c r="N222" s="52" t="str">
        <x:v>parsed</x:v>
      </x:c>
      <x:c r="O222" s="52" t="str">
        <x:v>high</x:v>
      </x:c>
      <x:c r="P222" s="60" t="n">
        <x:v>0</x:v>
      </x:c>
      <x:c r="Q222" s="52" t="str"/>
    </x:row>
    <x:row r="223" ht="38" customHeight="1">
      <x:c r="A223" s="57" t="n">
        <x:v>45638</x:v>
      </x:c>
      <x:c r="B223" s="52" t="str">
        <x:v>chatgpt-release-notes</x:v>
      </x:c>
      <x:c r="C223" s="52" t="str">
        <x:v>ChatGPT — Release Notes</x:v>
      </x:c>
      <x:c r="D223" s="52" t="str">
        <x:v>multimodal</x:v>
      </x:c>
      <x:c r="E223" s="52" t="str">
        <x:v>ChatGPT Voice</x:v>
      </x:c>
      <x:c r="F223" s="52" t="str">
        <x:v>feature</x:v>
      </x:c>
      <x:c r="G223" s="52" t="str">
        <x:v>research_preview</x:v>
      </x:c>
      <x:c r="H223" s="63" t="str">
        <x:v>Seasonal Santa voice</x:v>
      </x:c>
      <x:c r="I223" s="63" t="str">
        <x:v>季節限定 Santa 語音</x:v>
      </x:c>
      <x:c r="J223" s="63" t="str">
        <x:v>OpenAI rolled out a temporary Santa voice globally to logged-in users across Voice surfaces, with a one-time Advanced Voice limit reset on first use.</x:v>
      </x:c>
      <x:c r="K223" s="63" t="str">
        <x:v>OpenAI 向全球已登入使用者的 Voice 介面推出季節限定 Santa 語音，首次使用可一次性重置 Advanced Voice 額度。</x:v>
      </x:c>
      <x:c r="L223" s="52" t="str">
        <x:v>https://help.openai.com/en/articles/6825453-chatgpt-release-notes</x:v>
      </x:c>
      <x:c r="M223" s="52" t="str">
        <x:v>help_center_release_notes</x:v>
      </x:c>
      <x:c r="N223" s="52" t="str">
        <x:v>parsed</x:v>
      </x:c>
      <x:c r="O223" s="52" t="str">
        <x:v>high</x:v>
      </x:c>
      <x:c r="P223" s="60" t="n">
        <x:v>2</x:v>
      </x:c>
      <x:c r="Q223" s="52" t="str">
        <x:v>chatgpt | voice | santa | seasonal</x:v>
      </x:c>
    </x:row>
    <x:row r="224" ht="38" customHeight="1">
      <x:c r="A224" s="57" t="n">
        <x:v>45638</x:v>
      </x:c>
      <x:c r="B224" s="52" t="str">
        <x:v>chatgpt-release-notes</x:v>
      </x:c>
      <x:c r="C224" s="52" t="str">
        <x:v>ChatGPT — Release Notes</x:v>
      </x:c>
      <x:c r="D224" s="52" t="str">
        <x:v>multimodal</x:v>
      </x:c>
      <x:c r="E224" s="52" t="str">
        <x:v>Advanced Voice Mode</x:v>
      </x:c>
      <x:c r="F224" s="52" t="str">
        <x:v>feature</x:v>
      </x:c>
      <x:c r="G224" s="52" t="str">
        <x:v>active</x:v>
      </x:c>
      <x:c r="H224" s="63" t="str">
        <x:v>Video and screen sharing in Advanced Voice</x:v>
      </x:c>
      <x:c r="I224" s="63" t="str">
        <x:v>Advanced Voice 支援視訊與螢幕分享</x:v>
      </x:c>
      <x:c r="J224" s="63" t="str">
        <x:v>OpenAI began rolling real-time video, screen sharing, and image uploads in Advanced Voice on mobile to Team and most Plus and Pro users outside several European regions.</x:v>
      </x:c>
      <x:c r="K224" s="63" t="str">
        <x:v>OpenAI 開始在行動版 Advanced Voice 向 Team 與多數 Plus、Pro 使用者推出即時視訊、螢幕分享與圖像上傳，部分歐洲地區除外。</x:v>
      </x:c>
      <x:c r="L224" s="52" t="str">
        <x:v>https://help.openai.com/en/articles/6825453-chatgpt-release-notes</x:v>
      </x:c>
      <x:c r="M224" s="52" t="str">
        <x:v>help_center_release_notes</x:v>
      </x:c>
      <x:c r="N224" s="52" t="str">
        <x:v>parsed</x:v>
      </x:c>
      <x:c r="O224" s="52" t="str">
        <x:v>high</x:v>
      </x:c>
      <x:c r="P224" s="60" t="n">
        <x:v>5</x:v>
      </x:c>
      <x:c r="Q224" s="52" t="str">
        <x:v>chatgpt | advanced-voice | video | screen-share</x:v>
      </x:c>
    </x:row>
    <x:row r="225" ht="38" customHeight="1">
      <x:c r="A225" s="57" t="n">
        <x:v>45639</x:v>
      </x:c>
      <x:c r="B225" s="52" t="str">
        <x:v>chatgpt-release-notes</x:v>
      </x:c>
      <x:c r="C225" s="52" t="str">
        <x:v>ChatGPT — Release Notes</x:v>
      </x:c>
      <x:c r="D225" s="52" t="str">
        <x:v>memory_knowledge</x:v>
      </x:c>
      <x:c r="E225" s="52" t="str">
        <x:v>ChatGPT Projects</x:v>
      </x:c>
      <x:c r="F225" s="52" t="str">
        <x:v>launch</x:v>
      </x:c>
      <x:c r="G225" s="52" t="str">
        <x:v>general_availability</x:v>
      </x:c>
      <x:c r="H225" s="63" t="str">
        <x:v>Projects in ChatGPT</x:v>
      </x:c>
      <x:c r="I225" s="63" t="str">
        <x:v>推出：ChatGPT Projects</x:v>
      </x:c>
      <x:c r="J225" s="63" t="str">
        <x:v>Projects provide a new way to group files and chats for personal use, simplifying the management of work that involves multiple chats. You can set custom instructions and upload files in your Projects, and any conversations in your Project share context with your uploaded files and custom instructions. Chats in Projects use GPT-4o and support the following features:</x:v>
      </x:c>
      <x:c r="K225" s="63" t="str">
        <x:v>OpenAI 向 Plus、Team 與 Pro 推出 Projects，可將檔案、聊天與自訂指示集中並共享專案上下文，支援 Canvas、資料分析、DALL-E 與 Search。</x:v>
      </x:c>
      <x:c r="L225" s="52" t="str">
        <x:v>https://help.openai.com/en/articles/6825453-chatgpt-release-notes</x:v>
      </x:c>
      <x:c r="M225" s="52" t="str">
        <x:v>help_center_release_notes</x:v>
      </x:c>
      <x:c r="N225" s="52" t="str">
        <x:v>parsed</x:v>
      </x:c>
      <x:c r="O225" s="52" t="str">
        <x:v>high</x:v>
      </x:c>
      <x:c r="P225" s="60" t="n">
        <x:v>5</x:v>
      </x:c>
      <x:c r="Q225" s="52" t="str">
        <x:v>chatgpt | projects | files | context</x:v>
      </x:c>
    </x:row>
    <x:row r="226" ht="38" customHeight="1">
      <x:c r="A226" s="57" t="n">
        <x:v>45642</x:v>
      </x:c>
      <x:c r="B226" s="52" t="str">
        <x:v>lane-introducing-chatgpt-search</x:v>
      </x:c>
      <x:c r="C226" s="52" t="str">
        <x:v>Introducing ChatGPT search</x:v>
      </x:c>
      <x:c r="D226" s="52" t="str">
        <x:v>search_commerce</x:v>
      </x:c>
      <x:c r="E226" s="52" t="str">
        <x:v>ChatGPT Search</x:v>
      </x:c>
      <x:c r="F226" s="52" t="str">
        <x:v>availability</x:v>
      </x:c>
      <x:c r="G226" s="52" t="str">
        <x:v>general_availability</x:v>
      </x:c>
      <x:c r="H226" s="63" t="str">
        <x:v>ChatGPT Search available to all logged-in users</x:v>
      </x:c>
      <x:c r="I226" s="63" t="str">
        <x:v>ChatGPT Search 開放所有已登入使用者</x:v>
      </x:c>
      <x:c r="J226" s="63" t="str">
        <x:v>OpenAI expanded ChatGPT Search from paid plans to every logged-in user in regions where ChatGPT was available.</x:v>
      </x:c>
      <x:c r="K226" s="63" t="str">
        <x:v>OpenAI 將 ChatGPT Search 從付費方案擴展至 ChatGPT 可用地區的所有已登入使用者。</x:v>
      </x:c>
      <x:c r="L226" s="52" t="str">
        <x:v>https://openai.com/index/introducing-chatgpt-search/</x:v>
      </x:c>
      <x:c r="M226" s="52" t="str">
        <x:v>launch_post_update</x:v>
      </x:c>
      <x:c r="N226" s="52" t="str">
        <x:v>complete</x:v>
      </x:c>
      <x:c r="O226" s="52" t="str">
        <x:v>high</x:v>
      </x:c>
      <x:c r="P226" s="60" t="n">
        <x:v>5</x:v>
      </x:c>
      <x:c r="Q226" s="52" t="str">
        <x:v>chatgpt | search | free | logged-in</x:v>
      </x:c>
    </x:row>
    <x:row r="227" ht="38" customHeight="1">
      <x:c r="A227" s="57" t="n">
        <x:v>45643</x:v>
      </x:c>
      <x:c r="B227" s="52" t="str">
        <x:v>lane-openai-api-changelog</x:v>
      </x:c>
      <x:c r="C227" s="52" t="str">
        <x:v>OpenAI API Changelog</x:v>
      </x:c>
      <x:c r="D227" s="52" t="str">
        <x:v>multimodal</x:v>
      </x:c>
      <x:c r="E227" s="52" t="str">
        <x:v>Realtime &amp; Audio API</x:v>
      </x:c>
      <x:c r="F227" s="52" t="str">
        <x:v>model_release</x:v>
      </x:c>
      <x:c r="G227" s="52" t="str">
        <x:v>active</x:v>
      </x:c>
      <x:c r="H227" s="63" t="str">
        <x:v>Added new models for o1, gpt-4o-realtime, gpt-4o-audio and more.</x:v>
      </x:c>
      <x:c r="I227" s="63" t="str">
        <x:v>API 推出 o1‑preview 與 o1‑mini 推理模型</x:v>
      </x:c>
      <x:c r="J227" s="63" t="str">
        <x:v>Added new models for o1 , gpt-4o-realtime , gpt-4o-audio and more . Added WebRTC connection method for the Realtime API . Added reasoningeffort parameter for o1 models. Added developer message role for o1 model. Note that o1-preview and o1-mini do not support system or developer messages. Launched Preference Fine-tuning using Direct Preference Optimization (DPO) . Launched beta SDKs for Go and Java. Learn more . Added Realtime API su…</x:v>
      </x:c>
      <x:c r="K227" s="63" t="str">
        <x:v>API 推出 o1‑preview 與 o1‑mini 推理模型。OpenAI 將此列為 2024-12-17 的功能；重點涉及即時語音與音訊、模型微調，模型、端點與參數名稱依官方英文保留。</x:v>
      </x:c>
      <x:c r="L227" s="52" t="str">
        <x:v>https://developers.openai.com/api/docs/changelog</x:v>
      </x:c>
      <x:c r="M227" s="52" t="str">
        <x:v>official_changelog</x:v>
      </x:c>
      <x:c r="N227" s="52" t="str">
        <x:v>complete</x:v>
      </x:c>
      <x:c r="O227" s="52" t="str">
        <x:v>high</x:v>
      </x:c>
      <x:c r="P227" s="60" t="n">
        <x:v>3</x:v>
      </x:c>
      <x:c r="Q227" s="52" t="str">
        <x:v>audio | feature | realtime</x:v>
      </x:c>
    </x:row>
    <x:row r="228" ht="38" customHeight="1">
      <x:c r="A228" s="57" t="n">
        <x:v>45643</x:v>
      </x:c>
      <x:c r="B228" s="52" t="str">
        <x:v>lane-openai-o1-and-new-tools-for-developers</x:v>
      </x:c>
      <x:c r="C228" s="52" t="str">
        <x:v>OpenAI o1 and new tools for developers</x:v>
      </x:c>
      <x:c r="D228" s="52" t="str">
        <x:v>models_reasoning</x:v>
      </x:c>
      <x:c r="E228" s="52" t="str">
        <x:v>OpenAI o1</x:v>
      </x:c>
      <x:c r="F228" s="52" t="str">
        <x:v>model_update</x:v>
      </x:c>
      <x:c r="G228" s="52" t="str">
        <x:v>active</x:v>
      </x:c>
      <x:c r="H228" s="63" t="str">
        <x:v>Improved OpenAI o1 snapshot</x:v>
      </x:c>
      <x:c r="I228" s="63" t="str">
        <x:v>改良版 OpenAI o1 快照</x:v>
      </x:c>
      <x:c r="J228" s="63" t="str">
        <x:v>OpenAI released a new post-trained o1 snapshot with fewer reasoning tokens, improved benchmark performance, vision, and tool-oriented API capabilities, and said ChatGPT would update to it soon.</x:v>
      </x:c>
      <x:c r="K228" s="63" t="str">
        <x:v>OpenAI 發布新的後訓練 o1 快照，使用更少推理 token、改善評測表現並加入視覺與工具導向 API 能力，且表示 ChatGPT 將很快更新。</x:v>
      </x:c>
      <x:c r="L228" s="52" t="str">
        <x:v>https://openai.com/index/o1-and-new-tools-for-developers/</x:v>
      </x:c>
      <x:c r="M228" s="52" t="str">
        <x:v>release_post</x:v>
      </x:c>
      <x:c r="N228" s="52" t="str">
        <x:v>complete</x:v>
      </x:c>
      <x:c r="O228" s="52" t="str">
        <x:v>high</x:v>
      </x:c>
      <x:c r="P228" s="60" t="n">
        <x:v>4</x:v>
      </x:c>
      <x:c r="Q228" s="52" t="str">
        <x:v>o1 | model-update | reasoning | vision</x:v>
      </x:c>
    </x:row>
    <x:row r="229" ht="38" customHeight="1">
      <x:c r="A229" s="57" t="n">
        <x:v>45644</x:v>
      </x:c>
      <x:c r="B229" s="52" t="str">
        <x:v>lane-12-days-of-openai</x:v>
      </x:c>
      <x:c r="C229" s="52" t="str">
        <x:v>12 Days of OpenAI</x:v>
      </x:c>
      <x:c r="D229" s="52" t="str">
        <x:v>clients_surfaces</x:v>
      </x:c>
      <x:c r="E229" s="52" t="str">
        <x:v>1-800-CHATGPT</x:v>
      </x:c>
      <x:c r="F229" s="52" t="str">
        <x:v>platform</x:v>
      </x:c>
      <x:c r="G229" s="52" t="str">
        <x:v>research_preview</x:v>
      </x:c>
      <x:c r="H229" s="63" t="str">
        <x:v>1-800-CHATGPT</x:v>
      </x:c>
      <x:c r="I229" s="63" t="str">
        <x:v>1-800-CHATGPT 電話與 WhatsApp 入口</x:v>
      </x:c>
      <x:c r="J229" s="63" t="str">
        <x:v>OpenAI introduced an experimental way to access ChatGPT without an account through phone calls and WhatsApp at 1-800-CHATGPT.</x:v>
      </x:c>
      <x:c r="K229" s="63" t="str">
        <x:v>OpenAI 推出實驗性入口，可無須帳戶透過 1-800-CHATGPT 電話與 WhatsApp 使用 ChatGPT。</x:v>
      </x:c>
      <x:c r="L229" s="52" t="str">
        <x:v>https://openai.com/12-days/</x:v>
      </x:c>
      <x:c r="M229" s="52" t="str">
        <x:v>event_archive</x:v>
      </x:c>
      <x:c r="N229" s="52" t="str">
        <x:v>indexed</x:v>
      </x:c>
      <x:c r="O229" s="52" t="str">
        <x:v>high</x:v>
      </x:c>
      <x:c r="P229" s="60" t="n">
        <x:v>4</x:v>
      </x:c>
      <x:c r="Q229" s="52" t="str">
        <x:v>chatgpt | telephone | whatsapp | no-account</x:v>
      </x:c>
    </x:row>
    <x:row r="230" ht="38" customHeight="1">
      <x:c r="A230" s="57" t="n">
        <x:v>45644</x:v>
      </x:c>
      <x:c r="B230" s="52" t="str">
        <x:v>api-changelog</x:v>
      </x:c>
      <x:c r="C230" s="52" t="str">
        <x:v>OpenAI API Changelog</x:v>
      </x:c>
      <x:c r="D230" s="52" t="str">
        <x:v>enterprise_vertical</x:v>
      </x:c>
      <x:c r="E230" s="52" t="str">
        <x:v>ChatGPT Projects</x:v>
      </x:c>
      <x:c r="F230" s="52" t="str">
        <x:v>launch</x:v>
      </x:c>
      <x:c r="G230" s="52" t="str">
        <x:v>active</x:v>
      </x:c>
      <x:c r="H230" s="63" t="str">
        <x:v>Launched Admin API Key Rotations</x:v>
      </x:c>
      <x:c r="I230" s="63" t="str">
        <x:v>推出：Launched Admin API Key Rotations</x:v>
      </x:c>
      <x:c r="J230" s="63" t="str">
        <x:v>Launched Admin API Key Rotations, enabling customers to programmatically rotate their admin api keys. Updated Admin API Invites, enabling customers to programmatically invite users to projects at the same time they are invited to organizations.</x:v>
      </x:c>
      <x:c r="K230" s="63" t="str">
        <x:v>OpenAI 於 2024-12-18 為 ChatGPT Projects 推出新產品或能力；此節點依官方發布記錄整理，完整能力、適用方案與限制請見來源。</x:v>
      </x:c>
      <x:c r="L230" s="52" t="str">
        <x:v>https://platform.openai.com/docs/changelog</x:v>
      </x:c>
      <x:c r="M230" s="52" t="str">
        <x:v>developer_changelog</x:v>
      </x:c>
      <x:c r="N230" s="52" t="str">
        <x:v>parsed</x:v>
      </x:c>
      <x:c r="O230" s="52" t="str">
        <x:v>high</x:v>
      </x:c>
      <x:c r="P230" s="60" t="n">
        <x:v>0</x:v>
      </x:c>
      <x:c r="Q230" s="52" t="str"/>
    </x:row>
    <x:row r="231" ht="38" customHeight="1">
      <x:c r="A231" s="57" t="n">
        <x:v>45644</x:v>
      </x:c>
      <x:c r="B231" s="52" t="str">
        <x:v>lane-openai-api-changelog</x:v>
      </x:c>
      <x:c r="C231" s="52" t="str">
        <x:v>OpenAI API Changelog</x:v>
      </x:c>
      <x:c r="D231" s="52" t="str">
        <x:v>enterprise_vertical</x:v>
      </x:c>
      <x:c r="E231" s="52" t="str">
        <x:v>API Platform Admin</x:v>
      </x:c>
      <x:c r="F231" s="52" t="str">
        <x:v>launch</x:v>
      </x:c>
      <x:c r="G231" s="52" t="str">
        <x:v>active</x:v>
      </x:c>
      <x:c r="H231" s="63" t="str">
        <x:v>Launched Admin API Key Rotations</x:v>
      </x:c>
      <x:c r="I231" s="63" t="str">
        <x:v>推出：Admin API Key Rotations , enabling customers to programmatically rotate their admin api keys.</x:v>
      </x:c>
      <x:c r="J231" s="63" t="str">
        <x:v>Launched Admin API Key Rotations , enabling customers to programmatically rotate their admin api keys. Updated Admin API Invites , enabling customers to programmatically invite users to projects at the same time they are invited to organizations.</x:v>
      </x:c>
      <x:c r="K231" s="63" t="str">
        <x:v>推出：Admin API Key Rotations , enabling customers to programmatically rotate their admin api keys。OpenAI 將此列為 2024-12-18 的功能；重點涉及企業管理控制，模型、端點與參數名稱依官方英文保留。</x:v>
      </x:c>
      <x:c r="L231" s="52" t="str">
        <x:v>https://developers.openai.com/api/docs/changelog</x:v>
      </x:c>
      <x:c r="M231" s="52" t="str">
        <x:v>official_changelog</x:v>
      </x:c>
      <x:c r="N231" s="52" t="str">
        <x:v>complete</x:v>
      </x:c>
      <x:c r="O231" s="52" t="str">
        <x:v>high</x:v>
      </x:c>
      <x:c r="P231" s="60" t="n">
        <x:v>3</x:v>
      </x:c>
      <x:c r="Q231" s="52" t="str">
        <x:v>admin | enterprise | feature</x:v>
      </x:c>
    </x:row>
    <x:row r="232" ht="38" customHeight="1">
      <x:c r="A232" s="57" t="n">
        <x:v>45645</x:v>
      </x:c>
      <x:c r="B232" s="52" t="str">
        <x:v>macos-release-notes</x:v>
      </x:c>
      <x:c r="C232" s="52" t="str">
        <x:v>ChatGPT macOS app release notes</x:v>
      </x:c>
      <x:c r="D232" s="52" t="str">
        <x:v>clients_surfaces</x:v>
      </x:c>
      <x:c r="E232" s="52" t="str">
        <x:v>ChatGPT macOS</x:v>
      </x:c>
      <x:c r="F232" s="52" t="str">
        <x:v>feature</x:v>
      </x:c>
      <x:c r="G232" s="52" t="str">
        <x:v>general_availability</x:v>
      </x:c>
      <x:c r="H232" s="63" t="str">
        <x:v>Conversation search on macOS</x:v>
      </x:c>
      <x:c r="I232" s="63" t="str">
        <x:v>macOS 對話搜尋</x:v>
      </x:c>
      <x:c r="J232" s="63" t="str">
        <x:v>The macOS app added keyword and phrase search across prior ChatGPT conversations.</x:v>
      </x:c>
      <x:c r="K232" s="63" t="str">
        <x:v>macOS App 新增可依關鍵字與片語搜尋過往 ChatGPT 對話。</x:v>
      </x:c>
      <x:c r="L232" s="52" t="str">
        <x:v>https://help.openai.com/en/articles/9703738-desktop-app-release-notes</x:v>
      </x:c>
      <x:c r="M232" s="52" t="str">
        <x:v>help_center_release_notes</x:v>
      </x:c>
      <x:c r="N232" s="52" t="str">
        <x:v>parsed</x:v>
      </x:c>
      <x:c r="O232" s="52" t="str">
        <x:v>high</x:v>
      </x:c>
      <x:c r="P232" s="60" t="n">
        <x:v>2</x:v>
      </x:c>
      <x:c r="Q232" s="52" t="str">
        <x:v>chatgpt | macos | conversation-search | history</x:v>
      </x:c>
    </x:row>
    <x:row r="233" ht="38" customHeight="1">
      <x:c r="A233" s="57" t="n">
        <x:v>45645</x:v>
      </x:c>
      <x:c r="B233" s="52" t="str">
        <x:v>macos-release-notes</x:v>
      </x:c>
      <x:c r="C233" s="52" t="str">
        <x:v>ChatGPT macOS app release notes</x:v>
      </x:c>
      <x:c r="D233" s="52" t="str">
        <x:v>clients_surfaces</x:v>
      </x:c>
      <x:c r="E233" s="52" t="str">
        <x:v>Work with Apps</x:v>
      </x:c>
      <x:c r="F233" s="52" t="str">
        <x:v>integration</x:v>
      </x:c>
      <x:c r="G233" s="52" t="str">
        <x:v>beta</x:v>
      </x:c>
      <x:c r="H233" s="63" t="str">
        <x:v>Talk with Apps and note-taking integrations on macOS</x:v>
      </x:c>
      <x:c r="I233" s="63" t="str">
        <x:v>macOS Talk with Apps 與筆記 App 整合</x:v>
      </x:c>
      <x:c r="J233" s="63" t="str">
        <x:v>ChatGPT macOS let Advanced Voice work with supported apps and expanded app context to Apple Notes, Notion, Quip, Warp, and more coding tools.</x:v>
      </x:c>
      <x:c r="K233" s="63" t="str">
        <x:v>ChatGPT macOS 讓 Advanced Voice 可與支援的 App 協作，並將 App 上下文擴展至 Apple Notes、Notion、Quip、Warp 與更多程式工具。</x:v>
      </x:c>
      <x:c r="L233" s="52" t="str">
        <x:v>https://help.openai.com/en/articles/9703738-desktop-app-release-notes</x:v>
      </x:c>
      <x:c r="M233" s="52" t="str">
        <x:v>help_center_release_notes</x:v>
      </x:c>
      <x:c r="N233" s="52" t="str">
        <x:v>parsed</x:v>
      </x:c>
      <x:c r="O233" s="52" t="str">
        <x:v>high</x:v>
      </x:c>
      <x:c r="P233" s="60" t="n">
        <x:v>4</x:v>
      </x:c>
      <x:c r="Q233" s="52" t="str">
        <x:v>chatgpt | macos | advanced-voice | work-with-apps</x:v>
      </x:c>
    </x:row>
    <x:row r="234" ht="38" customHeight="1">
      <x:c r="A234" s="57" t="n">
        <x:v>45645</x:v>
      </x:c>
      <x:c r="B234" s="52" t="str">
        <x:v>macos-release-notes</x:v>
      </x:c>
      <x:c r="C234" s="52" t="str">
        <x:v>ChatGPT macOS app release notes</x:v>
      </x:c>
      <x:c r="D234" s="52" t="str">
        <x:v>clients_surfaces</x:v>
      </x:c>
      <x:c r="E234" s="52" t="str">
        <x:v>ChatGPT macOS</x:v>
      </x:c>
      <x:c r="F234" s="52" t="str">
        <x:v>feature</x:v>
      </x:c>
      <x:c r="G234" s="52" t="str">
        <x:v>active</x:v>
      </x:c>
      <x:c r="H234" s="63" t="str">
        <x:v>Talk with Apps on macOS</x:v>
      </x:c>
      <x:c r="I234" s="63" t="str">
        <x:v>功能更新：macOS Talk with Apps</x:v>
      </x:c>
      <x:c r="J234" s="63" t="str">
        <x:v>Advanced Voice Mode could work with supported apps; the release also added conversation search and more note-taking and coding integrations.</x:v>
      </x:c>
      <x:c r="K234" s="63" t="str">
        <x:v>進階語音可搭配支援的 App 使用，並新增對話搜尋及更多筆記與編碼工具整合。</x:v>
      </x:c>
      <x:c r="L234" s="52" t="str">
        <x:v>https://help.openai.com/en/articles/9703738-desktop-app-release-notes</x:v>
      </x:c>
      <x:c r="M234" s="52" t="str">
        <x:v>help_center_release_notes</x:v>
      </x:c>
      <x:c r="N234" s="52" t="str">
        <x:v>parsed</x:v>
      </x:c>
      <x:c r="O234" s="52" t="str">
        <x:v>high</x:v>
      </x:c>
      <x:c r="P234" s="60" t="n">
        <x:v>4</x:v>
      </x:c>
      <x:c r="Q234" s="52" t="str">
        <x:v>apps | macos | voice</x:v>
      </x:c>
    </x:row>
    <x:row r="235" ht="38" customHeight="1">
      <x:c r="A235" s="57" t="n">
        <x:v>45646</x:v>
      </x:c>
      <x:c r="B235" s="52" t="str">
        <x:v>lane-12-days-of-openai</x:v>
      </x:c>
      <x:c r="C235" s="52" t="str">
        <x:v>12 Days of OpenAI</x:v>
      </x:c>
      <x:c r="D235" s="52" t="str">
        <x:v>models_reasoning</x:v>
      </x:c>
      <x:c r="E235" s="52" t="str">
        <x:v>OpenAI o3 and o3-mini</x:v>
      </x:c>
      <x:c r="F235" s="52" t="str">
        <x:v>model_release</x:v>
      </x:c>
      <x:c r="G235" s="52" t="str">
        <x:v>research_preview</x:v>
      </x:c>
      <x:c r="H235" s="63" t="str">
        <x:v>OpenAI o3 and o3-mini preview announced</x:v>
      </x:c>
      <x:c r="I235" s="63" t="str">
        <x:v>宣布 OpenAI o3 與 o3-mini 預覽</x:v>
      </x:c>
      <x:c r="J235" s="63" t="str">
        <x:v>OpenAI previewed its next reasoning-model family, o3 and o3-mini, and opened an early-access program for safety and security researchers rather than a general product release.</x:v>
      </x:c>
      <x:c r="K235" s="63" t="str">
        <x:v>OpenAI 預覽下一代推理模型系列 o3 與 o3-mini，並向安全與資安研究者開放搶先測試；當時尚非一般產品發布。</x:v>
      </x:c>
      <x:c r="L235" s="52" t="str">
        <x:v>https://openai.com/12-days/</x:v>
      </x:c>
      <x:c r="M235" s="52" t="str">
        <x:v>event_archive</x:v>
      </x:c>
      <x:c r="N235" s="52" t="str">
        <x:v>indexed</x:v>
      </x:c>
      <x:c r="O235" s="52" t="str">
        <x:v>high</x:v>
      </x:c>
      <x:c r="P235" s="60" t="n">
        <x:v>5</x:v>
      </x:c>
      <x:c r="Q235" s="52" t="str">
        <x:v>o3 | o3-mini | reasoning | preview</x:v>
      </x:c>
    </x:row>
    <x:row r="236" ht="38" customHeight="1">
      <x:c r="A236" s="57" t="n">
        <x:v>45671</x:v>
      </x:c>
      <x:c r="B236" s="52" t="str">
        <x:v>chatgpt-release-notes</x:v>
      </x:c>
      <x:c r="C236" s="52" t="str">
        <x:v>ChatGPT — Release Notes</x:v>
      </x:c>
      <x:c r="D236" s="52" t="str">
        <x:v>agents_research</x:v>
      </x:c>
      <x:c r="E236" s="52" t="str">
        <x:v>ChatGPT Enterprise &amp; Edu</x:v>
      </x:c>
      <x:c r="F236" s="52" t="str">
        <x:v>feature</x:v>
      </x:c>
      <x:c r="G236" s="52" t="str">
        <x:v>active</x:v>
      </x:c>
      <x:c r="H236" s="63" t="str">
        <x:v>Scheduled tasks in ChatGPT</x:v>
      </x:c>
      <x:c r="I236" s="63" t="str">
        <x:v>ChatGPT 的預排任務</x:v>
      </x:c>
      <x:c r="J236" s="63" t="str">
        <x:v>Today we’re rolling out a beta version of tasks—a new way to ask ChatGPT to do things for you at a future time. Whether it's one-time reminders or recurring actions, tell ChatGPT what you need and when, and it will automatically take care of it. Scheduled tasks is in early beta for Plus, Pro, and Teams. Eventually this will be available to anyone with a ChatGPT account. For details see Scheduled tasks in ChatGPT.</x:v>
      </x:c>
      <x:c r="K236" s="63" t="str">
        <x:v>我們今日推出預排任務的測試版本，讓 ChatGPT 能在未來為您執行任務。無論是一次性提醒或重複性操作，只需告知 ChatGPT 需求與時間，系統將自動處理。預排任務目前正於 Plus、Pro 及 Teams 方案中進行早期測試。</x:v>
      </x:c>
      <x:c r="L236" s="52" t="str">
        <x:v>https://help.openai.com/en/articles/6825453-chatgpt-release-notes</x:v>
      </x:c>
      <x:c r="M236" s="52" t="str">
        <x:v>help_center_release_notes</x:v>
      </x:c>
      <x:c r="N236" s="52" t="str">
        <x:v>complete</x:v>
      </x:c>
      <x:c r="O236" s="52" t="str">
        <x:v>high</x:v>
      </x:c>
      <x:c r="P236" s="60" t="n">
        <x:v>3</x:v>
      </x:c>
      <x:c r="Q236" s="52" t="str">
        <x:v>2025 | agents-research | feature | scheduled-tasks</x:v>
      </x:c>
    </x:row>
    <x:row r="237" ht="38" customHeight="1">
      <x:c r="A237" s="57" t="n">
        <x:v>45672</x:v>
      </x:c>
      <x:c r="B237" s="52" t="str">
        <x:v>macos-release-notes</x:v>
      </x:c>
      <x:c r="C237" s="52" t="str">
        <x:v>ChatGPT macOS app release notes</x:v>
      </x:c>
      <x:c r="D237" s="52" t="str">
        <x:v>clients_surfaces</x:v>
      </x:c>
      <x:c r="E237" s="52" t="str">
        <x:v>ChatGPT macOS</x:v>
      </x:c>
      <x:c r="F237" s="52" t="str">
        <x:v>feature</x:v>
      </x:c>
      <x:c r="G237" s="52" t="str">
        <x:v>active</x:v>
      </x:c>
      <x:c r="H237" s="63" t="str">
        <x:v>Canvas, Tasks and Projects on macOS</x:v>
      </x:c>
      <x:c r="I237" s="63" t="str">
        <x:v>macOS 新增 Canvas、Tasks 與 Projects</x:v>
      </x:c>
      <x:c r="J237" s="63" t="str">
        <x:v>The macOS app added Canvas, Tasks and support for working in existing Projects, alongside attachment, sidebar and table fixes.</x:v>
      </x:c>
      <x:c r="K237" s="63" t="str">
        <x:v>macOS App 新增 Canvas、Tasks 與既有 Projects 支援，並修正附件、側欄及表格問題。</x:v>
      </x:c>
      <x:c r="L237" s="52" t="str">
        <x:v>https://help.openai.com/en/articles/9703738-desktop-app-release-notes</x:v>
      </x:c>
      <x:c r="M237" s="52" t="str">
        <x:v>help_center_release_notes</x:v>
      </x:c>
      <x:c r="N237" s="52" t="str">
        <x:v>parsed</x:v>
      </x:c>
      <x:c r="O237" s="52" t="str">
        <x:v>high</x:v>
      </x:c>
      <x:c r="P237" s="60" t="n">
        <x:v>3</x:v>
      </x:c>
      <x:c r="Q237" s="52" t="str">
        <x:v>canvas | macos | tasks</x:v>
      </x:c>
    </x:row>
    <x:row r="238" ht="38" customHeight="1">
      <x:c r="A238" s="57" t="n">
        <x:v>45672</x:v>
      </x:c>
      <x:c r="B238" s="52" t="str">
        <x:v>chatgpt-release-notes</x:v>
      </x:c>
      <x:c r="C238" s="52" t="str">
        <x:v>ChatGPT — Release Notes</x:v>
      </x:c>
      <x:c r="D238" s="52" t="str">
        <x:v>chatgpt_core</x:v>
      </x:c>
      <x:c r="E238" s="52" t="str">
        <x:v>ChatGPT</x:v>
      </x:c>
      <x:c r="F238" s="52" t="str">
        <x:v>feature</x:v>
      </x:c>
      <x:c r="G238" s="52" t="str">
        <x:v>active</x:v>
      </x:c>
      <x:c r="H238" s="63" t="str">
        <x:v>Import from Chat into Canvas</x:v>
      </x:c>
      <x:c r="I238" s="63" t="str">
        <x:v>從聊天視窗匯入至 Canvas</x:v>
      </x:c>
      <x:c r="J238" s="63" t="str">
        <x:v>Edit a full model response in Canvas Edit a code block in Canvas Web only (no desktop or mobile in this release).</x:v>
      </x:c>
      <x:c r="K238" s="63" t="str">
        <x:v>OpenAI 於 2025-01-15 為 ChatGPT 新增功能；此節點依官方發布記錄整理，完整能力、適用方案與限制請見來源。</x:v>
      </x:c>
      <x:c r="L238" s="52" t="str">
        <x:v>https://help.openai.com/en/articles/6825453-chatgpt-release-notes</x:v>
      </x:c>
      <x:c r="M238" s="52" t="str">
        <x:v>help_center_release_notes</x:v>
      </x:c>
      <x:c r="N238" s="52" t="str">
        <x:v>complete</x:v>
      </x:c>
      <x:c r="O238" s="52" t="str">
        <x:v>high</x:v>
      </x:c>
      <x:c r="P238" s="60" t="n">
        <x:v>3</x:v>
      </x:c>
      <x:c r="Q238" s="52" t="str">
        <x:v>2025 | chatgpt | chatgpt-core | feature</x:v>
      </x:c>
    </x:row>
    <x:row r="239" ht="38" customHeight="1">
      <x:c r="A239" s="57" t="n">
        <x:v>45674</x:v>
      </x:c>
      <x:c r="B239" s="52" t="str">
        <x:v>chatgpt-release-notes</x:v>
      </x:c>
      <x:c r="C239" s="52" t="str">
        <x:v>ChatGPT — Release Notes</x:v>
      </x:c>
      <x:c r="D239" s="52" t="str">
        <x:v>chatgpt_core</x:v>
      </x:c>
      <x:c r="E239" s="52" t="str">
        <x:v>ChatGPT</x:v>
      </x:c>
      <x:c r="F239" s="52" t="str">
        <x:v>feature</x:v>
      </x:c>
      <x:c r="G239" s="52" t="str">
        <x:v>active</x:v>
      </x:c>
      <x:c r="H239" s="63" t="str">
        <x:v>More personalization in Custom Instructions</x:v>
      </x:c>
      <x:c r="I239" s="63" t="str">
        <x:v>自訂指令中的更多個人化設定</x:v>
      </x:c>
      <x:c r="J239" s="63" t="str">
        <x:v>We've updated custom instructions to make it easier to customize how ChatGPT responds to you. With the new UI, you can tell ChatGPT the traits you want it to have, how you want it to talk to you, and any rules you want it to follow. If you're already using custom instructions, this won't change your current settings. The new UI is rolling out now on http://chatgpt.com and desktop on Windows, and is coming to mobile and desktop on Mac…</x:v>
      </x:c>
      <x:c r="K239" s="63" t="str">
        <x:v>我們更新了自訂指令，讓使用者能更輕鬆地設定 ChatGPT 的回應方式。透過新介面，您可以設定希望 ChatGPT 具備的特質、對話語氣，以及需遵循的任何規則。若您已在使用自訂指令，此更新不會變更您目前的設定。</x:v>
      </x:c>
      <x:c r="L239" s="52" t="str">
        <x:v>https://help.openai.com/en/articles/6825453-chatgpt-release-notes</x:v>
      </x:c>
      <x:c r="M239" s="52" t="str">
        <x:v>help_center_release_notes</x:v>
      </x:c>
      <x:c r="N239" s="52" t="str">
        <x:v>complete</x:v>
      </x:c>
      <x:c r="O239" s="52" t="str">
        <x:v>high</x:v>
      </x:c>
      <x:c r="P239" s="60" t="n">
        <x:v>3</x:v>
      </x:c>
      <x:c r="Q239" s="52" t="str">
        <x:v>2025 | chatgpt | chatgpt-core | feature</x:v>
      </x:c>
    </x:row>
    <x:row r="240" ht="38" customHeight="1">
      <x:c r="A240" s="57" t="n">
        <x:v>45678</x:v>
      </x:c>
      <x:c r="B240" s="52" t="str">
        <x:v>api-changelog</x:v>
      </x:c>
      <x:c r="C240" s="52" t="str">
        <x:v>OpenAI API Changelog</x:v>
      </x:c>
      <x:c r="D240" s="52" t="str">
        <x:v>models_reasoning</x:v>
      </x:c>
      <x:c r="E240" s="52" t="str">
        <x:v>o1</x:v>
      </x:c>
      <x:c r="F240" s="52" t="str">
        <x:v>feature</x:v>
      </x:c>
      <x:c r="G240" s="52" t="str">
        <x:v>active</x:v>
      </x:c>
      <x:c r="H240" s="63" t="str">
        <x:v>Expanded access to o1 model.</x:v>
      </x:c>
      <x:c r="I240" s="63" t="str">
        <x:v>功能更新：Expanded access to o1 model.</x:v>
      </x:c>
      <x:c r="J240" s="63" t="str">
        <x:v>Expanded access to o1 model. The o1 series of models are trained with reinforcement learning to perform complex reasoning.</x:v>
      </x:c>
      <x:c r="K240" s="63" t="str">
        <x:v>OpenAI 於 2025-01-21 為 o1 新增功能；此節點依官方發布記錄整理，完整能力、適用方案與限制請見來源。</x:v>
      </x:c>
      <x:c r="L240" s="52" t="str">
        <x:v>https://platform.openai.com/docs/changelog</x:v>
      </x:c>
      <x:c r="M240" s="52" t="str">
        <x:v>developer_changelog</x:v>
      </x:c>
      <x:c r="N240" s="52" t="str">
        <x:v>parsed</x:v>
      </x:c>
      <x:c r="O240" s="52" t="str">
        <x:v>high</x:v>
      </x:c>
      <x:c r="P240" s="60" t="n">
        <x:v>0</x:v>
      </x:c>
      <x:c r="Q240" s="52" t="str"/>
    </x:row>
    <x:row r="241" ht="38" customHeight="1">
      <x:c r="A241" s="57" t="n">
        <x:v>45678</x:v>
      </x:c>
      <x:c r="B241" s="52" t="str">
        <x:v>lane-openai-api-changelog</x:v>
      </x:c>
      <x:c r="C241" s="52" t="str">
        <x:v>OpenAI API Changelog</x:v>
      </x:c>
      <x:c r="D241" s="52" t="str">
        <x:v>models_reasoning</x:v>
      </x:c>
      <x:c r="E241" s="52" t="str">
        <x:v>Model Platform</x:v>
      </x:c>
      <x:c r="F241" s="52" t="str">
        <x:v>feature</x:v>
      </x:c>
      <x:c r="G241" s="52" t="str">
        <x:v>active</x:v>
      </x:c>
      <x:c r="H241" s="63" t="str">
        <x:v>Expanded access to o1 model.</x:v>
      </x:c>
      <x:c r="I241" s="63" t="str">
        <x:v>擴充：access to o1 模型 .</x:v>
      </x:c>
      <x:c r="J241" s="63" t="str">
        <x:v>Expanded access to o1 model . The o1 series of models are trained with reinforcement learning to perform complex reasoning.</x:v>
      </x:c>
      <x:c r="K241" s="63" t="str">
        <x:v>擴充：access to o1 模型。OpenAI 將此列為 2025-01-21 的功能；重點涉及平台功能與可用性，模型、端點與參數名稱依官方英文保留。</x:v>
      </x:c>
      <x:c r="L241" s="52" t="str">
        <x:v>https://developers.openai.com/api/docs/changelog</x:v>
      </x:c>
      <x:c r="M241" s="52" t="str">
        <x:v>official_changelog</x:v>
      </x:c>
      <x:c r="N241" s="52" t="str">
        <x:v>complete</x:v>
      </x:c>
      <x:c r="O241" s="52" t="str">
        <x:v>high</x:v>
      </x:c>
      <x:c r="P241" s="60" t="n">
        <x:v>2</x:v>
      </x:c>
      <x:c r="Q241" s="52" t="str">
        <x:v>api | feature | models</x:v>
      </x:c>
    </x:row>
    <x:row r="242" ht="38" customHeight="1">
      <x:c r="A242" s="57" t="n">
        <x:v>45680</x:v>
      </x:c>
      <x:c r="B242" s="52" t="str">
        <x:v>lane-introducing-operator</x:v>
      </x:c>
      <x:c r="C242" s="52" t="str">
        <x:v>Introducing Operator</x:v>
      </x:c>
      <x:c r="D242" s="52" t="str">
        <x:v>agents_research</x:v>
      </x:c>
      <x:c r="E242" s="52" t="str">
        <x:v>Operator</x:v>
      </x:c>
      <x:c r="F242" s="52" t="str">
        <x:v>launch</x:v>
      </x:c>
      <x:c r="G242" s="52" t="str">
        <x:v>research_preview</x:v>
      </x:c>
      <x:c r="H242" s="63" t="str">
        <x:v>Introducing Operator</x:v>
      </x:c>
      <x:c r="I242" s="63" t="str">
        <x:v>推出 Operator</x:v>
      </x:c>
      <x:c r="J242" s="63" t="str">
        <x:v>OpenAI released Operator as a U.S. research preview for ChatGPT Pro: an agent powered by the Computer-Using Agent model that can use its own browser to type, click, scroll, and perform web tasks under user control.</x:v>
      </x:c>
      <x:c r="K242" s="63" t="str">
        <x:v>OpenAI 針對 ChatGPT Pro 在美國推出 Operator 研究預覽版。這是一個由「電腦使用代理模型」(Computer-Using Agent model) 驅動的代理，能在使用者控制下，利用自身瀏覽器進行輸入、點擊、捲動及執行網路任務。</x:v>
      </x:c>
      <x:c r="L242" s="52" t="str">
        <x:v>https://openai.com/index/introducing-operator/</x:v>
      </x:c>
      <x:c r="M242" s="52" t="str">
        <x:v>official_launch_post</x:v>
      </x:c>
      <x:c r="N242" s="52" t="str">
        <x:v>complete</x:v>
      </x:c>
      <x:c r="O242" s="52" t="str">
        <x:v>high</x:v>
      </x:c>
      <x:c r="P242" s="60" t="n">
        <x:v>5</x:v>
      </x:c>
      <x:c r="Q242" s="52" t="str">
        <x:v>2025 | agents-research | launch | operator</x:v>
      </x:c>
    </x:row>
    <x:row r="243" ht="38" customHeight="1">
      <x:c r="A243" s="57" t="n">
        <x:v>45686</x:v>
      </x:c>
      <x:c r="B243" s="52" t="str">
        <x:v>model-release-notes</x:v>
      </x:c>
      <x:c r="C243" s="52" t="str">
        <x:v>Model Release Notes</x:v>
      </x:c>
      <x:c r="D243" s="52" t="str">
        <x:v>models_reasoning</x:v>
      </x:c>
      <x:c r="E243" s="52" t="str">
        <x:v>GPT-4o</x:v>
      </x:c>
      <x:c r="F243" s="52" t="str">
        <x:v>model_update</x:v>
      </x:c>
      <x:c r="G243" s="52" t="str">
        <x:v>active</x:v>
      </x:c>
      <x:c r="H243" s="63" t="str">
        <x:v>Updates to GPT-4o in ChatGPT</x:v>
      </x:c>
      <x:c r="I243" s="63" t="str">
        <x:v>更新：GPT-4o 於 ChatGPT</x:v>
      </x:c>
      <x:c r="J243" s="63" t="str">
        <x:v>We’ve made some updates to GPT-4o–it’s now a smarter model across the board with more up-to-date knowledge, as well as deeper understanding and analysis of image uploads. More up-to-date knowledge: By extending its training data cutoff from November 2023 to June 2024, GPT-4o can now offer more relevant, current, and contextually accurate responses, especially for questions involving cultural and social trends or more up-to-date resea…</x:v>
      </x:c>
      <x:c r="K243" s="63" t="str">
        <x:v>OpenAI 於 2025-01-29 為 GPT-4o 更新模型或體驗；此節點依官方發布記錄整理，完整能力、適用方案與限制請見來源。</x:v>
      </x:c>
      <x:c r="L243" s="52" t="str">
        <x:v>https://help.openai.com/en/articles/9624314-model-release-notes</x:v>
      </x:c>
      <x:c r="M243" s="52" t="str">
        <x:v>help_center_release_notes</x:v>
      </x:c>
      <x:c r="N243" s="52" t="str">
        <x:v>parsed</x:v>
      </x:c>
      <x:c r="O243" s="52" t="str">
        <x:v>high</x:v>
      </x:c>
      <x:c r="P243" s="60" t="n">
        <x:v>0</x:v>
      </x:c>
      <x:c r="Q243" s="52" t="str"/>
    </x:row>
    <x:row r="244" ht="38" customHeight="1">
      <x:c r="A244" s="57" t="n">
        <x:v>45687</x:v>
      </x:c>
      <x:c r="B244" s="52" t="str">
        <x:v>windows-release-notes</x:v>
      </x:c>
      <x:c r="C244" s="52" t="str">
        <x:v>Windows App — Release Notes</x:v>
      </x:c>
      <x:c r="D244" s="52" t="str">
        <x:v>clients_surfaces</x:v>
      </x:c>
      <x:c r="E244" s="52" t="str">
        <x:v>ChatGPT Windows</x:v>
      </x:c>
      <x:c r="F244" s="52" t="str">
        <x:v>availability</x:v>
      </x:c>
      <x:c r="G244" s="52" t="str">
        <x:v>active</x:v>
      </x:c>
      <x:c r="H244" s="63" t="str">
        <x:v>Install ChatGPT for Windows with winget</x:v>
      </x:c>
      <x:c r="I244" s="63" t="str">
        <x:v>Windows App 支援 winget 安裝</x:v>
      </x:c>
      <x:c r="J244" s="63" t="str">
        <x:v>The Windows app added winget installation support, useful for Enterprise IT-managed deployment.</x:v>
      </x:c>
      <x:c r="K244" s="63" t="str">
        <x:v>Windows App 新增 winget 安裝方式，便於 Enterprise IT 管理部署。</x:v>
      </x:c>
      <x:c r="L244" s="52" t="str">
        <x:v>https://help.openai.com/en/articles/10003026-windows-app-release-notes</x:v>
      </x:c>
      <x:c r="M244" s="52" t="str">
        <x:v>help_center_release_notes</x:v>
      </x:c>
      <x:c r="N244" s="52" t="str">
        <x:v>parsed</x:v>
      </x:c>
      <x:c r="O244" s="52" t="str">
        <x:v>high</x:v>
      </x:c>
      <x:c r="P244" s="60" t="n">
        <x:v>3</x:v>
      </x:c>
      <x:c r="Q244" s="52" t="str">
        <x:v>enterprise | windows | winget</x:v>
      </x:c>
    </x:row>
    <x:row r="245" ht="38" customHeight="1">
      <x:c r="A245" s="57" t="n">
        <x:v>45688</x:v>
      </x:c>
      <x:c r="B245" s="52" t="str">
        <x:v>model-release-notes</x:v>
      </x:c>
      <x:c r="C245" s="52" t="str">
        <x:v>Model Release Notes</x:v>
      </x:c>
      <x:c r="D245" s="52" t="str">
        <x:v>models_reasoning</x:v>
      </x:c>
      <x:c r="E245" s="52" t="str">
        <x:v>OpenAI o-series</x:v>
      </x:c>
      <x:c r="F245" s="52" t="str">
        <x:v>model_release</x:v>
      </x:c>
      <x:c r="G245" s="52" t="str">
        <x:v>active</x:v>
      </x:c>
      <x:c r="H245" s="63" t="str">
        <x:v>Introducing OpenAI o3-mini</x:v>
      </x:c>
      <x:c r="I245" s="63" t="str">
        <x:v>推出 OpenAI o3-mini</x:v>
      </x:c>
      <x:c r="J245" s="63" t="str">
        <x:v>We’re excited to release o3-mini, our newest cost-efficient reasoning model optimized for coding, math, and science. On the API, o3-mini supports Structured Outputs, function calling, developer messages, and streaming. It offers three adjustable reasoning efforts (low, medium, and high), so you can balance speed with depth for your use case.</x:v>
      </x:c>
      <x:c r="K245" s="63" t="str">
        <x:v>OpenAI 推出 o3-mini，這是一款針對程式撰寫、數學及科學進行最佳化的具成本效益推理模型，並提供予 ChatGPT 免費版、付費方案以及 API 使用。</x:v>
      </x:c>
      <x:c r="L245" s="52" t="str">
        <x:v>https://help.openai.com/en/articles/9624314-model-release-notes</x:v>
      </x:c>
      <x:c r="M245" s="52" t="str">
        <x:v>help_center_release_notes</x:v>
      </x:c>
      <x:c r="N245" s="52" t="str">
        <x:v>complete</x:v>
      </x:c>
      <x:c r="O245" s="52" t="str">
        <x:v>high</x:v>
      </x:c>
      <x:c r="P245" s="60" t="n">
        <x:v>4</x:v>
      </x:c>
      <x:c r="Q245" s="52" t="str">
        <x:v>2025 | model_release | models-reasoning | openai-o-series</x:v>
      </x:c>
    </x:row>
    <x:row r="246" ht="38" customHeight="1">
      <x:c r="A246" s="57" t="n">
        <x:v>45688</x:v>
      </x:c>
      <x:c r="B246" s="52" t="str">
        <x:v>lane-openai-api-changelog</x:v>
      </x:c>
      <x:c r="C246" s="52" t="str">
        <x:v>OpenAI API Changelog</x:v>
      </x:c>
      <x:c r="D246" s="52" t="str">
        <x:v>models_reasoning</x:v>
      </x:c>
      <x:c r="E246" s="52" t="str">
        <x:v>Model Platform</x:v>
      </x:c>
      <x:c r="F246" s="52" t="str">
        <x:v>model_release</x:v>
      </x:c>
      <x:c r="G246" s="52" t="str">
        <x:v>active</x:v>
      </x:c>
      <x:c r="H246" s="63" t="str">
        <x:v>Launched o3-mini</x:v>
      </x:c>
      <x:c r="I246" s="63" t="str">
        <x:v>API 推出 o3‑mini</x:v>
      </x:c>
      <x:c r="J246" s="63" t="str">
        <x:v>Launched o3-mini , a new small reasoning model that is optimized for science, math, and coding tasks.</x:v>
      </x:c>
      <x:c r="K246" s="63" t="str">
        <x:v>API 推出 o3‑mini。OpenAI 將此列為 2025-01-31 的功能；重點涉及平台功能與可用性，模型、端點與參數名稱依官方英文保留。</x:v>
      </x:c>
      <x:c r="L246" s="52" t="str">
        <x:v>https://developers.openai.com/api/docs/changelog</x:v>
      </x:c>
      <x:c r="M246" s="52" t="str">
        <x:v>official_changelog</x:v>
      </x:c>
      <x:c r="N246" s="52" t="str">
        <x:v>complete</x:v>
      </x:c>
      <x:c r="O246" s="52" t="str">
        <x:v>high</x:v>
      </x:c>
      <x:c r="P246" s="60" t="n">
        <x:v>3</x:v>
      </x:c>
      <x:c r="Q246" s="52" t="str">
        <x:v>api | feature | models</x:v>
      </x:c>
    </x:row>
    <x:row r="247" ht="38" customHeight="1">
      <x:c r="A247" s="57" t="n">
        <x:v>45688</x:v>
      </x:c>
      <x:c r="B247" s="52" t="str">
        <x:v>api-changelog</x:v>
      </x:c>
      <x:c r="C247" s="52" t="str">
        <x:v>OpenAI API Changelog</x:v>
      </x:c>
      <x:c r="D247" s="52" t="str">
        <x:v>models_reasoning</x:v>
      </x:c>
      <x:c r="E247" s="52" t="str">
        <x:v>o3</x:v>
      </x:c>
      <x:c r="F247" s="52" t="str">
        <x:v>feature</x:v>
      </x:c>
      <x:c r="G247" s="52" t="str">
        <x:v>active</x:v>
      </x:c>
      <x:c r="H247" s="63" t="str">
        <x:v>o3-mini-2025-01-31 v1/chat/completions</x:v>
      </x:c>
      <x:c r="I247" s="63" t="str">
        <x:v>功能更新：o3-mini-2025-01-31 v1/chat/completions</x:v>
      </x:c>
      <x:c r="J247" s="63" t="str">
        <x:v>o3-mini-2025-01-31 v1/chat/completions</x:v>
      </x:c>
      <x:c r="K247" s="63" t="str">
        <x:v>OpenAI 於 2025-01-31 為 o3 新增功能；此節點依官方發布記錄整理，完整能力、適用方案與限制請見來源。</x:v>
      </x:c>
      <x:c r="L247" s="52" t="str">
        <x:v>https://platform.openai.com/docs/changelog</x:v>
      </x:c>
      <x:c r="M247" s="52" t="str">
        <x:v>developer_changelog</x:v>
      </x:c>
      <x:c r="N247" s="52" t="str">
        <x:v>parsed</x:v>
      </x:c>
      <x:c r="O247" s="52" t="str">
        <x:v>high</x:v>
      </x:c>
      <x:c r="P247" s="60" t="n">
        <x:v>0</x:v>
      </x:c>
      <x:c r="Q247" s="52" t="str"/>
    </x:row>
    <x:row r="248" ht="38" customHeight="1">
      <x:c r="A248" s="57" t="n">
        <x:v>45690</x:v>
      </x:c>
      <x:c r="B248" s="52" t="str">
        <x:v>lane-introducing-deep-research</x:v>
      </x:c>
      <x:c r="C248" s="52" t="str">
        <x:v>Introducing deep research</x:v>
      </x:c>
      <x:c r="D248" s="52" t="str">
        <x:v>agents_research</x:v>
      </x:c>
      <x:c r="E248" s="52" t="str">
        <x:v>deep research</x:v>
      </x:c>
      <x:c r="F248" s="52" t="str">
        <x:v>launch</x:v>
      </x:c>
      <x:c r="G248" s="52" t="str">
        <x:v>active</x:v>
      </x:c>
      <x:c r="H248" s="63" t="str">
        <x:v>Introducing deep research</x:v>
      </x:c>
      <x:c r="I248" s="63" t="str">
        <x:v>推出 Deep Research</x:v>
      </x:c>
      <x:c r="J248" s="63" t="str">
        <x:v>OpenAI launched deep research in ChatGPT for multi-step web research that finds, analyzes, and synthesizes many online sources into cited reports; the initial rollout began with Pro users.</x:v>
      </x:c>
      <x:c r="K248" s="63" t="str">
        <x:v>OpenAI 在 ChatGPT 中推出 Deep Research，用於進行多步驟網路研究，能搜尋、分析並整合多項線上來源，彙整成附註引用的報告；初期先向 Pro 使用者開放。</x:v>
      </x:c>
      <x:c r="L248" s="52" t="str">
        <x:v>https://openai.com/index/introducing-deep-research/</x:v>
      </x:c>
      <x:c r="M248" s="52" t="str">
        <x:v>official_launch_post</x:v>
      </x:c>
      <x:c r="N248" s="52" t="str">
        <x:v>complete</x:v>
      </x:c>
      <x:c r="O248" s="52" t="str">
        <x:v>high</x:v>
      </x:c>
      <x:c r="P248" s="60" t="n">
        <x:v>5</x:v>
      </x:c>
      <x:c r="Q248" s="52" t="str">
        <x:v>2025 | agents-research | deep-research | launch</x:v>
      </x:c>
    </x:row>
    <x:row r="249" ht="38" customHeight="1">
      <x:c r="A249" s="57" t="n">
        <x:v>45693</x:v>
      </x:c>
      <x:c r="B249" s="52" t="str">
        <x:v>lane-introducing-deep-research</x:v>
      </x:c>
      <x:c r="C249" s="52" t="str">
        <x:v>Introducing deep research</x:v>
      </x:c>
      <x:c r="D249" s="52" t="str">
        <x:v>agents_research</x:v>
      </x:c>
      <x:c r="E249" s="52" t="str">
        <x:v>deep research</x:v>
      </x:c>
      <x:c r="F249" s="52" t="str">
        <x:v>availability</x:v>
      </x:c>
      <x:c r="G249" s="52" t="str">
        <x:v>active</x:v>
      </x:c>
      <x:c r="H249" s="63" t="str">
        <x:v>Deep research expands to the UK, Switzerland, and EEA</x:v>
      </x:c>
      <x:c r="I249" s="63" t="str">
        <x:v>Deep Research 擴展至英國、瑞士及歐洲經濟區</x:v>
      </x:c>
      <x:c r="J249" s="63" t="str">
        <x:v>OpenAI expanded deep research access to Pro users in the United Kingdom, Switzerland, and the European Economic Area.</x:v>
      </x:c>
      <x:c r="K249" s="63" t="str">
        <x:v>OpenAI 將 Deep Research 的使用權限擴展至英國、瑞士及歐洲經濟區 (EEA) 的 Pro 使用者。</x:v>
      </x:c>
      <x:c r="L249" s="52" t="str">
        <x:v>https://openai.com/index/introducing-deep-research/</x:v>
      </x:c>
      <x:c r="M249" s="52" t="str">
        <x:v>official_launch_post</x:v>
      </x:c>
      <x:c r="N249" s="52" t="str">
        <x:v>complete</x:v>
      </x:c>
      <x:c r="O249" s="52" t="str">
        <x:v>high</x:v>
      </x:c>
      <x:c r="P249" s="60" t="n">
        <x:v>3</x:v>
      </x:c>
      <x:c r="Q249" s="52" t="str">
        <x:v>2025 | agents-research | availability | deep-research</x:v>
      </x:c>
    </x:row>
    <x:row r="250" ht="38" customHeight="1">
      <x:c r="A250" s="57" t="n">
        <x:v>45693</x:v>
      </x:c>
      <x:c r="B250" s="52" t="str">
        <x:v>api-changelog</x:v>
      </x:c>
      <x:c r="C250" s="52" t="str">
        <x:v>OpenAI API Changelog</x:v>
      </x:c>
      <x:c r="D250" s="52" t="str">
        <x:v>enterprise_vertical</x:v>
      </x:c>
      <x:c r="E250" s="52" t="str">
        <x:v>OpenAI API</x:v>
      </x:c>
      <x:c r="F250" s="52" t="str">
        <x:v>launch</x:v>
      </x:c>
      <x:c r="G250" s="52" t="str">
        <x:v>active</x:v>
      </x:c>
      <x:c r="H250" s="63" t="str">
        <x:v>Introducing data residency in Europe.</x:v>
      </x:c>
      <x:c r="I250" s="63" t="str">
        <x:v>推出data residency in Europe.</x:v>
      </x:c>
      <x:c r="J250" s="63" t="str">
        <x:v>Introducing data residency in Europe. Read more here.</x:v>
      </x:c>
      <x:c r="K250" s="63" t="str">
        <x:v>OpenAI 於 2025-02-05 為 OpenAI API 推出新產品或能力；此節點依官方發布記錄整理，完整能力、適用方案與限制請見來源。</x:v>
      </x:c>
      <x:c r="L250" s="52" t="str">
        <x:v>https://platform.openai.com/docs/changelog</x:v>
      </x:c>
      <x:c r="M250" s="52" t="str">
        <x:v>developer_changelog</x:v>
      </x:c>
      <x:c r="N250" s="52" t="str">
        <x:v>parsed</x:v>
      </x:c>
      <x:c r="O250" s="52" t="str">
        <x:v>high</x:v>
      </x:c>
      <x:c r="P250" s="60" t="n">
        <x:v>0</x:v>
      </x:c>
      <x:c r="Q250" s="52" t="str"/>
    </x:row>
    <x:row r="251" ht="38" customHeight="1">
      <x:c r="A251" s="57" t="n">
        <x:v>45693</x:v>
      </x:c>
      <x:c r="B251" s="52" t="str">
        <x:v>lane-openai-api-changelog</x:v>
      </x:c>
      <x:c r="C251" s="52" t="str">
        <x:v>OpenAI API Changelog</x:v>
      </x:c>
      <x:c r="D251" s="52" t="str">
        <x:v>enterprise_vertical</x:v>
      </x:c>
      <x:c r="E251" s="52" t="str">
        <x:v>API Platform Admin</x:v>
      </x:c>
      <x:c r="F251" s="52" t="str">
        <x:v>launch</x:v>
      </x:c>
      <x:c r="G251" s="52" t="str">
        <x:v>active</x:v>
      </x:c>
      <x:c r="H251" s="63" t="str">
        <x:v>Introducing data residency in Europe.</x:v>
      </x:c>
      <x:c r="I251" s="63" t="str">
        <x:v>API 更新：Introducing data residency in Europe.</x:v>
      </x:c>
      <x:c r="J251" s="63" t="str">
        <x:v>Introducing data residency in Europe. Read more here .</x:v>
      </x:c>
      <x:c r="K251" s="63" t="str">
        <x:v>API 更新：Introducing data residency in Europe。OpenAI 將此列為 2025-02-05 的功能；重點涉及企業管理控制，模型、端點與參數名稱依官方英文保留。</x:v>
      </x:c>
      <x:c r="L251" s="52" t="str">
        <x:v>https://developers.openai.com/api/docs/changelog</x:v>
      </x:c>
      <x:c r="M251" s="52" t="str">
        <x:v>official_changelog</x:v>
      </x:c>
      <x:c r="N251" s="52" t="str">
        <x:v>complete</x:v>
      </x:c>
      <x:c r="O251" s="52" t="str">
        <x:v>high</x:v>
      </x:c>
      <x:c r="P251" s="60" t="n">
        <x:v>3</x:v>
      </x:c>
      <x:c r="Q251" s="52" t="str">
        <x:v>admin | enterprise | feature</x:v>
      </x:c>
    </x:row>
    <x:row r="252" ht="38" customHeight="1">
      <x:c r="A252" s="57" t="n">
        <x:v>45694</x:v>
      </x:c>
      <x:c r="B252" s="52" t="str">
        <x:v>chatgpt-release-notes</x:v>
      </x:c>
      <x:c r="C252" s="52" t="str">
        <x:v>ChatGPT — Release Notes</x:v>
      </x:c>
      <x:c r="D252" s="52" t="str">
        <x:v>chatgpt_core</x:v>
      </x:c>
      <x:c r="E252" s="52" t="str">
        <x:v>ChatGPT</x:v>
      </x:c>
      <x:c r="F252" s="52" t="str">
        <x:v>feature</x:v>
      </x:c>
      <x:c r="G252" s="52" t="str">
        <x:v>active</x:v>
      </x:c>
      <x:c r="H252" s="63" t="str">
        <x:v>Canvas sharing</x:v>
      </x:c>
      <x:c r="I252" s="63" t="str">
        <x:v>Canvas 分享功能</x:v>
      </x:c>
      <x:c r="J252" s="63" t="str">
        <x:v>Users can now share a Canvas asset such as rendered React/HTML code, document, or code with another user, similar to how you share a conversation. You can do this from the Canvas toolbar when Canvas is open. For more details about the canvas feature in ChatGPT, check out the following Help Center article!</x:v>
      </x:c>
      <x:c r="K252" s="63" t="str">
        <x:v>使用者現可與他人分享 Canvas 資產（例如已渲染的 React/HTML 程式碼、文件或程式碼），方式與分享對話類似。當 Canvas 開啟時，可透過工具列執行此操作。如需關於 ChatGPT Canvas 功能的更多詳細資訊，請查看說明中心文章。</x:v>
      </x:c>
      <x:c r="L252" s="52" t="str">
        <x:v>https://help.openai.com/en/articles/6825453-chatgpt-release-notes</x:v>
      </x:c>
      <x:c r="M252" s="52" t="str">
        <x:v>help_center_release_notes</x:v>
      </x:c>
      <x:c r="N252" s="52" t="str">
        <x:v>complete</x:v>
      </x:c>
      <x:c r="O252" s="52" t="str">
        <x:v>high</x:v>
      </x:c>
      <x:c r="P252" s="60" t="n">
        <x:v>3</x:v>
      </x:c>
      <x:c r="Q252" s="52" t="str">
        <x:v>2025 | chatgpt | chatgpt-core | feature</x:v>
      </x:c>
    </x:row>
    <x:row r="253" ht="38" customHeight="1">
      <x:c r="A253" s="57" t="n">
        <x:v>45713</x:v>
      </x:c>
      <x:c r="B253" s="52" t="str">
        <x:v>lane-introducing-deep-research</x:v>
      </x:c>
      <x:c r="C253" s="52" t="str">
        <x:v>Introducing deep research</x:v>
      </x:c>
      <x:c r="D253" s="52" t="str">
        <x:v>agents_research</x:v>
      </x:c>
      <x:c r="E253" s="52" t="str">
        <x:v>deep research</x:v>
      </x:c>
      <x:c r="F253" s="52" t="str">
        <x:v>availability</x:v>
      </x:c>
      <x:c r="G253" s="52" t="str">
        <x:v>active</x:v>
      </x:c>
      <x:c r="H253" s="63" t="str">
        <x:v>Deep research expands to ChatGPT Plus</x:v>
      </x:c>
      <x:c r="I253" s="63" t="str">
        <x:v>Deep Research 擴展至 ChatGPT Plus</x:v>
      </x:c>
      <x:c r="J253" s="63" t="str">
        <x:v>OpenAI expanded deep research from Pro to all ChatGPT Plus users.</x:v>
      </x:c>
      <x:c r="K253" s="63" t="str">
        <x:v>OpenAI 將 Deep Research 從 Pro 方案擴展至所有 ChatGPT Plus 使用者。</x:v>
      </x:c>
      <x:c r="L253" s="52" t="str">
        <x:v>https://openai.com/index/introducing-deep-research/</x:v>
      </x:c>
      <x:c r="M253" s="52" t="str">
        <x:v>official_launch_post</x:v>
      </x:c>
      <x:c r="N253" s="52" t="str">
        <x:v>complete</x:v>
      </x:c>
      <x:c r="O253" s="52" t="str">
        <x:v>high</x:v>
      </x:c>
      <x:c r="P253" s="60" t="n">
        <x:v>3</x:v>
      </x:c>
      <x:c r="Q253" s="52" t="str">
        <x:v>2025 | agents-research | availability | deep-research</x:v>
      </x:c>
    </x:row>
    <x:row r="254" ht="38" customHeight="1">
      <x:c r="A254" s="57" t="n">
        <x:v>45713</x:v>
      </x:c>
      <x:c r="B254" s="52" t="str">
        <x:v>api-changelog</x:v>
      </x:c>
      <x:c r="C254" s="52" t="str">
        <x:v>OpenAI API Changelog</x:v>
      </x:c>
      <x:c r="D254" s="52" t="str">
        <x:v>developer_platform</x:v>
      </x:c>
      <x:c r="E254" s="52" t="str">
        <x:v>ChatGPT Projects</x:v>
      </x:c>
      <x:c r="F254" s="52" t="str">
        <x:v>launch</x:v>
      </x:c>
      <x:c r="G254" s="52" t="str">
        <x:v>active</x:v>
      </x:c>
      <x:c r="H254" s="63" t="str">
        <x:v>Launched the API Usage Dashboard Update.</x:v>
      </x:c>
      <x:c r="I254" s="63" t="str">
        <x:v>推出：Launched the API Usage Dashboard Update.</x:v>
      </x:c>
      <x:c r="J254" s="63" t="str">
        <x:v>Launched the API Usage Dashboard Update. This update addresses requests for additional data filters, such as project selection, date picker, and fine-grained intervals. There’s also better support for viewing usage across different products and service tiers.</x:v>
      </x:c>
      <x:c r="K254" s="63" t="str">
        <x:v>OpenAI 於 2025-02-25 為 ChatGPT Projects 推出新產品或能力；此節點依官方發布記錄整理，完整能力、適用方案與限制請見來源。</x:v>
      </x:c>
      <x:c r="L254" s="52" t="str">
        <x:v>https://platform.openai.com/docs/changelog</x:v>
      </x:c>
      <x:c r="M254" s="52" t="str">
        <x:v>developer_changelog</x:v>
      </x:c>
      <x:c r="N254" s="52" t="str">
        <x:v>parsed</x:v>
      </x:c>
      <x:c r="O254" s="52" t="str">
        <x:v>high</x:v>
      </x:c>
      <x:c r="P254" s="60" t="n">
        <x:v>0</x:v>
      </x:c>
      <x:c r="Q254" s="52" t="str"/>
    </x:row>
    <x:row r="255" ht="38" customHeight="1">
      <x:c r="A255" s="57" t="n">
        <x:v>45713</x:v>
      </x:c>
      <x:c r="B255" s="52" t="str">
        <x:v>lane-openai-api-changelog</x:v>
      </x:c>
      <x:c r="C255" s="52" t="str">
        <x:v>OpenAI API Changelog</x:v>
      </x:c>
      <x:c r="D255" s="52" t="str">
        <x:v>developer_platform</x:v>
      </x:c>
      <x:c r="E255" s="52" t="str">
        <x:v>OpenAI API Platform</x:v>
      </x:c>
      <x:c r="F255" s="52" t="str">
        <x:v>launch</x:v>
      </x:c>
      <x:c r="G255" s="52" t="str">
        <x:v>active</x:v>
      </x:c>
      <x:c r="H255" s="63" t="str">
        <x:v>Launched the API Usage Dashboard Update.</x:v>
      </x:c>
      <x:c r="I255" s="63" t="str">
        <x:v>推出：API Usage Dashboard Update .</x:v>
      </x:c>
      <x:c r="J255" s="63" t="str">
        <x:v>Launched the API Usage Dashboard Update . This update addresses requests for additional data filters, such as project selection, date picker, and fine-grained intervals. There’s also better support for viewing usage across different products and service tiers.</x:v>
      </x:c>
      <x:c r="K255" s="63" t="str">
        <x:v>推出：API Usage Dashboard Update。OpenAI 將此列為 2025-02-25 的功能；重點涉及平台功能與可用性，模型、端點與參數名稱依官方英文保留。</x:v>
      </x:c>
      <x:c r="L255" s="52" t="str">
        <x:v>https://developers.openai.com/api/docs/changelog</x:v>
      </x:c>
      <x:c r="M255" s="52" t="str">
        <x:v>official_changelog</x:v>
      </x:c>
      <x:c r="N255" s="52" t="str">
        <x:v>complete</x:v>
      </x:c>
      <x:c r="O255" s="52" t="str">
        <x:v>high</x:v>
      </x:c>
      <x:c r="P255" s="60" t="n">
        <x:v>3</x:v>
      </x:c>
      <x:c r="Q255" s="52" t="str">
        <x:v>api-platform | feature</x:v>
      </x:c>
    </x:row>
    <x:row r="256" ht="38" customHeight="1">
      <x:c r="A256" s="57" t="n">
        <x:v>45715</x:v>
      </x:c>
      <x:c r="B256" s="52" t="str">
        <x:v>model-release-notes</x:v>
      </x:c>
      <x:c r="C256" s="52" t="str">
        <x:v>Model Release Notes</x:v>
      </x:c>
      <x:c r="D256" s="52" t="str">
        <x:v>models_reasoning</x:v>
      </x:c>
      <x:c r="E256" s="52" t="str">
        <x:v>GPT-4.5</x:v>
      </x:c>
      <x:c r="F256" s="52" t="str">
        <x:v>model_release</x:v>
      </x:c>
      <x:c r="G256" s="52" t="str">
        <x:v>active</x:v>
      </x:c>
      <x:c r="H256" s="63" t="str">
        <x:v>Introducing GPT-4.5</x:v>
      </x:c>
      <x:c r="I256" s="63" t="str">
        <x:v>推出GPT-4.5</x:v>
      </x:c>
      <x:c r="J256" s="63" t="str">
        <x:v>We’re releasing a research preview of GPT-4.5—our largest, and best model for chat, yet. GPT-4.5 is a step forward in scaling up pretraining and post-training. By scaling unsupervised learning, GPT-4.5 improves its ability to recognize patterns, draw connections, and generate creative insights without reasoning. Early testing shows that interacting with GPT-4.5 feels more natural. Its broader knowledge base, improved ability to follo…</x:v>
      </x:c>
      <x:c r="K256" s="63" t="str">
        <x:v>OpenAI 於 2025-02-27 為 GPT-4.5 發布模型；此節點依官方發布記錄整理，完整能力、適用方案與限制請見來源。</x:v>
      </x:c>
      <x:c r="L256" s="52" t="str">
        <x:v>https://help.openai.com/en/articles/9624314-model-release-notes</x:v>
      </x:c>
      <x:c r="M256" s="52" t="str">
        <x:v>help_center_release_notes</x:v>
      </x:c>
      <x:c r="N256" s="52" t="str">
        <x:v>parsed</x:v>
      </x:c>
      <x:c r="O256" s="52" t="str">
        <x:v>high</x:v>
      </x:c>
      <x:c r="P256" s="60" t="n">
        <x:v>0</x:v>
      </x:c>
      <x:c r="Q256" s="52" t="str"/>
    </x:row>
    <x:row r="257" ht="38" customHeight="1">
      <x:c r="A257" s="57" t="n">
        <x:v>45715</x:v>
      </x:c>
      <x:c r="B257" s="52" t="str">
        <x:v>lane-introducing-gpt-4-5</x:v>
      </x:c>
      <x:c r="C257" s="52" t="str">
        <x:v>Introducing GPT-4.5</x:v>
      </x:c>
      <x:c r="D257" s="52" t="str">
        <x:v>models_reasoning</x:v>
      </x:c>
      <x:c r="E257" s="52" t="str">
        <x:v>GPT-4.5</x:v>
      </x:c>
      <x:c r="F257" s="52" t="str">
        <x:v>model_release</x:v>
      </x:c>
      <x:c r="G257" s="52" t="str">
        <x:v>research_preview</x:v>
      </x:c>
      <x:c r="H257" s="63" t="str">
        <x:v>Introducing GPT-4.5</x:v>
      </x:c>
      <x:c r="I257" s="63" t="str">
        <x:v>推出 GPT-4.5</x:v>
      </x:c>
      <x:c r="J257" s="63" t="str">
        <x:v>OpenAI released GPT-4.5 as a research preview and its largest chat model at the time, initially worldwide for ChatGPT Pro with other paid plans to follow.</x:v>
      </x:c>
      <x:c r="K257" s="63" t="str">
        <x:v>OpenAI 推出 GPT-4.5 作為研究預覽版，這是當時其最大的聊天模型，初期先向全球 ChatGPT Pro 使用者開放，後續將陸續擴展至其他付費方案。</x:v>
      </x:c>
      <x:c r="L257" s="52" t="str">
        <x:v>https://openai.com/index/introducing-gpt-4-5/</x:v>
      </x:c>
      <x:c r="M257" s="52" t="str">
        <x:v>official_launch_post</x:v>
      </x:c>
      <x:c r="N257" s="52" t="str">
        <x:v>complete</x:v>
      </x:c>
      <x:c r="O257" s="52" t="str">
        <x:v>high</x:v>
      </x:c>
      <x:c r="P257" s="60" t="n">
        <x:v>4</x:v>
      </x:c>
      <x:c r="Q257" s="52" t="str">
        <x:v>2025 | gpt-4.5 | model_release | models-reasoning</x:v>
      </x:c>
    </x:row>
    <x:row r="258" ht="38" customHeight="1">
      <x:c r="A258" s="57" t="n">
        <x:v>45715</x:v>
      </x:c>
      <x:c r="B258" s="52" t="str">
        <x:v>api-changelog</x:v>
      </x:c>
      <x:c r="C258" s="52" t="str">
        <x:v>OpenAI API Changelog</x:v>
      </x:c>
      <x:c r="D258" s="52" t="str">
        <x:v>agents_research</x:v>
      </x:c>
      <x:c r="E258" s="52" t="str">
        <x:v>GPT-4.5</x:v>
      </x:c>
      <x:c r="F258" s="52" t="str">
        <x:v>model_release</x:v>
      </x:c>
      <x:c r="G258" s="52" t="str">
        <x:v>research_preview</x:v>
      </x:c>
      <x:c r="H258" s="63" t="str">
        <x:v>Released a research preview of GPT-4.5</x:v>
      </x:c>
      <x:c r="I258" s="63" t="str">
        <x:v>發布a 研究預覽 of GPT-4.5</x:v>
      </x:c>
      <x:c r="J258" s="63" t="str">
        <x:v>v1/chat/completions Released a research preview of GPT-4.5—our largest and most capable chat model yet. GPT-4.5's high "EQ" and understanding of user intent make it better at creative tasks and agentic planning.</x:v>
      </x:c>
      <x:c r="K258" s="63" t="str">
        <x:v>OpenAI 於 2025-02-27 為 GPT-4.5 發布模型；此節點依官方發布記錄整理，完整能力、適用方案與限制請見來源。</x:v>
      </x:c>
      <x:c r="L258" s="52" t="str">
        <x:v>https://platform.openai.com/docs/changelog</x:v>
      </x:c>
      <x:c r="M258" s="52" t="str">
        <x:v>developer_changelog</x:v>
      </x:c>
      <x:c r="N258" s="52" t="str">
        <x:v>parsed</x:v>
      </x:c>
      <x:c r="O258" s="52" t="str">
        <x:v>high</x:v>
      </x:c>
      <x:c r="P258" s="60" t="n">
        <x:v>0</x:v>
      </x:c>
      <x:c r="Q258" s="52" t="str"/>
    </x:row>
    <x:row r="259" ht="38" customHeight="1">
      <x:c r="A259" s="57" t="n">
        <x:v>45715</x:v>
      </x:c>
      <x:c r="B259" s="52" t="str">
        <x:v>lane-openai-api-changelog</x:v>
      </x:c>
      <x:c r="C259" s="52" t="str">
        <x:v>OpenAI API Changelog</x:v>
      </x:c>
      <x:c r="D259" s="52" t="str">
        <x:v>models_reasoning</x:v>
      </x:c>
      <x:c r="E259" s="52" t="str">
        <x:v>Model Platform</x:v>
      </x:c>
      <x:c r="F259" s="52" t="str">
        <x:v>model_release</x:v>
      </x:c>
      <x:c r="G259" s="52" t="str">
        <x:v>research_preview</x:v>
      </x:c>
      <x:c r="H259" s="63" t="str">
        <x:v>Released a research preview of GPT-4.5</x:v>
      </x:c>
      <x:c r="I259" s="63" t="str">
        <x:v>API 推出 GPT‑4.5 研究預覽</x:v>
      </x:c>
      <x:c r="J259" s="63" t="str">
        <x:v>Released a research preview of GPT-4.5 —our largest and most capable chat model yet. GPT-4.5's high "EQ" and understanding of user intent make it better at creative tasks and agentic planning.</x:v>
      </x:c>
      <x:c r="K259" s="63" t="str">
        <x:v>API 推出 GPT‑4.5 研究預覽。OpenAI 將此列為 2025-02-27 的功能；重點涉及代理與工具調用，模型、端點與參數名稱依官方英文保留。</x:v>
      </x:c>
      <x:c r="L259" s="52" t="str">
        <x:v>https://developers.openai.com/api/docs/changelog</x:v>
      </x:c>
      <x:c r="M259" s="52" t="str">
        <x:v>official_changelog</x:v>
      </x:c>
      <x:c r="N259" s="52" t="str">
        <x:v>complete</x:v>
      </x:c>
      <x:c r="O259" s="52" t="str">
        <x:v>high</x:v>
      </x:c>
      <x:c r="P259" s="60" t="n">
        <x:v>3</x:v>
      </x:c>
      <x:c r="Q259" s="52" t="str">
        <x:v>api | feature | models</x:v>
      </x:c>
    </x:row>
    <x:row r="260" ht="38" customHeight="1">
      <x:c r="A260" s="57" t="n">
        <x:v>45719</x:v>
      </x:c>
      <x:c r="B260" s="52" t="str">
        <x:v>api-changelog</x:v>
      </x:c>
      <x:c r="C260" s="52" t="str">
        <x:v>OpenAI API Changelog</x:v>
      </x:c>
      <x:c r="D260" s="52" t="str">
        <x:v>developer_platform</x:v>
      </x:c>
      <x:c r="E260" s="52" t="str">
        <x:v>OpenAI API</x:v>
      </x:c>
      <x:c r="F260" s="52" t="str">
        <x:v>feature</x:v>
      </x:c>
      <x:c r="G260" s="52" t="str">
        <x:v>active</x:v>
      </x:c>
      <x:c r="H260" s="63" t="str">
        <x:v>Added metadata field support to fine-tuning jobs.</x:v>
      </x:c>
      <x:c r="I260" s="63" t="str">
        <x:v>功能更新：Added metadata field support to fine-tuning jobs.</x:v>
      </x:c>
      <x:c r="J260" s="63" t="str">
        <x:v>v1/finetuning/jobs Added metadata field support to fine-tuning jobs.</x:v>
      </x:c>
      <x:c r="K260" s="63" t="str">
        <x:v>OpenAI 於 2025-03-03 為 OpenAI API 新增功能；此節點依官方發布記錄整理，完整能力、適用方案與限制請見來源。</x:v>
      </x:c>
      <x:c r="L260" s="52" t="str">
        <x:v>https://platform.openai.com/docs/changelog</x:v>
      </x:c>
      <x:c r="M260" s="52" t="str">
        <x:v>developer_changelog</x:v>
      </x:c>
      <x:c r="N260" s="52" t="str">
        <x:v>parsed</x:v>
      </x:c>
      <x:c r="O260" s="52" t="str">
        <x:v>high</x:v>
      </x:c>
      <x:c r="P260" s="60" t="n">
        <x:v>0</x:v>
      </x:c>
      <x:c r="Q260" s="52" t="str"/>
    </x:row>
    <x:row r="261" ht="38" customHeight="1">
      <x:c r="A261" s="57" t="n">
        <x:v>45719</x:v>
      </x:c>
      <x:c r="B261" s="52" t="str">
        <x:v>lane-openai-api-changelog</x:v>
      </x:c>
      <x:c r="C261" s="52" t="str">
        <x:v>OpenAI API Changelog</x:v>
      </x:c>
      <x:c r="D261" s="52" t="str">
        <x:v>developer_platform</x:v>
      </x:c>
      <x:c r="E261" s="52" t="str">
        <x:v>Fine-tuning API</x:v>
      </x:c>
      <x:c r="F261" s="52" t="str">
        <x:v>feature</x:v>
      </x:c>
      <x:c r="G261" s="52" t="str">
        <x:v>active</x:v>
      </x:c>
      <x:c r="H261" s="63" t="str">
        <x:v>Added metadata field support to fine-tuning jobs.</x:v>
      </x:c>
      <x:c r="I261" s="63" t="str">
        <x:v>新增：metadata field support to fine-tuning jobs.</x:v>
      </x:c>
      <x:c r="J261" s="63" t="str">
        <x:v>Added metadata field support to fine-tuning jobs.</x:v>
      </x:c>
      <x:c r="K261" s="63" t="str">
        <x:v>新增：metadata field support to fine-tuning jobs。OpenAI 將此列為 2025-03-03 的功能；重點涉及模型微調，模型、端點與參數名稱依官方英文保留。</x:v>
      </x:c>
      <x:c r="L261" s="52" t="str">
        <x:v>https://developers.openai.com/api/docs/changelog</x:v>
      </x:c>
      <x:c r="M261" s="52" t="str">
        <x:v>official_changelog</x:v>
      </x:c>
      <x:c r="N261" s="52" t="str">
        <x:v>complete</x:v>
      </x:c>
      <x:c r="O261" s="52" t="str">
        <x:v>high</x:v>
      </x:c>
      <x:c r="P261" s="60" t="n">
        <x:v>3</x:v>
      </x:c>
      <x:c r="Q261" s="52" t="str">
        <x:v>custom-models | feature | fine-tuning</x:v>
      </x:c>
    </x:row>
    <x:row r="262" ht="38" customHeight="1">
      <x:c r="A262" s="57" t="n">
        <x:v>45722</x:v>
      </x:c>
      <x:c r="B262" s="52" t="str">
        <x:v>macos-release-notes</x:v>
      </x:c>
      <x:c r="C262" s="52" t="str">
        <x:v>ChatGPT macOS app release notes</x:v>
      </x:c>
      <x:c r="D262" s="52" t="str">
        <x:v>clients_surfaces</x:v>
      </x:c>
      <x:c r="E262" s="52" t="str">
        <x:v>ChatGPT macOS</x:v>
      </x:c>
      <x:c r="F262" s="52" t="str">
        <x:v>feature</x:v>
      </x:c>
      <x:c r="G262" s="52" t="str">
        <x:v>active</x:v>
      </x:c>
      <x:c r="H262" s="63" t="str">
        <x:v>Direct code edits in macOS IDEs</x:v>
      </x:c>
      <x:c r="I262" s="63" t="str">
        <x:v>macOS 可直接編輯 IDE 程式碼</x:v>
      </x:c>
      <x:c r="J262" s="63" t="str">
        <x:v>ChatGPT for macOS gained the ability to edit code directly in supported IDEs.</x:v>
      </x:c>
      <x:c r="K262" s="63" t="str">
        <x:v>ChatGPT macOS App 可在支援的 IDE 中直接編輯程式碼。</x:v>
      </x:c>
      <x:c r="L262" s="52" t="str">
        <x:v>https://help.openai.com/en/articles/9703738-desktop-app-release-notes</x:v>
      </x:c>
      <x:c r="M262" s="52" t="str">
        <x:v>help_center_release_notes</x:v>
      </x:c>
      <x:c r="N262" s="52" t="str">
        <x:v>parsed</x:v>
      </x:c>
      <x:c r="O262" s="52" t="str">
        <x:v>high</x:v>
      </x:c>
      <x:c r="P262" s="60" t="n">
        <x:v>4</x:v>
      </x:c>
      <x:c r="Q262" s="52" t="str">
        <x:v>code-editing | ide | macos</x:v>
      </x:c>
    </x:row>
    <x:row r="263" ht="38" customHeight="1">
      <x:c r="A263" s="57" t="n">
        <x:v>45727</x:v>
      </x:c>
      <x:c r="B263" s="52" t="str">
        <x:v>api-changelog</x:v>
      </x:c>
      <x:c r="C263" s="52" t="str">
        <x:v>OpenAI API Changelog</x:v>
      </x:c>
      <x:c r="D263" s="52" t="str">
        <x:v>models_reasoning</x:v>
      </x:c>
      <x:c r="E263" s="52" t="str">
        <x:v>GPT-4o</x:v>
      </x:c>
      <x:c r="F263" s="52" t="str">
        <x:v>feature</x:v>
      </x:c>
      <x:c r="G263" s="52" t="str">
        <x:v>research_preview</x:v>
      </x:c>
      <x:c r="H263" s="63" t="str">
        <x:v>gpt-4o-search-preview gpt-4o-mini-search-preview</x:v>
      </x:c>
      <x:c r="I263" s="63" t="str">
        <x:v>功能更新：gpt-4o-search-preview gpt-4o-mini-search-preview</x:v>
      </x:c>
      <x:c r="J263" s="63" t="str">
        <x:v>gpt-4o-search-preview gpt-4o-mini-search-preview</x:v>
      </x:c>
      <x:c r="K263" s="63" t="str">
        <x:v>OpenAI 於 2025-03-11 為 GPT-4o 新增功能；此節點依官方發布記錄整理，完整能力、適用方案與限制請見來源。</x:v>
      </x:c>
      <x:c r="L263" s="52" t="str">
        <x:v>https://platform.openai.com/docs/changelog</x:v>
      </x:c>
      <x:c r="M263" s="52" t="str">
        <x:v>developer_changelog</x:v>
      </x:c>
      <x:c r="N263" s="52" t="str">
        <x:v>parsed</x:v>
      </x:c>
      <x:c r="O263" s="52" t="str">
        <x:v>high</x:v>
      </x:c>
      <x:c r="P263" s="60" t="n">
        <x:v>0</x:v>
      </x:c>
      <x:c r="Q263" s="52" t="str"/>
    </x:row>
    <x:row r="264" ht="38" customHeight="1">
      <x:c r="A264" s="57" t="n">
        <x:v>45727</x:v>
      </x:c>
      <x:c r="B264" s="52" t="str">
        <x:v>lane-openai-api-changelog</x:v>
      </x:c>
      <x:c r="C264" s="52" t="str">
        <x:v>OpenAI API Changelog</x:v>
      </x:c>
      <x:c r="D264" s="52" t="str">
        <x:v>safety_lifecycle</x:v>
      </x:c>
      <x:c r="E264" s="52" t="str">
        <x:v>Lifecycle</x:v>
      </x:c>
      <x:c r="F264" s="52" t="str">
        <x:v>deprecation</x:v>
      </x:c>
      <x:c r="G264" s="52" t="str">
        <x:v>deprecated</x:v>
      </x:c>
      <x:c r="H264" s="63" t="str">
        <x:v>Released several new models and tools and a new API for agentic workflows</x:v>
      </x:c>
      <x:c r="I264" s="63" t="str">
        <x:v>淘汰通知：Lifecycle</x:v>
      </x:c>
      <x:c r="J264" s="63" t="str">
        <x:v>Released several new models and tools and a new API for agentic workflows: Released the Responses API , a new API for creating and using agents and tools. Released a set of built-in tools for the Responses API: web search , file search , and computer use . Released the Agents SDK , an orchestration framework for designing, building, and deploying agents. Announced new models: gpt-4o-search-preview , gpt-4o-mini-search-preview , compu…</x:v>
      </x:c>
      <x:c r="K264" s="63" t="str">
        <x:v>推出：several 全新 模型 and tools and a 全新 API for agentic workflows: Released Responses API , a 全新 API for creating and using agents and tools。OpenAI 將此列為 2025-03-11 的功能；重點涉及棄用與遷移、代理與工具調用，模型、端點與參數名稱依官方英文保留。</x:v>
      </x:c>
      <x:c r="L264" s="52" t="str">
        <x:v>https://developers.openai.com/api/docs/changelog</x:v>
      </x:c>
      <x:c r="M264" s="52" t="str">
        <x:v>official_changelog</x:v>
      </x:c>
      <x:c r="N264" s="52" t="str">
        <x:v>complete</x:v>
      </x:c>
      <x:c r="O264" s="52" t="str">
        <x:v>high</x:v>
      </x:c>
      <x:c r="P264" s="60" t="n">
        <x:v>5</x:v>
      </x:c>
      <x:c r="Q264" s="52" t="str">
        <x:v>deprecation | feature | migration</x:v>
      </x:c>
    </x:row>
    <x:row r="265" ht="38" customHeight="1">
      <x:c r="A265" s="57" t="n">
        <x:v>45734</x:v>
      </x:c>
      <x:c r="B265" s="52" t="str">
        <x:v>chatgpt-release-notes</x:v>
      </x:c>
      <x:c r="C265" s="52" t="str">
        <x:v>ChatGPT — Release Notes</x:v>
      </x:c>
      <x:c r="D265" s="52" t="str">
        <x:v>clients_surfaces</x:v>
      </x:c>
      <x:c r="E265" s="52" t="str">
        <x:v>ChatGPT Images</x:v>
      </x:c>
      <x:c r="F265" s="52" t="str">
        <x:v>feature</x:v>
      </x:c>
      <x:c r="G265" s="52" t="str">
        <x:v>active</x:v>
      </x:c>
      <x:c r="H265" s="63" t="str">
        <x:v>Android App</x:v>
      </x:c>
      <x:c r="I265" s="63" t="str">
        <x:v>Android 應用程式</x:v>
      </x:c>
      <x:c r="J265" s="63" t="str">
        <x:v>1. Increased the default size for in‐line generated images. 2. More clear and private Incognito keyboard for Temporary Chats.</x:v>
      </x:c>
      <x:c r="K265" s="63" t="str">
        <x:v>OpenAI 於 2025-03-18 為 ChatGPT Images 新增功能；此節點依官方發布記錄整理，完整能力、適用方案與限制請見來源。</x:v>
      </x:c>
      <x:c r="L265" s="52" t="str">
        <x:v>https://help.openai.com/en/articles/6825453-chatgpt-release-notes</x:v>
      </x:c>
      <x:c r="M265" s="52" t="str">
        <x:v>help_center_release_notes</x:v>
      </x:c>
      <x:c r="N265" s="52" t="str">
        <x:v>complete</x:v>
      </x:c>
      <x:c r="O265" s="52" t="str">
        <x:v>high</x:v>
      </x:c>
      <x:c r="P265" s="60" t="n">
        <x:v>2</x:v>
      </x:c>
      <x:c r="Q265" s="52" t="str">
        <x:v>2025 | chatgpt | clients-surfaces | feature</x:v>
      </x:c>
    </x:row>
    <x:row r="266" ht="38" customHeight="1">
      <x:c r="A266" s="57" t="n">
        <x:v>45734</x:v>
      </x:c>
      <x:c r="B266" s="52" t="str">
        <x:v>chatgpt-release-notes</x:v>
      </x:c>
      <x:c r="C266" s="52" t="str">
        <x:v>ChatGPT — Release Notes</x:v>
      </x:c>
      <x:c r="D266" s="52" t="str">
        <x:v>chatgpt_core</x:v>
      </x:c>
      <x:c r="E266" s="52" t="str">
        <x:v>ChatGPT</x:v>
      </x:c>
      <x:c r="F266" s="52" t="str">
        <x:v>feature</x:v>
      </x:c>
      <x:c r="G266" s="52" t="str">
        <x:v>active</x:v>
      </x:c>
      <x:c r="H266" s="63" t="str">
        <x:v>Inline message-error retries</x:v>
      </x:c>
      <x:c r="I266" s="63" t="str">
        <x:v>訊息錯誤重試功能</x:v>
      </x:c>
      <x:c r="J266" s="63" t="str">
        <x:v>ChatGPT web and Windows added inline retry controls so users can retry a failed response or continue the same conversation.</x:v>
      </x:c>
      <x:c r="K266" s="63" t="str">
        <x:v>ChatGPT 網頁版與 Windows 版新增內嵌重試控制項，讓使用者能針對失敗的回應進行重試，或繼續進行相同的對話。</x:v>
      </x:c>
      <x:c r="L266" s="52" t="str">
        <x:v>https://help.openai.com/en/articles/6825453-chatgpt-release-notes</x:v>
      </x:c>
      <x:c r="M266" s="52" t="str">
        <x:v>help_center_release_notes</x:v>
      </x:c>
      <x:c r="N266" s="52" t="str">
        <x:v>complete</x:v>
      </x:c>
      <x:c r="O266" s="52" t="str">
        <x:v>high</x:v>
      </x:c>
      <x:c r="P266" s="60" t="n">
        <x:v>3</x:v>
      </x:c>
      <x:c r="Q266" s="52" t="str">
        <x:v>2025 | chatgpt | chatgpt-core | feature</x:v>
      </x:c>
    </x:row>
    <x:row r="267" ht="38" customHeight="1">
      <x:c r="A267" s="57" t="n">
        <x:v>45734</x:v>
      </x:c>
      <x:c r="B267" s="52" t="str">
        <x:v>chatgpt-release-notes</x:v>
      </x:c>
      <x:c r="C267" s="52" t="str">
        <x:v>ChatGPT — Release Notes</x:v>
      </x:c>
      <x:c r="D267" s="52" t="str">
        <x:v>clients_surfaces</x:v>
      </x:c>
      <x:c r="E267" s="52" t="str">
        <x:v>ChatGPT macOS</x:v>
      </x:c>
      <x:c r="F267" s="52" t="str">
        <x:v>feature</x:v>
      </x:c>
      <x:c r="G267" s="52" t="str">
        <x:v>active</x:v>
      </x:c>
      <x:c r="H267" s="63" t="str">
        <x:v>iOS App</x:v>
      </x:c>
      <x:c r="I267" s="63" t="str">
        <x:v>iOS 應用程式</x:v>
      </x:c>
      <x:c r="J267" s="63" t="str">
        <x:v>1. Improved table-copying functionality out of ChatGPT responses on iOS and macOS. 2. Added long press on your message to open menu actions: Copy, Edit. 3. Improved response display of nested blockquote content. 4. Improved display and faster streaming of conversations and message menu actions.</x:v>
      </x:c>
      <x:c r="K267" s="63" t="str">
        <x:v>1. 改進 iOS 與 macOS 上 ChatGPT 回應的表格複製功能。2. 新增訊息長按選單操作：複製、編輯。3. 改進巢狀引用內容的回應顯示方式。4. 改進對話的顯示與訊息選單操作的串流速度。</x:v>
      </x:c>
      <x:c r="L267" s="52" t="str">
        <x:v>https://help.openai.com/en/articles/6825453-chatgpt-release-notes</x:v>
      </x:c>
      <x:c r="M267" s="52" t="str">
        <x:v>help_center_release_notes</x:v>
      </x:c>
      <x:c r="N267" s="52" t="str">
        <x:v>complete</x:v>
      </x:c>
      <x:c r="O267" s="52" t="str">
        <x:v>high</x:v>
      </x:c>
      <x:c r="P267" s="60" t="n">
        <x:v>2</x:v>
      </x:c>
      <x:c r="Q267" s="52" t="str">
        <x:v>2025 | chatgpt | clients-surfaces | feature</x:v>
      </x:c>
    </x:row>
    <x:row r="268" ht="38" customHeight="1">
      <x:c r="A268" s="57" t="n">
        <x:v>45734</x:v>
      </x:c>
      <x:c r="B268" s="52" t="str">
        <x:v>chatgpt-release-notes</x:v>
      </x:c>
      <x:c r="C268" s="52" t="str">
        <x:v>ChatGPT — Release Notes</x:v>
      </x:c>
      <x:c r="D268" s="52" t="str">
        <x:v>clients_surfaces</x:v>
      </x:c>
      <x:c r="E268" s="52" t="str">
        <x:v>ChatGPT</x:v>
      </x:c>
      <x:c r="F268" s="52" t="str">
        <x:v>feature</x:v>
      </x:c>
      <x:c r="G268" s="52" t="str">
        <x:v>active</x:v>
      </x:c>
      <x:c r="H268" s="63" t="str">
        <x:v>More visible Windows companion window</x:v>
      </x:c>
      <x:c r="I268" s="63" t="str">
        <x:v>更顯眼的 Windows 隨附視窗</x:v>
      </x:c>
      <x:c r="J268" s="63" t="str">
        <x:v>The Windows desktop companion window became easier to invoke and use alongside other applications.</x:v>
      </x:c>
      <x:c r="K268" s="63" t="str">
        <x:v>Windows 桌面隨附視窗現在更易於呼叫，並能與其他應用程式並行使用。</x:v>
      </x:c>
      <x:c r="L268" s="52" t="str">
        <x:v>https://help.openai.com/en/articles/6825453-chatgpt-release-notes</x:v>
      </x:c>
      <x:c r="M268" s="52" t="str">
        <x:v>help_center_release_notes</x:v>
      </x:c>
      <x:c r="N268" s="52" t="str">
        <x:v>complete</x:v>
      </x:c>
      <x:c r="O268" s="52" t="str">
        <x:v>high</x:v>
      </x:c>
      <x:c r="P268" s="60" t="n">
        <x:v>3</x:v>
      </x:c>
      <x:c r="Q268" s="52" t="str">
        <x:v>2025 | chatgpt | clients-surfaces | feature</x:v>
      </x:c>
    </x:row>
    <x:row r="269" ht="38" customHeight="1">
      <x:c r="A269" s="57" t="n">
        <x:v>45734</x:v>
      </x:c>
      <x:c r="B269" s="52" t="str">
        <x:v>chatgpt-release-notes</x:v>
      </x:c>
      <x:c r="C269" s="52" t="str">
        <x:v>ChatGPT — Release Notes</x:v>
      </x:c>
      <x:c r="D269" s="52" t="str">
        <x:v>models_reasoning</x:v>
      </x:c>
      <x:c r="E269" s="52" t="str">
        <x:v>OpenAI o-series</x:v>
      </x:c>
      <x:c r="F269" s="52" t="str">
        <x:v>model_update</x:v>
      </x:c>
      <x:c r="G269" s="52" t="str">
        <x:v>active</x:v>
      </x:c>
      <x:c r="H269" s="63" t="str">
        <x:v>Python data analysis for o1 and o3-mini</x:v>
      </x:c>
      <x:c r="I269" s="63" t="str">
        <x:v>o1 與 o3-mini 的 Python 資料分析功能</x:v>
      </x:c>
      <x:c r="J269" s="63" t="str">
        <x:v>The o1 and o3-mini models gained Python-powered data analysis in ChatGPT for regressions, visualizations, and scenario simulations.</x:v>
      </x:c>
      <x:c r="K269" s="63" t="str">
        <x:v>o1 與 o3-mini 模型在 ChatGPT 中獲得基於 Python 的資料分析能力，可用於迴歸分析、視覺化與情境模擬。</x:v>
      </x:c>
      <x:c r="L269" s="52" t="str">
        <x:v>https://help.openai.com/en/articles/6825453-chatgpt-release-notes</x:v>
      </x:c>
      <x:c r="M269" s="52" t="str">
        <x:v>help_center_release_notes</x:v>
      </x:c>
      <x:c r="N269" s="52" t="str">
        <x:v>complete</x:v>
      </x:c>
      <x:c r="O269" s="52" t="str">
        <x:v>high</x:v>
      </x:c>
      <x:c r="P269" s="60" t="n">
        <x:v>3</x:v>
      </x:c>
      <x:c r="Q269" s="52" t="str">
        <x:v>2025 | model_update | models-reasoning | openai-o-series</x:v>
      </x:c>
    </x:row>
    <x:row r="270" ht="38" customHeight="1">
      <x:c r="A270" s="57" t="n">
        <x:v>45734</x:v>
      </x:c>
      <x:c r="B270" s="52" t="str">
        <x:v>chatgpt-release-notes</x:v>
      </x:c>
      <x:c r="C270" s="52" t="str">
        <x:v>ChatGPT — Release Notes</x:v>
      </x:c>
      <x:c r="D270" s="52" t="str">
        <x:v>clients_surfaces</x:v>
      </x:c>
      <x:c r="E270" s="52" t="str">
        <x:v>o3</x:v>
      </x:c>
      <x:c r="F270" s="52" t="str">
        <x:v>feature</x:v>
      </x:c>
      <x:c r="G270" s="52" t="str">
        <x:v>active</x:v>
      </x:c>
      <x:c r="H270" s="63" t="str">
        <x:v>Web and the Windows desktop app</x:v>
      </x:c>
      <x:c r="I270" s="63" t="str">
        <x:v>功能更新：o3</x:v>
      </x:c>
      <x:c r="J270" s="63" t="str">
        <x:v>1. In-line message error retries: If you encounter a message error, you can retry or just continue chatting in the same conversation. 2. o1 and o3-mini now offer Python-powered data analysis in ChatGPT: You can now ask these models to perform tasks like running regressions on test data, visualizing complex business metrics, and conducting scenario-based simulations.</x:v>
      </x:c>
      <x:c r="K270" s="63" t="str">
        <x:v>OpenAI 於 2025-03-18 為 o3 新增功能；此節點依官方發布記錄整理，完整能力、適用方案與限制請見來源。</x:v>
      </x:c>
      <x:c r="L270" s="52" t="str">
        <x:v>https://help.openai.com/en/articles/6825453-chatgpt-release-notes</x:v>
      </x:c>
      <x:c r="M270" s="52" t="str">
        <x:v>help_center_release_notes</x:v>
      </x:c>
      <x:c r="N270" s="52" t="str">
        <x:v>parsed</x:v>
      </x:c>
      <x:c r="O270" s="52" t="str">
        <x:v>high</x:v>
      </x:c>
      <x:c r="P270" s="60" t="n">
        <x:v>0</x:v>
      </x:c>
      <x:c r="Q270" s="52" t="str"/>
    </x:row>
    <x:row r="271" ht="38" customHeight="1">
      <x:c r="A271" s="57" t="n">
        <x:v>45735</x:v>
      </x:c>
      <x:c r="B271" s="52" t="str">
        <x:v>api-changelog</x:v>
      </x:c>
      <x:c r="C271" s="52" t="str">
        <x:v>OpenAI API Changelog</x:v>
      </x:c>
      <x:c r="D271" s="52" t="str">
        <x:v>models_reasoning</x:v>
      </x:c>
      <x:c r="E271" s="52" t="str">
        <x:v>o1</x:v>
      </x:c>
      <x:c r="F271" s="52" t="str">
        <x:v>model_release</x:v>
      </x:c>
      <x:c r="G271" s="52" t="str">
        <x:v>active</x:v>
      </x:c>
      <x:c r="H271" s="63" t="str">
        <x:v>Released o1-pro</x:v>
      </x:c>
      <x:c r="I271" s="63" t="str">
        <x:v>發布o1-pro</x:v>
      </x:c>
      <x:c r="J271" s="63" t="str">
        <x:v>Released o1-pro, a version of the o1 reasoning model that uses more compute to answer hard problems with better reasoning and consistency.</x:v>
      </x:c>
      <x:c r="K271" s="63" t="str">
        <x:v>OpenAI 於 2025-03-19 為 o1 發布模型；此節點依官方發布記錄整理，完整能力、適用方案與限制請見來源。</x:v>
      </x:c>
      <x:c r="L271" s="52" t="str">
        <x:v>https://platform.openai.com/docs/changelog</x:v>
      </x:c>
      <x:c r="M271" s="52" t="str">
        <x:v>developer_changelog</x:v>
      </x:c>
      <x:c r="N271" s="52" t="str">
        <x:v>parsed</x:v>
      </x:c>
      <x:c r="O271" s="52" t="str">
        <x:v>high</x:v>
      </x:c>
      <x:c r="P271" s="60" t="n">
        <x:v>0</x:v>
      </x:c>
      <x:c r="Q271" s="52" t="str"/>
    </x:row>
    <x:row r="272" ht="38" customHeight="1">
      <x:c r="A272" s="57" t="n">
        <x:v>45735</x:v>
      </x:c>
      <x:c r="B272" s="52" t="str">
        <x:v>lane-openai-api-changelog</x:v>
      </x:c>
      <x:c r="C272" s="52" t="str">
        <x:v>OpenAI API Changelog</x:v>
      </x:c>
      <x:c r="D272" s="52" t="str">
        <x:v>models_reasoning</x:v>
      </x:c>
      <x:c r="E272" s="52" t="str">
        <x:v>Model Platform</x:v>
      </x:c>
      <x:c r="F272" s="52" t="str">
        <x:v>model_release</x:v>
      </x:c>
      <x:c r="G272" s="52" t="str">
        <x:v>active</x:v>
      </x:c>
      <x:c r="H272" s="63" t="str">
        <x:v>Released o1-pro</x:v>
      </x:c>
      <x:c r="I272" s="63" t="str">
        <x:v>模型發布：Model Platform</x:v>
      </x:c>
      <x:c r="J272" s="63" t="str">
        <x:v>Released o1-pro , a version of the o1 reasoning model that uses more compute to answer hard problems with better reasoning and consistency.</x:v>
      </x:c>
      <x:c r="K272" s="63" t="str">
        <x:v>推出：o1-pro , a version of o1 reasoning 模型 that uses more compute to answer hard problems with better reasoning and consistency。OpenAI 將此列為 2025-03-19 的功能；重點涉及平台功能與可用性，模型、端點與參數名稱依官方英文保留。</x:v>
      </x:c>
      <x:c r="L272" s="52" t="str">
        <x:v>https://developers.openai.com/api/docs/changelog</x:v>
      </x:c>
      <x:c r="M272" s="52" t="str">
        <x:v>official_changelog</x:v>
      </x:c>
      <x:c r="N272" s="52" t="str">
        <x:v>complete</x:v>
      </x:c>
      <x:c r="O272" s="52" t="str">
        <x:v>high</x:v>
      </x:c>
      <x:c r="P272" s="60" t="n">
        <x:v>3</x:v>
      </x:c>
      <x:c r="Q272" s="52" t="str">
        <x:v>api | feature | models</x:v>
      </x:c>
    </x:row>
    <x:row r="273" ht="38" customHeight="1">
      <x:c r="A273" s="57" t="n">
        <x:v>45736</x:v>
      </x:c>
      <x:c r="B273" s="52" t="str">
        <x:v>api-changelog</x:v>
      </x:c>
      <x:c r="C273" s="52" t="str">
        <x:v>OpenAI API Changelog</x:v>
      </x:c>
      <x:c r="D273" s="52" t="str">
        <x:v>multimodal</x:v>
      </x:c>
      <x:c r="E273" s="52" t="str">
        <x:v>GPT-4o</x:v>
      </x:c>
      <x:c r="F273" s="52" t="str">
        <x:v>platform</x:v>
      </x:c>
      <x:c r="G273" s="52" t="str">
        <x:v>active</x:v>
      </x:c>
      <x:c r="H273" s="63" t="str">
        <x:v>Added gpt-4o-mini-tts, gpt-4o-transcribe, gpt-4o-mini-transcribe, and whisper-1 models to the Audio API.</x:v>
      </x:c>
      <x:c r="I273" s="63" t="str">
        <x:v>平台更新：GPT-4o</x:v>
      </x:c>
      <x:c r="J273" s="63" t="str">
        <x:v>Added gpt-4o-mini-tts, gpt-4o-transcribe, gpt-4o-mini-transcribe, and whisper-1 models to the Audio API.</x:v>
      </x:c>
      <x:c r="K273" s="63" t="str">
        <x:v>OpenAI 於 2025-03-20 為 GPT-4o 更新開發者平台；此節點依官方發布記錄整理，完整能力、適用方案與限制請見來源。</x:v>
      </x:c>
      <x:c r="L273" s="52" t="str">
        <x:v>https://platform.openai.com/docs/changelog</x:v>
      </x:c>
      <x:c r="M273" s="52" t="str">
        <x:v>developer_changelog</x:v>
      </x:c>
      <x:c r="N273" s="52" t="str">
        <x:v>parsed</x:v>
      </x:c>
      <x:c r="O273" s="52" t="str">
        <x:v>high</x:v>
      </x:c>
      <x:c r="P273" s="60" t="n">
        <x:v>0</x:v>
      </x:c>
      <x:c r="Q273" s="52" t="str"/>
    </x:row>
    <x:row r="274" ht="38" customHeight="1">
      <x:c r="A274" s="57" t="n">
        <x:v>45736</x:v>
      </x:c>
      <x:c r="B274" s="52" t="str">
        <x:v>lane-openai-api-changelog</x:v>
      </x:c>
      <x:c r="C274" s="52" t="str">
        <x:v>OpenAI API Changelog</x:v>
      </x:c>
      <x:c r="D274" s="52" t="str">
        <x:v>multimodal</x:v>
      </x:c>
      <x:c r="E274" s="52" t="str">
        <x:v>Realtime &amp; Audio API</x:v>
      </x:c>
      <x:c r="F274" s="52" t="str">
        <x:v>platform</x:v>
      </x:c>
      <x:c r="G274" s="52" t="str">
        <x:v>active</x:v>
      </x:c>
      <x:c r="H274" s="63" t="str">
        <x:v>Added gpt-4o-mini-tts, gpt-4o-transcribe, gpt-4o-mini-transcribe, and whisper-1 models to the Audio API.</x:v>
      </x:c>
      <x:c r="I274" s="63" t="str">
        <x:v>平台更新：Realtime &amp; Audio API</x:v>
      </x:c>
      <x:c r="J274" s="63" t="str">
        <x:v>Added gpt-4o-mini-tts , gpt-4o-transcribe , gpt-4o-mini-transcribe , and whisper-1 models to the Audio API.</x:v>
      </x:c>
      <x:c r="K274" s="63" t="str">
        <x:v>新增：gpt-4o-mini-tts , gpt-4o-transcribe , gpt-4o-mini-transcribe , and whisper-1 模型 to Audio API。OpenAI 將此列為 2025-03-20 的更新；重點涉及即時語音與音訊，模型、端點與參數名稱依官方英文保留。</x:v>
      </x:c>
      <x:c r="L274" s="52" t="str">
        <x:v>https://developers.openai.com/api/docs/changelog</x:v>
      </x:c>
      <x:c r="M274" s="52" t="str">
        <x:v>official_changelog</x:v>
      </x:c>
      <x:c r="N274" s="52" t="str">
        <x:v>complete</x:v>
      </x:c>
      <x:c r="O274" s="52" t="str">
        <x:v>high</x:v>
      </x:c>
      <x:c r="P274" s="60" t="n">
        <x:v>2</x:v>
      </x:c>
      <x:c r="Q274" s="52" t="str">
        <x:v>audio | realtime | update</x:v>
      </x:c>
    </x:row>
    <x:row r="275" ht="38" customHeight="1">
      <x:c r="A275" s="57" t="n">
        <x:v>45741</x:v>
      </x:c>
      <x:c r="B275" s="52" t="str">
        <x:v>lane-introducing-4o-image-generation</x:v>
      </x:c>
      <x:c r="C275" s="52" t="str">
        <x:v>Introducing 4o Image Generation</x:v>
      </x:c>
      <x:c r="D275" s="52" t="str">
        <x:v>multimodal</x:v>
      </x:c>
      <x:c r="E275" s="52" t="str">
        <x:v>GPT-4o</x:v>
      </x:c>
      <x:c r="F275" s="52" t="str">
        <x:v>model_release</x:v>
      </x:c>
      <x:c r="G275" s="52" t="str">
        <x:v>active</x:v>
      </x:c>
      <x:c r="H275" s="63" t="str">
        <x:v>Introducing 4o Image Generation</x:v>
      </x:c>
      <x:c r="I275" s="63" t="str">
        <x:v>推出 4o 影像生成功能</x:v>
      </x:c>
      <x:c r="J275" s="63" t="str">
        <x:v>OpenAI integrated native image generation into GPT-4o, adding stronger text rendering, detailed instruction following, in-context image editing, and multi-turn refinement in ChatGPT.</x:v>
      </x:c>
      <x:c r="K275" s="63" t="str">
        <x:v>OpenAI 將原生影像生成整合至 GPT-4o，在 ChatGPT 中增加了更強的文字渲染、細緻的指令遵循、上下文影像編輯以及多輪修正功能。</x:v>
      </x:c>
      <x:c r="L275" s="52" t="str">
        <x:v>https://openai.com/index/introducing-4o-image-generation/</x:v>
      </x:c>
      <x:c r="M275" s="52" t="str">
        <x:v>official_launch_post</x:v>
      </x:c>
      <x:c r="N275" s="52" t="str">
        <x:v>complete</x:v>
      </x:c>
      <x:c r="O275" s="52" t="str">
        <x:v>high</x:v>
      </x:c>
      <x:c r="P275" s="60" t="n">
        <x:v>5</x:v>
      </x:c>
      <x:c r="Q275" s="52" t="str">
        <x:v>2025 | gpt-4o | model_release | multimodal</x:v>
      </x:c>
    </x:row>
    <x:row r="276" ht="38" customHeight="1">
      <x:c r="A276" s="57" t="n">
        <x:v>45743</x:v>
      </x:c>
      <x:c r="B276" s="52" t="str">
        <x:v>chatgpt-release-notes</x:v>
      </x:c>
      <x:c r="C276" s="52" t="str">
        <x:v>ChatGPT — Release Notes</x:v>
      </x:c>
      <x:c r="D276" s="52" t="str">
        <x:v>models_reasoning</x:v>
      </x:c>
      <x:c r="E276" s="52" t="str">
        <x:v>GPT-4o</x:v>
      </x:c>
      <x:c r="F276" s="52" t="str">
        <x:v>model_update</x:v>
      </x:c>
      <x:c r="G276" s="52" t="str">
        <x:v>active</x:v>
      </x:c>
      <x:c r="H276" s="63" t="str">
        <x:v>Improvements to GPT-4o</x:v>
      </x:c>
      <x:c r="I276" s="63" t="str">
        <x:v>GPT-4o 的改進</x:v>
      </x:c>
      <x:c r="J276" s="63" t="str">
        <x:v>We’ve made improvements to GPT-4o—it now feels more intuitive, creative, and collaborative, with enhanced instruction-following, smarter coding capabilities, and a clearer communication style. GPT-4o has further improved its capability to tackle complex technical and coding problems. It now generates cleaner, simpler frontend code, more accurately thinks through existing code to identify necessary changes, and consistently produces c…</x:v>
      </x:c>
      <x:c r="K276" s="63" t="str">
        <x:v>我們對 GPT-4o 進行了改進——它現在使用起來更直觀、具備更多創意與協作性，並增強了指令遵循能力、更聰明的程式開發功能，以及更清晰的溝通風格。GPT-4o 進一步提升了處理複雜技術與程式開發問題的能力……</x:v>
      </x:c>
      <x:c r="L276" s="52" t="str">
        <x:v>https://help.openai.com/en/articles/6825453-chatgpt-release-notes</x:v>
      </x:c>
      <x:c r="M276" s="52" t="str">
        <x:v>help_center_release_notes</x:v>
      </x:c>
      <x:c r="N276" s="52" t="str">
        <x:v>complete</x:v>
      </x:c>
      <x:c r="O276" s="52" t="str">
        <x:v>high</x:v>
      </x:c>
      <x:c r="P276" s="60" t="n">
        <x:v>3</x:v>
      </x:c>
      <x:c r="Q276" s="52" t="str">
        <x:v>2025 | gpt-4o | model_update | models-reasoning</x:v>
      </x:c>
    </x:row>
    <x:row r="277" ht="38" customHeight="1">
      <x:c r="A277" s="57" t="n">
        <x:v>45743</x:v>
      </x:c>
      <x:c r="B277" s="52" t="str">
        <x:v>model-release-notes</x:v>
      </x:c>
      <x:c r="C277" s="52" t="str">
        <x:v>Model Release Notes</x:v>
      </x:c>
      <x:c r="D277" s="52" t="str">
        <x:v>models_reasoning</x:v>
      </x:c>
      <x:c r="E277" s="52" t="str">
        <x:v>GPT-4o</x:v>
      </x:c>
      <x:c r="F277" s="52" t="str">
        <x:v>model_update</x:v>
      </x:c>
      <x:c r="G277" s="52" t="str">
        <x:v>active</x:v>
      </x:c>
      <x:c r="H277" s="63" t="str">
        <x:v>Improvements to GPT-4o</x:v>
      </x:c>
      <x:c r="I277" s="63" t="str">
        <x:v>改進：GPT-4o</x:v>
      </x:c>
      <x:c r="J277" s="63" t="str">
        <x:v>We’ve made improvements to GPT-4o—it now feels more intuitive, creative, and collaborative, with enhanced instruction-following, smarter coding capabilities, and a clearer communication style. Smarter problem-solving in STEM and coding:</x:v>
      </x:c>
      <x:c r="K277" s="63" t="str">
        <x:v>OpenAI 於 2025-03-27 為 GPT-4o 更新模型或體驗；此節點依官方發布記錄整理，完整能力、適用方案與限制請見來源。</x:v>
      </x:c>
      <x:c r="L277" s="52" t="str">
        <x:v>https://help.openai.com/en/articles/9624314-model-release-notes</x:v>
      </x:c>
      <x:c r="M277" s="52" t="str">
        <x:v>help_center_release_notes</x:v>
      </x:c>
      <x:c r="N277" s="52" t="str">
        <x:v>parsed</x:v>
      </x:c>
      <x:c r="O277" s="52" t="str">
        <x:v>high</x:v>
      </x:c>
      <x:c r="P277" s="60" t="n">
        <x:v>0</x:v>
      </x:c>
      <x:c r="Q277" s="52" t="str"/>
    </x:row>
    <x:row r="278" ht="38" customHeight="1">
      <x:c r="A278" s="57" t="n">
        <x:v>45757</x:v>
      </x:c>
      <x:c r="B278" s="52" t="str">
        <x:v>chatgpt-release-notes</x:v>
      </x:c>
      <x:c r="C278" s="52" t="str">
        <x:v>ChatGPT — Release Notes</x:v>
      </x:c>
      <x:c r="D278" s="52" t="str">
        <x:v>models_reasoning</x:v>
      </x:c>
      <x:c r="E278" s="52" t="str">
        <x:v>GPT-4</x:v>
      </x:c>
      <x:c r="F278" s="52" t="str">
        <x:v>deprecation</x:v>
      </x:c>
      <x:c r="G278" s="52" t="str">
        <x:v>deprecated</x:v>
      </x:c>
      <x:c r="H278" s="63" t="str">
        <x:v>GPT-4 retirement in ChatGPT announced</x:v>
      </x:c>
      <x:c r="I278" s="63" t="str">
        <x:v>宣佈 GPT-4 將於 ChatGPT 中退役</x:v>
      </x:c>
      <x:c r="J278" s="63" t="str">
        <x:v>OpenAI announced that GPT-4 would be retired from ChatGPT on April 30, 2025 and replaced by GPT-4o; GPT-4 remained available in the API.</x:v>
      </x:c>
      <x:c r="K278" s="63" t="str">
        <x:v>OpenAI 宣佈 GPT-4 將於 2025 年 4 月 30 日從 ChatGPT 退役，並由 GPT-4o 取代；GPT-4 仍可在 API 中使用。</x:v>
      </x:c>
      <x:c r="L278" s="52" t="str">
        <x:v>https://help.openai.com/en/articles/6825453-chatgpt-release-notes</x:v>
      </x:c>
      <x:c r="M278" s="52" t="str">
        <x:v>help_center_release_notes</x:v>
      </x:c>
      <x:c r="N278" s="52" t="str">
        <x:v>complete</x:v>
      </x:c>
      <x:c r="O278" s="52" t="str">
        <x:v>high</x:v>
      </x:c>
      <x:c r="P278" s="60" t="n">
        <x:v>3</x:v>
      </x:c>
      <x:c r="Q278" s="52" t="str">
        <x:v>2025 | deprecation | gpt-4 | models-reasoning</x:v>
      </x:c>
    </x:row>
    <x:row r="279" ht="38" customHeight="1">
      <x:c r="A279" s="57" t="n">
        <x:v>45761</x:v>
      </x:c>
      <x:c r="B279" s="52" t="str">
        <x:v>api-changelog</x:v>
      </x:c>
      <x:c r="C279" s="52" t="str">
        <x:v>OpenAI API Changelog</x:v>
      </x:c>
      <x:c r="D279" s="52" t="str">
        <x:v>safety_lifecycle</x:v>
      </x:c>
      <x:c r="E279" s="52" t="str">
        <x:v>GPT-4.5</x:v>
      </x:c>
      <x:c r="F279" s="52" t="str">
        <x:v>deprecation</x:v>
      </x:c>
      <x:c r="G279" s="52" t="str">
        <x:v>deprecated</x:v>
      </x:c>
      <x:c r="H279" s="63" t="str">
        <x:v>Added gpt-4.1, gpt-4.1-mini, and gpt-4.1-nano models to the API.</x:v>
      </x:c>
      <x:c r="I279" s="63" t="str">
        <x:v>淘汰通知：GPT-4.5</x:v>
      </x:c>
      <x:c r="J279" s="63" t="str">
        <x:v>v1/chat/completions Added gpt-4.1, gpt-4.1-mini, and gpt-4.1-nano models to the API. These new models feature improved instruction following, coding, and a larger context window (up to 1M tokens). gpt-4.1 and gpt-4.1-mini are available for supervised fine-tuning. Announced deprecation of gpt-4.5-preview.</x:v>
      </x:c>
      <x:c r="K279" s="63" t="str">
        <x:v>OpenAI 於 2025-04-14 為 GPT-4.5 公布淘汰計畫；此節點依官方發布記錄整理，完整能力、適用方案與限制請見來源。</x:v>
      </x:c>
      <x:c r="L279" s="52" t="str">
        <x:v>https://platform.openai.com/docs/changelog</x:v>
      </x:c>
      <x:c r="M279" s="52" t="str">
        <x:v>developer_changelog</x:v>
      </x:c>
      <x:c r="N279" s="52" t="str">
        <x:v>parsed</x:v>
      </x:c>
      <x:c r="O279" s="52" t="str">
        <x:v>high</x:v>
      </x:c>
      <x:c r="P279" s="60" t="n">
        <x:v>0</x:v>
      </x:c>
      <x:c r="Q279" s="52" t="str"/>
    </x:row>
    <x:row r="280" ht="38" customHeight="1">
      <x:c r="A280" s="57" t="n">
        <x:v>45761</x:v>
      </x:c>
      <x:c r="B280" s="52" t="str">
        <x:v>lane-openai-api-changelog</x:v>
      </x:c>
      <x:c r="C280" s="52" t="str">
        <x:v>OpenAI API Changelog</x:v>
      </x:c>
      <x:c r="D280" s="52" t="str">
        <x:v>safety_lifecycle</x:v>
      </x:c>
      <x:c r="E280" s="52" t="str">
        <x:v>Lifecycle</x:v>
      </x:c>
      <x:c r="F280" s="52" t="str">
        <x:v>deprecation</x:v>
      </x:c>
      <x:c r="G280" s="52" t="str">
        <x:v>deprecated</x:v>
      </x:c>
      <x:c r="H280" s="63" t="str">
        <x:v>Added gpt-4.1, gpt-4.1-mini, and gpt-4.1-nano models to the API.</x:v>
      </x:c>
      <x:c r="I280" s="63" t="str">
        <x:v>API 推出 GPT‑4.1、mini 與 nano</x:v>
      </x:c>
      <x:c r="J280" s="63" t="str">
        <x:v>Added gpt-4.1 , gpt-4.1-mini , and gpt-4.1-nano models to the API. These new models feature improved instruction following, coding, and a larger context window (up to 1M tokens). gpt-4.1 and gpt-4.1-mini are available for supervised fine-tuning. Announced deprecation of gpt-4.5-preview .</x:v>
      </x:c>
      <x:c r="K280" s="63" t="str">
        <x:v>API 推出 GPT‑4.1、mini 與 nano。OpenAI 將此列為 2025-04-14 的功能；重點涉及棄用與遷移、模型微調，模型、端點與參數名稱依官方英文保留。</x:v>
      </x:c>
      <x:c r="L280" s="52" t="str">
        <x:v>https://developers.openai.com/api/docs/changelog</x:v>
      </x:c>
      <x:c r="M280" s="52" t="str">
        <x:v>official_changelog</x:v>
      </x:c>
      <x:c r="N280" s="52" t="str">
        <x:v>complete</x:v>
      </x:c>
      <x:c r="O280" s="52" t="str">
        <x:v>high</x:v>
      </x:c>
      <x:c r="P280" s="60" t="n">
        <x:v>4</x:v>
      </x:c>
      <x:c r="Q280" s="52" t="str">
        <x:v>deprecation | feature | migration</x:v>
      </x:c>
    </x:row>
    <x:row r="281" ht="38" customHeight="1">
      <x:c r="A281" s="57" t="n">
        <x:v>45761</x:v>
      </x:c>
      <x:c r="B281" s="52" t="str">
        <x:v>api-deprecations</x:v>
      </x:c>
      <x:c r="C281" s="52" t="str">
        <x:v>OpenAI API Deprecations</x:v>
      </x:c>
      <x:c r="D281" s="52" t="str">
        <x:v>safety_lifecycle</x:v>
      </x:c>
      <x:c r="E281" s="52" t="str">
        <x:v>GPT-4.5</x:v>
      </x:c>
      <x:c r="F281" s="52" t="str">
        <x:v>deprecation</x:v>
      </x:c>
      <x:c r="G281" s="52" t="str">
        <x:v>deprecated</x:v>
      </x:c>
      <x:c r="H281" s="63" t="str">
        <x:v>GPT-4.5-preview</x:v>
      </x:c>
      <x:c r="I281" s="63" t="str">
        <x:v>淘汰通知：GPT-4.5-preview</x:v>
      </x:c>
      <x:c r="J281" s="63" t="str">
        <x:v>On April 14th, 2025, we notified developers that the gpt-4.5-preview model is deprecated and will be removed from the API in the coming months.</x:v>
      </x:c>
      <x:c r="K281" s="63" t="str">
        <x:v>OpenAI 於 2025-04-14 為 GPT-4.5 公布淘汰計畫；此節點依官方發布記錄整理，完整能力、適用方案與限制請見來源。</x:v>
      </x:c>
      <x:c r="L281" s="52" t="str">
        <x:v>https://platform.openai.com/docs/deprecations</x:v>
      </x:c>
      <x:c r="M281" s="52" t="str">
        <x:v>developer_deprecations</x:v>
      </x:c>
      <x:c r="N281" s="52" t="str">
        <x:v>parsed</x:v>
      </x:c>
      <x:c r="O281" s="52" t="str">
        <x:v>high</x:v>
      </x:c>
      <x:c r="P281" s="60" t="n">
        <x:v>0</x:v>
      </x:c>
      <x:c r="Q281" s="52" t="str"/>
    </x:row>
    <x:row r="282" ht="38" customHeight="1">
      <x:c r="A282" s="57" t="n">
        <x:v>45761</x:v>
      </x:c>
      <x:c r="B282" s="52" t="str">
        <x:v>lane-openai-api-deprecations</x:v>
      </x:c>
      <x:c r="C282" s="52" t="str">
        <x:v>OpenAI API Deprecations</x:v>
      </x:c>
      <x:c r="D282" s="52" t="str">
        <x:v>safety_lifecycle</x:v>
      </x:c>
      <x:c r="E282" s="52" t="str">
        <x:v>Model Platform</x:v>
      </x:c>
      <x:c r="F282" s="52" t="str">
        <x:v>deprecation</x:v>
      </x:c>
      <x:c r="G282" s="52" t="str">
        <x:v>deprecated</x:v>
      </x:c>
      <x:c r="H282" s="63" t="str">
        <x:v>GPT-4.5-preview deprecation</x:v>
      </x:c>
      <x:c r="I282" s="63" t="str">
        <x:v>GPT-4.5-preview 棄用公告</x:v>
      </x:c>
      <x:c r="J282" s="63" t="str">
        <x:v>On April 14th, 2025, we notified developers that the gpt-4.5-preview model is deprecated and will be removed from the API in the coming months. Schedule/replacements: 2025-07-14 gpt-4.5-preview gpt-4.1</x:v>
      </x:c>
      <x:c r="K282" s="63" t="str">
        <x:v>OpenAI 於 2025-04-14 公告 GPT-4.5-preview 的棄用或下線時程，並列出替代方案與遷移方向。</x:v>
      </x:c>
      <x:c r="L282" s="52" t="str">
        <x:v>https://developers.openai.com/api/docs/deprecations#2025-04-14-gpt-45-preview</x:v>
      </x:c>
      <x:c r="M282" s="52" t="str">
        <x:v>official_deprecation_registry</x:v>
      </x:c>
      <x:c r="N282" s="52" t="str">
        <x:v>complete</x:v>
      </x:c>
      <x:c r="O282" s="52" t="str">
        <x:v>high</x:v>
      </x:c>
      <x:c r="P282" s="60" t="n">
        <x:v>4</x:v>
      </x:c>
      <x:c r="Q282" s="52" t="str">
        <x:v>api | deprecation | model-platform</x:v>
      </x:c>
    </x:row>
    <x:row r="283" ht="38" customHeight="1">
      <x:c r="A283" s="57" t="n">
        <x:v>45762</x:v>
      </x:c>
      <x:c r="B283" s="52" t="str">
        <x:v>chatgpt-release-notes</x:v>
      </x:c>
      <x:c r="C283" s="52" t="str">
        <x:v>ChatGPT — Release Notes</x:v>
      </x:c>
      <x:c r="D283" s="52" t="str">
        <x:v>multimodal</x:v>
      </x:c>
      <x:c r="E283" s="52" t="str">
        <x:v>ChatGPT Images</x:v>
      </x:c>
      <x:c r="F283" s="52" t="str">
        <x:v>feature</x:v>
      </x:c>
      <x:c r="G283" s="52" t="str">
        <x:v>active</x:v>
      </x:c>
      <x:c r="H283" s="63" t="str">
        <x:v>ChatGPT Image Library</x:v>
      </x:c>
      <x:c r="I283" s="63" t="str">
        <x:v>ChatGPT 影像庫</x:v>
      </x:c>
      <x:c r="J283" s="63" t="str">
        <x:v>All images you create with ChatGPT are now automatically saved to a new Library in the sidebar, giving you one place to browse, revisit, and reuse your work without digging through past conversations. The Library is rolling out today on Web, iOS, and Android for Free, Plus, and Pro users (Enterprise / Edu support coming soon). For now, it displays images generated with 4o Image Generation while we backfill older creations, and you ca…</x:v>
      </x:c>
      <x:c r="K283" s="63" t="str">
        <x:v>所有您使用 ChatGPT 建立的影像現在都會自動儲存到側邊欄的新「影像庫」中，讓您能在一處瀏覽、回顧並重複使用您的作品，無需翻找過往的對話紀錄。此影像庫今日於網頁版、iOS 與 Android 平台上向 Free、Plus 與 Pro 使用者推出（企業版/教育版支援即將推出）……</x:v>
      </x:c>
      <x:c r="L283" s="52" t="str">
        <x:v>https://help.openai.com/en/articles/6825453-chatgpt-release-notes</x:v>
      </x:c>
      <x:c r="M283" s="52" t="str">
        <x:v>help_center_release_notes</x:v>
      </x:c>
      <x:c r="N283" s="52" t="str">
        <x:v>complete</x:v>
      </x:c>
      <x:c r="O283" s="52" t="str">
        <x:v>high</x:v>
      </x:c>
      <x:c r="P283" s="60" t="n">
        <x:v>3</x:v>
      </x:c>
      <x:c r="Q283" s="52" t="str">
        <x:v>2025 | chatgpt-images | feature | multimodal</x:v>
      </x:c>
    </x:row>
    <x:row r="284" ht="38" customHeight="1">
      <x:c r="A284" s="57" t="n">
        <x:v>45762</x:v>
      </x:c>
      <x:c r="B284" s="52" t="str">
        <x:v>lane-our-updated-preparedness-framework</x:v>
      </x:c>
      <x:c r="C284" s="52" t="str">
        <x:v>Our updated Preparedness Framework</x:v>
      </x:c>
      <x:c r="D284" s="52" t="str">
        <x:v>safety_lifecycle</x:v>
      </x:c>
      <x:c r="E284" s="52" t="str">
        <x:v>Preparedness Framework</x:v>
      </x:c>
      <x:c r="F284" s="52" t="str">
        <x:v>safety</x:v>
      </x:c>
      <x:c r="G284" s="52" t="str">
        <x:v>active</x:v>
      </x:c>
      <x:c r="H284" s="63" t="str">
        <x:v>Updated Preparedness Framework</x:v>
      </x:c>
      <x:c r="I284" s="63" t="str">
        <x:v>更新 Preparedness Framework</x:v>
      </x:c>
      <x:c r="J284" s="63" t="str">
        <x:v>OpenAI updated its Preparedness Framework with clearer high-risk criteria, High and Critical capability thresholds, stronger safeguard requirements, and dedicated capability and safeguards reports.</x:v>
      </x:c>
      <x:c r="K284" s="63" t="str">
        <x:v>OpenAI 更新 Preparedness Framework，明確高風險標準、High/Critical 能力門檻、強化防護要求，以及能力與防護報告。</x:v>
      </x:c>
      <x:c r="L284" s="52" t="str">
        <x:v>https://openai.com/index/updating-our-preparedness-framework/</x:v>
      </x:c>
      <x:c r="M284" s="52" t="str">
        <x:v>official_safety_post</x:v>
      </x:c>
      <x:c r="N284" s="52" t="str">
        <x:v>parsed</x:v>
      </x:c>
      <x:c r="O284" s="52" t="str">
        <x:v>high</x:v>
      </x:c>
      <x:c r="P284" s="60" t="n">
        <x:v>5</x:v>
      </x:c>
      <x:c r="Q284" s="52" t="str">
        <x:v>governance | preparedness | safety</x:v>
      </x:c>
    </x:row>
    <x:row r="285" ht="38" customHeight="1">
      <x:c r="A285" s="57" t="n">
        <x:v>45763</x:v>
      </x:c>
      <x:c r="B285" s="52" t="str">
        <x:v>api-changelog</x:v>
      </x:c>
      <x:c r="C285" s="52" t="str">
        <x:v>OpenAI API Changelog</x:v>
      </x:c>
      <x:c r="D285" s="52" t="str">
        <x:v>models_reasoning</x:v>
      </x:c>
      <x:c r="E285" s="52" t="str">
        <x:v>o4-mini</x:v>
      </x:c>
      <x:c r="F285" s="52" t="str">
        <x:v>feature</x:v>
      </x:c>
      <x:c r="G285" s="52" t="str">
        <x:v>active</x:v>
      </x:c>
      <x:c r="H285" s="63" t="str">
        <x:v>Added two new o-series reasoning models, o3 and o4-mini.</x:v>
      </x:c>
      <x:c r="I285" s="63" t="str">
        <x:v>功能更新：o4-mini</x:v>
      </x:c>
      <x:c r="J285" s="63" t="str">
        <x:v>v1/chat/completions Added two new o-series reasoning models, o3 and o4-mini. They set a new standard for math, science, and coding, visual reasoning tasks, and technical writing.</x:v>
      </x:c>
      <x:c r="K285" s="63" t="str">
        <x:v>OpenAI 於 2025-04-16 為 o4-mini 新增功能；此節點依官方發布記錄整理，完整能力、適用方案與限制請見來源。</x:v>
      </x:c>
      <x:c r="L285" s="52" t="str">
        <x:v>https://platform.openai.com/docs/changelog</x:v>
      </x:c>
      <x:c r="M285" s="52" t="str">
        <x:v>developer_changelog</x:v>
      </x:c>
      <x:c r="N285" s="52" t="str">
        <x:v>parsed</x:v>
      </x:c>
      <x:c r="O285" s="52" t="str">
        <x:v>high</x:v>
      </x:c>
      <x:c r="P285" s="60" t="n">
        <x:v>0</x:v>
      </x:c>
      <x:c r="Q285" s="52" t="str"/>
    </x:row>
    <x:row r="286" ht="38" customHeight="1">
      <x:c r="A286" s="57" t="n">
        <x:v>45763</x:v>
      </x:c>
      <x:c r="B286" s="52" t="str">
        <x:v>lane-openai-api-changelog</x:v>
      </x:c>
      <x:c r="C286" s="52" t="str">
        <x:v>OpenAI API Changelog</x:v>
      </x:c>
      <x:c r="D286" s="52" t="str">
        <x:v>agents_research</x:v>
      </x:c>
      <x:c r="E286" s="52" t="str">
        <x:v>Codex</x:v>
      </x:c>
      <x:c r="F286" s="52" t="str">
        <x:v>model_release</x:v>
      </x:c>
      <x:c r="G286" s="52" t="str">
        <x:v>active</x:v>
      </x:c>
      <x:c r="H286" s="63" t="str">
        <x:v>Added two new o-series reasoning models, o3 and o4-mini.</x:v>
      </x:c>
      <x:c r="I286" s="63" t="str">
        <x:v>API 推出 o3 與 o4‑mini 推理模型</x:v>
      </x:c>
      <x:c r="J286" s="63" t="str">
        <x:v>Added two new o-series reasoning models, o3 and o4-mini . They set a new standard for math, science, and coding, visual reasoning tasks, and technical writing. Launched Codex, our code generation CLI tool.</x:v>
      </x:c>
      <x:c r="K286" s="63" t="str">
        <x:v>API 推出 o3 與 o4‑mini 推理模型。OpenAI 將此列為 2025-04-16 的功能；重點涉及Codex 編碼代理、代理與工具調用，模型、端點與參數名稱依官方英文保留。</x:v>
      </x:c>
      <x:c r="L286" s="52" t="str">
        <x:v>https://developers.openai.com/api/docs/changelog</x:v>
      </x:c>
      <x:c r="M286" s="52" t="str">
        <x:v>official_changelog</x:v>
      </x:c>
      <x:c r="N286" s="52" t="str">
        <x:v>complete</x:v>
      </x:c>
      <x:c r="O286" s="52" t="str">
        <x:v>high</x:v>
      </x:c>
      <x:c r="P286" s="60" t="n">
        <x:v>3</x:v>
      </x:c>
      <x:c r="Q286" s="52" t="str">
        <x:v>codex | coding-agent | feature</x:v>
      </x:c>
    </x:row>
    <x:row r="287" ht="38" customHeight="1">
      <x:c r="A287" s="57" t="n">
        <x:v>45763</x:v>
      </x:c>
      <x:c r="B287" s="52" t="str">
        <x:v>chatgpt-release-notes</x:v>
      </x:c>
      <x:c r="C287" s="52" t="str">
        <x:v>ChatGPT — Release Notes</x:v>
      </x:c>
      <x:c r="D287" s="52" t="str">
        <x:v>memory_knowledge</x:v>
      </x:c>
      <x:c r="E287" s="52" t="str">
        <x:v>ChatGPT Search</x:v>
      </x:c>
      <x:c r="F287" s="52" t="str">
        <x:v>feature</x:v>
      </x:c>
      <x:c r="G287" s="52" t="str">
        <x:v>active</x:v>
      </x:c>
      <x:c r="H287" s="63" t="str">
        <x:v>Memory with Search</x:v>
      </x:c>
      <x:c r="I287" s="63" t="str">
        <x:v>具備搜尋功能的記憶功能</x:v>
      </x:c>
      <x:c r="J287" s="63" t="str">
        <x:v>ChatGPT can also use memories to inform search queries when ChatGPT searches the web using third-party search providers. Learn more about search.</x:v>
      </x:c>
      <x:c r="K287" s="63" t="str">
        <x:v>OpenAI 於 2025-04-16 為 ChatGPT Search 新增功能；此節點依官方發布記錄整理，完整能力、適用方案與限制請見來源。</x:v>
      </x:c>
      <x:c r="L287" s="52" t="str">
        <x:v>https://help.openai.com/en/articles/6825453-chatgpt-release-notes</x:v>
      </x:c>
      <x:c r="M287" s="52" t="str">
        <x:v>help_center_release_notes</x:v>
      </x:c>
      <x:c r="N287" s="52" t="str">
        <x:v>complete</x:v>
      </x:c>
      <x:c r="O287" s="52" t="str">
        <x:v>high</x:v>
      </x:c>
      <x:c r="P287" s="60" t="n">
        <x:v>3</x:v>
      </x:c>
      <x:c r="Q287" s="52" t="str">
        <x:v>2025 | feature | memory | memory-knowledge</x:v>
      </x:c>
    </x:row>
    <x:row r="288" ht="38" customHeight="1">
      <x:c r="A288" s="57" t="n">
        <x:v>45763</x:v>
      </x:c>
      <x:c r="B288" s="52" t="str">
        <x:v>chatgpt-release-notes</x:v>
      </x:c>
      <x:c r="C288" s="52" t="str">
        <x:v>ChatGPT — Release Notes</x:v>
      </x:c>
      <x:c r="D288" s="52" t="str">
        <x:v>models_reasoning</x:v>
      </x:c>
      <x:c r="E288" s="52" t="str">
        <x:v>o4-mini</x:v>
      </x:c>
      <x:c r="F288" s="52" t="str">
        <x:v>model_release</x:v>
      </x:c>
      <x:c r="G288" s="52" t="str">
        <x:v>active</x:v>
      </x:c>
      <x:c r="H288" s="63" t="str">
        <x:v>o3 and o4-mini in ChatGPT</x:v>
      </x:c>
      <x:c r="I288" s="63" t="str">
        <x:v>o3 and o4-mini 於 ChatGPT</x:v>
      </x:c>
      <x:c r="J288" s="63" t="str">
        <x:v>Today, we’re releasing OpenAI o3 and o4-mini, the latest in our o-series of models trained to think for longer before responding. These are the smartest models we’ve released to date, representing a step change in ChatGPT's capabilities for everyone from curious users to advanced researchers. For the first time, our reasoning models can agentically use and combine every tool within ChatGPT—this includes searching the web, analyzing u…</x:v>
      </x:c>
      <x:c r="K288" s="63" t="str">
        <x:v>OpenAI 於 2025-04-16 為 o4-mini 發布模型；此節點依官方發布記錄整理，完整能力、適用方案與限制請見來源。</x:v>
      </x:c>
      <x:c r="L288" s="52" t="str">
        <x:v>https://help.openai.com/en/articles/6825453-chatgpt-release-notes</x:v>
      </x:c>
      <x:c r="M288" s="52" t="str">
        <x:v>help_center_release_notes</x:v>
      </x:c>
      <x:c r="N288" s="52" t="str">
        <x:v>parsed</x:v>
      </x:c>
      <x:c r="O288" s="52" t="str">
        <x:v>high</x:v>
      </x:c>
      <x:c r="P288" s="60" t="n">
        <x:v>0</x:v>
      </x:c>
      <x:c r="Q288" s="52" t="str"/>
    </x:row>
    <x:row r="289" ht="38" customHeight="1">
      <x:c r="A289" s="57" t="n">
        <x:v>45763</x:v>
      </x:c>
      <x:c r="B289" s="52" t="str">
        <x:v>model-release-notes</x:v>
      </x:c>
      <x:c r="C289" s="52" t="str">
        <x:v>Model Release Notes</x:v>
      </x:c>
      <x:c r="D289" s="52" t="str">
        <x:v>models_reasoning</x:v>
      </x:c>
      <x:c r="E289" s="52" t="str">
        <x:v>o4-mini</x:v>
      </x:c>
      <x:c r="F289" s="52" t="str">
        <x:v>feature</x:v>
      </x:c>
      <x:c r="G289" s="52" t="str">
        <x:v>active</x:v>
      </x:c>
      <x:c r="H289" s="63" t="str">
        <x:v>OpenAI o3 and o4-mini</x:v>
      </x:c>
      <x:c r="I289" s="63" t="str">
        <x:v>功能更新：OpenAI o3 and o4-mini</x:v>
      </x:c>
      <x:c r="J289" s="63" t="str">
        <x:v>OpenAI o3 is our most powerful reasoning model that pushes the frontier across coding, math, science, visual perception, and more. It sets a new SOTA on benchmarks including Codeforces, SWE-bench (without building a custom model-specific scaffold), and MMMU. It’s ideal for complex queries requiring multi-faceted analysis and whose answers may not be immediately obvious. It performs especially strongly at visual tasks like analyzing i…</x:v>
      </x:c>
      <x:c r="K289" s="63" t="str">
        <x:v>OpenAI 於 2025-04-16 為 o4-mini 新增功能；此節點依官方發布記錄整理，完整能力、適用方案與限制請見來源。</x:v>
      </x:c>
      <x:c r="L289" s="52" t="str">
        <x:v>https://help.openai.com/en/articles/9624314-model-release-notes</x:v>
      </x:c>
      <x:c r="M289" s="52" t="str">
        <x:v>help_center_release_notes</x:v>
      </x:c>
      <x:c r="N289" s="52" t="str">
        <x:v>parsed</x:v>
      </x:c>
      <x:c r="O289" s="52" t="str">
        <x:v>high</x:v>
      </x:c>
      <x:c r="P289" s="60" t="n">
        <x:v>0</x:v>
      </x:c>
      <x:c r="Q289" s="52" t="str"/>
    </x:row>
    <x:row r="290" ht="38" customHeight="1">
      <x:c r="A290" s="57" t="n">
        <x:v>45763</x:v>
      </x:c>
      <x:c r="B290" s="52" t="str">
        <x:v>chatgpt-release-notes</x:v>
      </x:c>
      <x:c r="C290" s="52" t="str">
        <x:v>ChatGPT — Release Notes</x:v>
      </x:c>
      <x:c r="D290" s="52" t="str">
        <x:v>models_reasoning</x:v>
      </x:c>
      <x:c r="E290" s="52" t="str">
        <x:v>OpenAI o-series</x:v>
      </x:c>
      <x:c r="F290" s="52" t="str">
        <x:v>model_release</x:v>
      </x:c>
      <x:c r="G290" s="52" t="str">
        <x:v>active</x:v>
      </x:c>
      <x:c r="H290" s="63" t="str">
        <x:v>OpenAI o3 launches in ChatGPT</x:v>
      </x:c>
      <x:c r="I290" s="63" t="str">
        <x:v>OpenAI o3 在 ChatGPT 中推出</x:v>
      </x:c>
      <x:c r="J290" s="63" t="str">
        <x:v>OpenAI released o3 in ChatGPT as a reasoning model for complex coding, math, science, and visual-analysis tasks, with access to ChatGPT tools.</x:v>
      </x:c>
      <x:c r="K290" s="63" t="str">
        <x:v>OpenAI 在 ChatGPT 中推出 o3，這是一個用於複雜程式開發、數學、科學和視覺分析任務的推理模型，並可使用 ChatGPT 工具。</x:v>
      </x:c>
      <x:c r="L290" s="52" t="str">
        <x:v>https://help.openai.com/en/articles/6825453-chatgpt-release-notes</x:v>
      </x:c>
      <x:c r="M290" s="52" t="str">
        <x:v>help_center_release_notes</x:v>
      </x:c>
      <x:c r="N290" s="52" t="str">
        <x:v>complete</x:v>
      </x:c>
      <x:c r="O290" s="52" t="str">
        <x:v>high</x:v>
      </x:c>
      <x:c r="P290" s="60" t="n">
        <x:v>4</x:v>
      </x:c>
      <x:c r="Q290" s="52" t="str">
        <x:v>2025 | model_release | models-reasoning | openai-o-series</x:v>
      </x:c>
    </x:row>
    <x:row r="291" ht="38" customHeight="1">
      <x:c r="A291" s="57" t="n">
        <x:v>45763</x:v>
      </x:c>
      <x:c r="B291" s="52" t="str">
        <x:v>chatgpt-release-notes</x:v>
      </x:c>
      <x:c r="C291" s="52" t="str">
        <x:v>ChatGPT — Release Notes</x:v>
      </x:c>
      <x:c r="D291" s="52" t="str">
        <x:v>models_reasoning</x:v>
      </x:c>
      <x:c r="E291" s="52" t="str">
        <x:v>OpenAI o-series</x:v>
      </x:c>
      <x:c r="F291" s="52" t="str">
        <x:v>model_release</x:v>
      </x:c>
      <x:c r="G291" s="52" t="str">
        <x:v>active</x:v>
      </x:c>
      <x:c r="H291" s="63" t="str">
        <x:v>OpenAI o4-mini launches in ChatGPT</x:v>
      </x:c>
      <x:c r="I291" s="63" t="str">
        <x:v>OpenAI o4-mini 在 ChatGPT 中推出</x:v>
      </x:c>
      <x:c r="J291" s="63" t="str">
        <x:v>OpenAI released o4-mini in ChatGPT as a smaller, faster, cost-efficient reasoning model with high usage limits and strong math, coding, and visual performance.</x:v>
      </x:c>
      <x:c r="K291" s="63" t="str">
        <x:v>OpenAI 在 ChatGPT 中推出 o4-mini，這是一個更小、更快、且具成本效益的推理模型，具有高使用限制以及強大的數學、程式開發和視覺效能。</x:v>
      </x:c>
      <x:c r="L291" s="52" t="str">
        <x:v>https://help.openai.com/en/articles/6825453-chatgpt-release-notes</x:v>
      </x:c>
      <x:c r="M291" s="52" t="str">
        <x:v>help_center_release_notes</x:v>
      </x:c>
      <x:c r="N291" s="52" t="str">
        <x:v>complete</x:v>
      </x:c>
      <x:c r="O291" s="52" t="str">
        <x:v>high</x:v>
      </x:c>
      <x:c r="P291" s="60" t="n">
        <x:v>4</x:v>
      </x:c>
      <x:c r="Q291" s="52" t="str">
        <x:v>2025 | model_release | models-reasoning | openai-o-series</x:v>
      </x:c>
    </x:row>
    <x:row r="292" ht="38" customHeight="1">
      <x:c r="A292" s="57" t="n">
        <x:v>45770</x:v>
      </x:c>
      <x:c r="B292" s="52" t="str">
        <x:v>api-changelog</x:v>
      </x:c>
      <x:c r="C292" s="52" t="str">
        <x:v>OpenAI API Changelog</x:v>
      </x:c>
      <x:c r="D292" s="52" t="str">
        <x:v>multimodal</x:v>
      </x:c>
      <x:c r="E292" s="52" t="str">
        <x:v>ChatGPT Images</x:v>
      </x:c>
      <x:c r="F292" s="52" t="str">
        <x:v>model_update</x:v>
      </x:c>
      <x:c r="G292" s="52" t="str">
        <x:v>active</x:v>
      </x:c>
      <x:c r="H292" s="63" t="str">
        <x:v>Added a new image generation model, gpt-image-1.</x:v>
      </x:c>
      <x:c r="I292" s="63" t="str">
        <x:v>模型更新：ChatGPT Images</x:v>
      </x:c>
      <x:c r="J292" s="63" t="str">
        <x:v>v1/images/generations Added a new image generation model, gpt-image-1. This model sets a new standard for image generation, with improved quality and instruction following.</x:v>
      </x:c>
      <x:c r="K292" s="63" t="str">
        <x:v>OpenAI 於 2025-04-23 為 ChatGPT Images 更新模型或體驗；此節點依官方發布記錄整理，完整能力、適用方案與限制請見來源。</x:v>
      </x:c>
      <x:c r="L292" s="52" t="str">
        <x:v>https://platform.openai.com/docs/changelog</x:v>
      </x:c>
      <x:c r="M292" s="52" t="str">
        <x:v>developer_changelog</x:v>
      </x:c>
      <x:c r="N292" s="52" t="str">
        <x:v>parsed</x:v>
      </x:c>
      <x:c r="O292" s="52" t="str">
        <x:v>high</x:v>
      </x:c>
      <x:c r="P292" s="60" t="n">
        <x:v>0</x:v>
      </x:c>
      <x:c r="Q292" s="52" t="str"/>
    </x:row>
    <x:row r="293" ht="38" customHeight="1">
      <x:c r="A293" s="57" t="n">
        <x:v>45770</x:v>
      </x:c>
      <x:c r="B293" s="52" t="str">
        <x:v>lane-openai-api-changelog</x:v>
      </x:c>
      <x:c r="C293" s="52" t="str">
        <x:v>OpenAI API Changelog</x:v>
      </x:c>
      <x:c r="D293" s="52" t="str">
        <x:v>multimodal</x:v>
      </x:c>
      <x:c r="E293" s="52" t="str">
        <x:v>Image API</x:v>
      </x:c>
      <x:c r="F293" s="52" t="str">
        <x:v>platform</x:v>
      </x:c>
      <x:c r="G293" s="52" t="str">
        <x:v>active</x:v>
      </x:c>
      <x:c r="H293" s="63" t="str">
        <x:v>Added a new image generation model, gpt-image-1.</x:v>
      </x:c>
      <x:c r="I293" s="63" t="str">
        <x:v>API 推出 GPT Image 1</x:v>
      </x:c>
      <x:c r="J293" s="63" t="str">
        <x:v>Added a new image generation model, gpt-image-1 . This model sets a new standard for image generation, with improved quality and instruction following. Updated the Image Generation and Edit endpoints to support new parameters specific to the gpt-image-1 model.</x:v>
      </x:c>
      <x:c r="K293" s="63" t="str">
        <x:v>API 推出 GPT Image 1。OpenAI 將此列為 2025-04-23 的功能；重點涉及圖像與影片，模型、端點與參數名稱依官方英文保留。</x:v>
      </x:c>
      <x:c r="L293" s="52" t="str">
        <x:v>https://developers.openai.com/api/docs/changelog</x:v>
      </x:c>
      <x:c r="M293" s="52" t="str">
        <x:v>official_changelog</x:v>
      </x:c>
      <x:c r="N293" s="52" t="str">
        <x:v>complete</x:v>
      </x:c>
      <x:c r="O293" s="52" t="str">
        <x:v>high</x:v>
      </x:c>
      <x:c r="P293" s="60" t="n">
        <x:v>2</x:v>
      </x:c>
      <x:c r="Q293" s="52" t="str">
        <x:v>feature | image-generation | multimodal</x:v>
      </x:c>
    </x:row>
    <x:row r="294" ht="38" customHeight="1">
      <x:c r="A294" s="57" t="n">
        <x:v>45771</x:v>
      </x:c>
      <x:c r="B294" s="52" t="str">
        <x:v>lane-introducing-deep-research</x:v>
      </x:c>
      <x:c r="C294" s="52" t="str">
        <x:v>Introducing deep research</x:v>
      </x:c>
      <x:c r="D294" s="52" t="str">
        <x:v>agents_research</x:v>
      </x:c>
      <x:c r="E294" s="52" t="str">
        <x:v>deep research</x:v>
      </x:c>
      <x:c r="F294" s="52" t="str">
        <x:v>pricing_quota</x:v>
      </x:c>
      <x:c r="G294" s="52" t="str">
        <x:v>active</x:v>
      </x:c>
      <x:c r="H294" s="63" t="str">
        <x:v>Deep research usage expands with a lightweight model</x:v>
      </x:c>
      <x:c r="I294" s="63" t="str">
        <x:v>深度研究使用範圍擴大，增加輕量級模型</x:v>
      </x:c>
      <x:c r="J294" s="63" t="str">
        <x:v>OpenAI increased deep research limits and added a lightweight version powered by a variant of o4-mini, with automatic fallback after full-model limits are reached.</x:v>
      </x:c>
      <x:c r="K294" s="63" t="str">
        <x:v>OpenAI 增加了深度研究的使用限制，並加入了由 o4-mini 變體驅動的輕量級版本，在達到完整模型限制後會自動切換。</x:v>
      </x:c>
      <x:c r="L294" s="52" t="str">
        <x:v>https://openai.com/index/introducing-deep-research/</x:v>
      </x:c>
      <x:c r="M294" s="52" t="str">
        <x:v>official_launch_post</x:v>
      </x:c>
      <x:c r="N294" s="52" t="str">
        <x:v>complete</x:v>
      </x:c>
      <x:c r="O294" s="52" t="str">
        <x:v>high</x:v>
      </x:c>
      <x:c r="P294" s="60" t="n">
        <x:v>3</x:v>
      </x:c>
      <x:c r="Q294" s="52" t="str">
        <x:v>2025 | agents-research | deep-research | pricing_quota</x:v>
      </x:c>
    </x:row>
    <x:row r="295" ht="38" customHeight="1">
      <x:c r="A295" s="57" t="n">
        <x:v>45772</x:v>
      </x:c>
      <x:c r="B295" s="52" t="str">
        <x:v>chatgpt-release-notes</x:v>
      </x:c>
      <x:c r="C295" s="52" t="str">
        <x:v>ChatGPT — Release Notes</x:v>
      </x:c>
      <x:c r="D295" s="52" t="str">
        <x:v>models_reasoning</x:v>
      </x:c>
      <x:c r="E295" s="52" t="str">
        <x:v>GPT-4o</x:v>
      </x:c>
      <x:c r="F295" s="52" t="str">
        <x:v>model_update</x:v>
      </x:c>
      <x:c r="G295" s="52" t="str">
        <x:v>active</x:v>
      </x:c>
      <x:c r="H295" s="63" t="str">
        <x:v>Improvements to GPT-4o</x:v>
      </x:c>
      <x:c r="I295" s="63" t="str">
        <x:v>GPT-4o 的改進</x:v>
      </x:c>
      <x:c r="J295" s="63" t="str">
        <x:v>We’re making additional improvements to GPT-4o, optimizing when it saves memories and enhancing problem-solving capabilities for STEM. We’ve also made subtle changes to the way it responds, making it more proactive and better at guiding conversations toward productive outcomes. We think these updates help GPT-4o feel more intuitive and effective across a variety of tasks–we hope you agree!</x:v>
      </x:c>
      <x:c r="K295" s="63" t="str">
        <x:v>我們對 GPT-4o 進行了額外改進，優化了記憶保存時機，並增強了 STEM 的問題解決能力。我們也對其回應方式做了細微調整，使其更主動，並能更好地引導對話產生有效成果。</x:v>
      </x:c>
      <x:c r="L295" s="52" t="str">
        <x:v>https://help.openai.com/en/articles/6825453-chatgpt-release-notes</x:v>
      </x:c>
      <x:c r="M295" s="52" t="str">
        <x:v>help_center_release_notes</x:v>
      </x:c>
      <x:c r="N295" s="52" t="str">
        <x:v>complete</x:v>
      </x:c>
      <x:c r="O295" s="52" t="str">
        <x:v>high</x:v>
      </x:c>
      <x:c r="P295" s="60" t="n">
        <x:v>3</x:v>
      </x:c>
      <x:c r="Q295" s="52" t="str">
        <x:v>2025 | gpt-4o | model_update | models-reasoning</x:v>
      </x:c>
    </x:row>
    <x:row r="296" ht="38" customHeight="1">
      <x:c r="A296" s="57" t="n">
        <x:v>45772</x:v>
      </x:c>
      <x:c r="B296" s="52" t="str">
        <x:v>model-release-notes</x:v>
      </x:c>
      <x:c r="C296" s="52" t="str">
        <x:v>Model Release Notes</x:v>
      </x:c>
      <x:c r="D296" s="52" t="str">
        <x:v>models_reasoning</x:v>
      </x:c>
      <x:c r="E296" s="52" t="str">
        <x:v>GPT-4o</x:v>
      </x:c>
      <x:c r="F296" s="52" t="str">
        <x:v>model_update</x:v>
      </x:c>
      <x:c r="G296" s="52" t="str">
        <x:v>active</x:v>
      </x:c>
      <x:c r="H296" s="63" t="str">
        <x:v>Improvements to GPT-4o</x:v>
      </x:c>
      <x:c r="I296" s="63" t="str">
        <x:v>改進：GPT-4o</x:v>
      </x:c>
      <x:c r="J296" s="63" t="str">
        <x:v>We’re making additional improvements to GPT-4o, optimizing when it saves memories and enhancing problem-solving capabilities for STEM. We’ve also made subtle changes to the way it responds, making it more proactive and better at guiding conversations toward productive outcomes. We think these updates help GPT-4o feel more intuitive and effective across a variety of tasks–we hope you agree!</x:v>
      </x:c>
      <x:c r="K296" s="63" t="str">
        <x:v>OpenAI 於 2025-04-25 為 GPT-4o 更新模型或體驗；此節點依官方發布記錄整理，完整能力、適用方案與限制請見來源。</x:v>
      </x:c>
      <x:c r="L296" s="52" t="str">
        <x:v>https://help.openai.com/en/articles/9624314-model-release-notes</x:v>
      </x:c>
      <x:c r="M296" s="52" t="str">
        <x:v>help_center_release_notes</x:v>
      </x:c>
      <x:c r="N296" s="52" t="str">
        <x:v>parsed</x:v>
      </x:c>
      <x:c r="O296" s="52" t="str">
        <x:v>high</x:v>
      </x:c>
      <x:c r="P296" s="60" t="n">
        <x:v>0</x:v>
      </x:c>
      <x:c r="Q296" s="52" t="str"/>
    </x:row>
    <x:row r="297" ht="38" customHeight="1">
      <x:c r="A297" s="57" t="n">
        <x:v>45775</x:v>
      </x:c>
      <x:c r="B297" s="52" t="str">
        <x:v>api-deprecations</x:v>
      </x:c>
      <x:c r="C297" s="52" t="str">
        <x:v>OpenAI API Deprecations</x:v>
      </x:c>
      <x:c r="D297" s="52" t="str">
        <x:v>safety_lifecycle</x:v>
      </x:c>
      <x:c r="E297" s="52" t="str">
        <x:v>o1</x:v>
      </x:c>
      <x:c r="F297" s="52" t="str">
        <x:v>deprecation</x:v>
      </x:c>
      <x:c r="G297" s="52" t="str">
        <x:v>deprecated</x:v>
      </x:c>
      <x:c r="H297" s="63" t="str">
        <x:v>o1-preview and o1-mini</x:v>
      </x:c>
      <x:c r="I297" s="63" t="str">
        <x:v>淘汰通知：o1-preview and o1-mini</x:v>
      </x:c>
      <x:c r="J297" s="63" t="str">
        <x:v>On April 28th, 2025, we notified developers using o1-preview and o1-mini of their deprecations and removal from the API in three months and six months respectively.</x:v>
      </x:c>
      <x:c r="K297" s="63" t="str">
        <x:v>OpenAI 於 2025-04-28 為 o1 公布淘汰計畫；此節點依官方發布記錄整理，完整能力、適用方案與限制請見來源。</x:v>
      </x:c>
      <x:c r="L297" s="52" t="str">
        <x:v>https://platform.openai.com/docs/deprecations</x:v>
      </x:c>
      <x:c r="M297" s="52" t="str">
        <x:v>developer_deprecations</x:v>
      </x:c>
      <x:c r="N297" s="52" t="str">
        <x:v>parsed</x:v>
      </x:c>
      <x:c r="O297" s="52" t="str">
        <x:v>high</x:v>
      </x:c>
      <x:c r="P297" s="60" t="n">
        <x:v>0</x:v>
      </x:c>
      <x:c r="Q297" s="52" t="str"/>
    </x:row>
    <x:row r="298" ht="38" customHeight="1">
      <x:c r="A298" s="57" t="n">
        <x:v>45775</x:v>
      </x:c>
      <x:c r="B298" s="52" t="str">
        <x:v>lane-openai-api-deprecations</x:v>
      </x:c>
      <x:c r="C298" s="52" t="str">
        <x:v>OpenAI API Deprecations</x:v>
      </x:c>
      <x:c r="D298" s="52" t="str">
        <x:v>safety_lifecycle</x:v>
      </x:c>
      <x:c r="E298" s="52" t="str">
        <x:v>Model Platform</x:v>
      </x:c>
      <x:c r="F298" s="52" t="str">
        <x:v>deprecation</x:v>
      </x:c>
      <x:c r="G298" s="52" t="str">
        <x:v>deprecated</x:v>
      </x:c>
      <x:c r="H298" s="63" t="str">
        <x:v>o1-preview and o1-mini deprecation</x:v>
      </x:c>
      <x:c r="I298" s="63" t="str">
        <x:v>o1-preview and o1-mini 棄用公告</x:v>
      </x:c>
      <x:c r="J298" s="63" t="str">
        <x:v>On April 28th, 2025, we notified developers using o1-preview and o1-mini of their deprecations and removal from the API in three months and six months respectively. Schedule/replacements: 2025-07-28 o1-preview o3; 2025-10-27 o1-mini o4-mini</x:v>
      </x:c>
      <x:c r="K298" s="63" t="str">
        <x:v>OpenAI 於 2025-04-28 公告 o1-preview and o1-mini 的棄用或下線時程，並列出替代方案與遷移方向。</x:v>
      </x:c>
      <x:c r="L298" s="52" t="str">
        <x:v>https://developers.openai.com/api/docs/deprecations#2025-04-28-o1-preview-and-o1-mini</x:v>
      </x:c>
      <x:c r="M298" s="52" t="str">
        <x:v>official_deprecation_registry</x:v>
      </x:c>
      <x:c r="N298" s="52" t="str">
        <x:v>complete</x:v>
      </x:c>
      <x:c r="O298" s="52" t="str">
        <x:v>high</x:v>
      </x:c>
      <x:c r="P298" s="60" t="n">
        <x:v>4</x:v>
      </x:c>
      <x:c r="Q298" s="52" t="str">
        <x:v>api | deprecation | model-platform</x:v>
      </x:c>
    </x:row>
    <x:row r="299" ht="38" customHeight="1">
      <x:c r="A299" s="57" t="n">
        <x:v>45775</x:v>
      </x:c>
      <x:c r="B299" s="52" t="str">
        <x:v>api-deprecations</x:v>
      </x:c>
      <x:c r="C299" s="52" t="str">
        <x:v>OpenAI API Deprecations</x:v>
      </x:c>
      <x:c r="D299" s="52" t="str">
        <x:v>safety_lifecycle</x:v>
      </x:c>
      <x:c r="E299" s="52" t="str">
        <x:v>OpenAI API</x:v>
      </x:c>
      <x:c r="F299" s="52" t="str">
        <x:v>deprecation</x:v>
      </x:c>
      <x:c r="G299" s="52" t="str">
        <x:v>deprecated</x:v>
      </x:c>
      <x:c r="H299" s="63" t="str">
        <x:v>text-moderation</x:v>
      </x:c>
      <x:c r="I299" s="63" t="str">
        <x:v>淘汰通知：text-moderation</x:v>
      </x:c>
      <x:c r="J299" s="63" t="str">
        <x:v>On April 28th, 2025, we notified developers using text-moderation of its deprecation and removal from the API in six months.</x:v>
      </x:c>
      <x:c r="K299" s="63" t="str">
        <x:v>OpenAI 於 2025-04-28 為 OpenAI API 公布淘汰計畫；此節點依官方發布記錄整理，完整能力、適用方案與限制請見來源。</x:v>
      </x:c>
      <x:c r="L299" s="52" t="str">
        <x:v>https://platform.openai.com/docs/deprecations</x:v>
      </x:c>
      <x:c r="M299" s="52" t="str">
        <x:v>developer_deprecations</x:v>
      </x:c>
      <x:c r="N299" s="52" t="str">
        <x:v>parsed</x:v>
      </x:c>
      <x:c r="O299" s="52" t="str">
        <x:v>high</x:v>
      </x:c>
      <x:c r="P299" s="60" t="n">
        <x:v>0</x:v>
      </x:c>
      <x:c r="Q299" s="52" t="str"/>
    </x:row>
    <x:row r="300" ht="38" customHeight="1">
      <x:c r="A300" s="57" t="n">
        <x:v>45775</x:v>
      </x:c>
      <x:c r="B300" s="52" t="str">
        <x:v>lane-openai-api-deprecations</x:v>
      </x:c>
      <x:c r="C300" s="52" t="str">
        <x:v>OpenAI API Deprecations</x:v>
      </x:c>
      <x:c r="D300" s="52" t="str">
        <x:v>safety_lifecycle</x:v>
      </x:c>
      <x:c r="E300" s="52" t="str">
        <x:v>Model Platform</x:v>
      </x:c>
      <x:c r="F300" s="52" t="str">
        <x:v>deprecation</x:v>
      </x:c>
      <x:c r="G300" s="52" t="str">
        <x:v>deprecated</x:v>
      </x:c>
      <x:c r="H300" s="63" t="str">
        <x:v>text-moderation deprecation</x:v>
      </x:c>
      <x:c r="I300" s="63" t="str">
        <x:v>text-moderation 棄用公告</x:v>
      </x:c>
      <x:c r="J300" s="63" t="str">
        <x:v>On April 28th, 2025, we notified developers using text-moderation of its deprecation and removal from the API in six months. Schedule/replacements: 2025-10-27 text-moderation-007 omni-moderation; 2025-10-27 text-moderation-stable omni-moderation; 2025-10-27 text-moderation-latest omni-moderation</x:v>
      </x:c>
      <x:c r="K300" s="63" t="str">
        <x:v>OpenAI 於 2025-04-28 公告 text-moderation 的棄用或下線時程，並列出替代方案與遷移方向。</x:v>
      </x:c>
      <x:c r="L300" s="52" t="str">
        <x:v>https://developers.openai.com/api/docs/deprecations#2025-04-28-text-moderation</x:v>
      </x:c>
      <x:c r="M300" s="52" t="str">
        <x:v>official_deprecation_registry</x:v>
      </x:c>
      <x:c r="N300" s="52" t="str">
        <x:v>complete</x:v>
      </x:c>
      <x:c r="O300" s="52" t="str">
        <x:v>high</x:v>
      </x:c>
      <x:c r="P300" s="60" t="n">
        <x:v>4</x:v>
      </x:c>
      <x:c r="Q300" s="52" t="str">
        <x:v>api | deprecation | model-platform</x:v>
      </x:c>
    </x:row>
    <x:row r="301" ht="38" customHeight="1">
      <x:c r="A301" s="57" t="n">
        <x:v>45776</x:v>
      </x:c>
      <x:c r="B301" s="52" t="str">
        <x:v>model-release-notes</x:v>
      </x:c>
      <x:c r="C301" s="52" t="str">
        <x:v>Model Release Notes</x:v>
      </x:c>
      <x:c r="D301" s="52" t="str">
        <x:v>models_reasoning</x:v>
      </x:c>
      <x:c r="E301" s="52" t="str">
        <x:v>GPT-4o</x:v>
      </x:c>
      <x:c r="F301" s="52" t="str">
        <x:v>model_update</x:v>
      </x:c>
      <x:c r="G301" s="52" t="str">
        <x:v>active</x:v>
      </x:c>
      <x:c r="H301" s="63" t="str">
        <x:v>Update to GPT-4o</x:v>
      </x:c>
      <x:c r="I301" s="63" t="str">
        <x:v>更新：GPT-4o</x:v>
      </x:c>
      <x:c r="J301" s="63" t="str">
        <x:v>We've reverted the most recent update to GPT-4o due to issues with overly agreeable responses (sycophancy). We’re actively working on further improvements. For more details, check out our blog post explaining what happened and our initial findings, and this blog post where we expand on what we missed with sycophancy and the changes we're going to make going forward.</x:v>
      </x:c>
      <x:c r="K301" s="63" t="str">
        <x:v>OpenAI 於 2025-04-29 為 GPT-4o 更新模型或體驗；此節點依官方發布記錄整理，完整能力、適用方案與限制請見來源。</x:v>
      </x:c>
      <x:c r="L301" s="52" t="str">
        <x:v>https://help.openai.com/en/articles/9624314-model-release-notes</x:v>
      </x:c>
      <x:c r="M301" s="52" t="str">
        <x:v>help_center_release_notes</x:v>
      </x:c>
      <x:c r="N301" s="52" t="str">
        <x:v>parsed</x:v>
      </x:c>
      <x:c r="O301" s="52" t="str">
        <x:v>high</x:v>
      </x:c>
      <x:c r="P301" s="60" t="n">
        <x:v>0</x:v>
      </x:c>
      <x:c r="Q301" s="52" t="str"/>
    </x:row>
    <x:row r="302" ht="38" customHeight="1">
      <x:c r="A302" s="57" t="n">
        <x:v>45776</x:v>
      </x:c>
      <x:c r="B302" s="52" t="str">
        <x:v>chatgpt-release-notes</x:v>
      </x:c>
      <x:c r="C302" s="52" t="str">
        <x:v>ChatGPT — Release Notes</x:v>
      </x:c>
      <x:c r="D302" s="52" t="str">
        <x:v>models_reasoning</x:v>
      </x:c>
      <x:c r="E302" s="52" t="str">
        <x:v>GPT-4o</x:v>
      </x:c>
      <x:c r="F302" s="52" t="str">
        <x:v>model_update</x:v>
      </x:c>
      <x:c r="G302" s="52" t="str">
        <x:v>active</x:v>
      </x:c>
      <x:c r="H302" s="63" t="str">
        <x:v>Updates to GPT-4o</x:v>
      </x:c>
      <x:c r="I302" s="63" t="str">
        <x:v>GPT-4o 更新</x:v>
      </x:c>
      <x:c r="J302" s="63" t="str">
        <x:v>We've reverted the most recent update to GPT-4o due to issues with overly agreeable responses (sycophancy). We’re actively working on further improvements. For more details, check out our blog post explaining what happened and our initial findings, and this blog post where we expand on what we missed with sycophancy and the changes we're going to make going forward.</x:v>
      </x:c>
      <x:c r="K302" s="63" t="str">
        <x:v>OpenAI 於 2025-04-29 為 GPT-4o 更新模型或體驗；此節點依官方發布記錄整理，完整能力、適用方案與限制請見來源。</x:v>
      </x:c>
      <x:c r="L302" s="52" t="str">
        <x:v>https://help.openai.com/en/articles/6825453-chatgpt-release-notes</x:v>
      </x:c>
      <x:c r="M302" s="52" t="str">
        <x:v>help_center_release_notes</x:v>
      </x:c>
      <x:c r="N302" s="52" t="str">
        <x:v>complete</x:v>
      </x:c>
      <x:c r="O302" s="52" t="str">
        <x:v>high</x:v>
      </x:c>
      <x:c r="P302" s="60" t="n">
        <x:v>3</x:v>
      </x:c>
      <x:c r="Q302" s="52" t="str">
        <x:v>2025 | gpt-4o | model_update | models-reasoning</x:v>
      </x:c>
    </x:row>
    <x:row r="303" ht="38" customHeight="1">
      <x:c r="A303" s="57" t="n">
        <x:v>45777</x:v>
      </x:c>
      <x:c r="B303" s="52" t="str">
        <x:v>lane-openai-api-changelog</x:v>
      </x:c>
      <x:c r="C303" s="52" t="str">
        <x:v>OpenAI API Changelog</x:v>
      </x:c>
      <x:c r="D303" s="52" t="str">
        <x:v>developer_platform</x:v>
      </x:c>
      <x:c r="E303" s="52" t="str">
        <x:v>OpenAI API Platform</x:v>
      </x:c>
      <x:c r="F303" s="52" t="str">
        <x:v>launch</x:v>
      </x:c>
      <x:c r="G303" s="52" t="str">
        <x:v>active</x:v>
      </x:c>
      <x:c r="H303" s="63" t="str">
        <x:v>Launched support for Enhanced API Budget Alerts &amp; Auto-recharge Limits.</x:v>
      </x:c>
      <x:c r="I303" s="63" t="str">
        <x:v>推出：支援 Enhanced API Budget Alerts &amp; Auto-recharge Limits .</x:v>
      </x:c>
      <x:c r="J303" s="63" t="str">
        <x:v>Launched support for Enhanced API Budget Alerts &amp; Auto-recharge Limits .</x:v>
      </x:c>
      <x:c r="K303" s="63" t="str">
        <x:v>推出：支援 Enhanced API Budget Alerts &amp; Auto-recharge Limits。OpenAI 將此列為 2025-04-30 的功能；重點涉及平台功能與可用性，模型、端點與參數名稱依官方英文保留。</x:v>
      </x:c>
      <x:c r="L303" s="52" t="str">
        <x:v>https://developers.openai.com/api/docs/changelog</x:v>
      </x:c>
      <x:c r="M303" s="52" t="str">
        <x:v>official_changelog</x:v>
      </x:c>
      <x:c r="N303" s="52" t="str">
        <x:v>complete</x:v>
      </x:c>
      <x:c r="O303" s="52" t="str">
        <x:v>high</x:v>
      </x:c>
      <x:c r="P303" s="60" t="n">
        <x:v>3</x:v>
      </x:c>
      <x:c r="Q303" s="52" t="str">
        <x:v>api-platform | feature</x:v>
      </x:c>
    </x:row>
    <x:row r="304" ht="38" customHeight="1">
      <x:c r="A304" s="57" t="n">
        <x:v>45778</x:v>
      </x:c>
      <x:c r="B304" s="52" t="str">
        <x:v>chatgpt-release-notes</x:v>
      </x:c>
      <x:c r="C304" s="52" t="str">
        <x:v>ChatGPT — Release Notes</x:v>
      </x:c>
      <x:c r="D304" s="52" t="str">
        <x:v>chatgpt_core</x:v>
      </x:c>
      <x:c r="E304" s="52" t="str">
        <x:v>ChatGPT Voice</x:v>
      </x:c>
      <x:c r="F304" s="52" t="str">
        <x:v>deprecation</x:v>
      </x:c>
      <x:c r="G304" s="52" t="str">
        <x:v>deprecated</x:v>
      </x:c>
      <x:c r="H304" s="63" t="str">
        <x:v>Sunsetting Monday GPT</x:v>
      </x:c>
      <x:c r="I304" s="63" t="str">
        <x:v>停用 Monday GPT</x:v>
      </x:c>
      <x:c r="J304" s="63" t="str">
        <x:v>Launched on April 1 as a one-month surprise, our “Monday” personality (available in both voice and text) has now been sunset. We hope you enjoyed Monday's irreverent style, and we’re already working on new personalities for future use. Please stay tuned for what’s next!</x:v>
      </x:c>
      <x:c r="K304" s="63" t="str">
        <x:v>作為 4 月 1 日推出的為期一個月的驚喜，我們的「Monday」個性（提供語音和文字版本）現已停用。希望您喜歡 Monday 不拘一格的風格，我們已經在為未來開發新的個性。請持續關注後續內容！</x:v>
      </x:c>
      <x:c r="L304" s="52" t="str">
        <x:v>https://help.openai.com/en/articles/6825453-chatgpt-release-notes</x:v>
      </x:c>
      <x:c r="M304" s="52" t="str">
        <x:v>help_center_release_notes</x:v>
      </x:c>
      <x:c r="N304" s="52" t="str">
        <x:v>complete</x:v>
      </x:c>
      <x:c r="O304" s="52" t="str">
        <x:v>high</x:v>
      </x:c>
      <x:c r="P304" s="60" t="n">
        <x:v>3</x:v>
      </x:c>
      <x:c r="Q304" s="52" t="str">
        <x:v>2025 | chatgpt | chatgpt-core | deprecation</x:v>
      </x:c>
    </x:row>
    <x:row r="305" ht="38" customHeight="1">
      <x:c r="A305" s="57" t="n">
        <x:v>45783</x:v>
      </x:c>
      <x:c r="B305" s="52" t="str">
        <x:v>chatgpt-release-notes</x:v>
      </x:c>
      <x:c r="C305" s="52" t="str">
        <x:v>ChatGPT — Release Notes</x:v>
      </x:c>
      <x:c r="D305" s="52" t="str">
        <x:v>safety_lifecycle</x:v>
      </x:c>
      <x:c r="E305" s="52" t="str">
        <x:v>ChatGPT Search</x:v>
      </x:c>
      <x:c r="F305" s="52" t="str">
        <x:v>deprecation</x:v>
      </x:c>
      <x:c r="G305" s="52" t="str">
        <x:v>deprecated</x:v>
      </x:c>
      <x:c r="H305" s="63" t="str">
        <x:v>Mobile UI (iOS/Android) changing on Free/Plus/Pro plans</x:v>
      </x:c>
      <x:c r="I305" s="63" t="str">
        <x:v>淘汰通知：Mobile UI (iOS/Android) changing on Free/Plus/Pro plans</x:v>
      </x:c>
      <x:c r="J305" s="63" t="str">
        <x:v>We've removed the row of individual tool icons from the mobile composer and replaces it with the new sliders‑style icon to open the Skills menu; tapping that button opens a bottom‑sheet menu where users can choose tools like Create an image or Search the web. No tools are deprecated—access is simply consolidated to clear space and reduce on‑screen clutter.</x:v>
      </x:c>
      <x:c r="K305" s="63" t="str">
        <x:v>我們移除了行動版編輯器中的工具圖示列，並以新的滑桿樣式圖示取代，用於開啟「技能」選單；點擊該按鈕會開啟底部工作表選單，使用者可選擇如「建立影像」或「搜尋網路」等工具。沒有工具被停用，存取方式僅被整合以騰出空間並減少畫面雜亂。</x:v>
      </x:c>
      <x:c r="L305" s="52" t="str">
        <x:v>https://help.openai.com/en/articles/6825453-chatgpt-release-notes</x:v>
      </x:c>
      <x:c r="M305" s="52" t="str">
        <x:v>help_center_release_notes</x:v>
      </x:c>
      <x:c r="N305" s="52" t="str">
        <x:v>complete</x:v>
      </x:c>
      <x:c r="O305" s="52" t="str">
        <x:v>high</x:v>
      </x:c>
      <x:c r="P305" s="60" t="n">
        <x:v>3</x:v>
      </x:c>
      <x:c r="Q305" s="52" t="str">
        <x:v>2025 | chatgpt | clients-surfaces | feature</x:v>
      </x:c>
    </x:row>
    <x:row r="306" ht="38" customHeight="1">
      <x:c r="A306" s="57" t="n">
        <x:v>45784</x:v>
      </x:c>
      <x:c r="B306" s="52" t="str">
        <x:v>lane-openai-api-changelog</x:v>
      </x:c>
      <x:c r="C306" s="52" t="str">
        <x:v>OpenAI API Changelog</x:v>
      </x:c>
      <x:c r="D306" s="52" t="str">
        <x:v>developer_platform</x:v>
      </x:c>
      <x:c r="E306" s="52" t="str">
        <x:v>Fine-tuning API</x:v>
      </x:c>
      <x:c r="F306" s="52" t="str">
        <x:v>model_release</x:v>
      </x:c>
      <x:c r="G306" s="52" t="str">
        <x:v>active</x:v>
      </x:c>
      <x:c r="H306" s="63" t="str">
        <x:v>Launched support for reinforcement fine-tuning.</x:v>
      </x:c>
      <x:c r="I306" s="63" t="str">
        <x:v>推出強化微調支援</x:v>
      </x:c>
      <x:c r="J306" s="63" t="str">
        <x:v>Launched support for reinforcement fine-tuning . Learn about available fine-tuning methods . gpt-4.1-nano is now available for fine-tuning.</x:v>
      </x:c>
      <x:c r="K306" s="63" t="str">
        <x:v>推出強化微調支援。OpenAI 將此列為 2025-05-07 的功能；重點涉及模型微調，模型、端點與參數名稱依官方英文保留。</x:v>
      </x:c>
      <x:c r="L306" s="52" t="str">
        <x:v>https://developers.openai.com/api/docs/changelog</x:v>
      </x:c>
      <x:c r="M306" s="52" t="str">
        <x:v>official_changelog</x:v>
      </x:c>
      <x:c r="N306" s="52" t="str">
        <x:v>complete</x:v>
      </x:c>
      <x:c r="O306" s="52" t="str">
        <x:v>high</x:v>
      </x:c>
      <x:c r="P306" s="60" t="n">
        <x:v>3</x:v>
      </x:c>
      <x:c r="Q306" s="52" t="str">
        <x:v>custom-models | feature | fine-tuning</x:v>
      </x:c>
    </x:row>
    <x:row r="307" ht="38" customHeight="1">
      <x:c r="A307" s="57" t="n">
        <x:v>45785</x:v>
      </x:c>
      <x:c r="B307" s="52" t="str">
        <x:v>chatgpt-release-notes</x:v>
      </x:c>
      <x:c r="C307" s="52" t="str">
        <x:v>ChatGPT — Release Notes</x:v>
      </x:c>
      <x:c r="D307" s="52" t="str">
        <x:v>memory_knowledge</x:v>
      </x:c>
      <x:c r="E307" s="52" t="str">
        <x:v>ChatGPT Memory</x:v>
      </x:c>
      <x:c r="F307" s="52" t="str">
        <x:v>feature</x:v>
      </x:c>
      <x:c r="G307" s="52" t="str">
        <x:v>active</x:v>
      </x:c>
      <x:c r="H307" s="63" t="str">
        <x:v>Enhanced Memory in ChatGPT (including EU) on Plus/Pro</x:v>
      </x:c>
      <x:c r="I307" s="63" t="str">
        <x:v>ChatGPT Plus/Pro 的增強記憶功能（包含歐盟）</x:v>
      </x:c>
      <x:c r="J307" s="63" t="str">
        <x:v>Enhanced memory rolling out to all Plus and Pro users (including the EU). The new memory features are available in the EEA (EU + UK), Switzerland, Norway, Iceland, or Liechtenstein. These features are OFF by default and must be enabled in Settings Personalization Reference Chat History. • Saved memories and Chat history are offered only to Plus and Pro accounts. • Free‑tier users have access to Saved memories only. • Outside the Euro…</x:v>
      </x:c>
      <x:c r="K307" s="63" t="str">
        <x:v>增強記憶功能正向所有 Plus 和 Pro 使用者（包含歐盟）推出。新的記憶功能適用於 EEA（歐盟 + 英國）、瑞士、挪威、冰島或列支敦斯登。這些功能預設為關閉，必須在「設定 個人化 參照對話記錄」中啟用。</x:v>
      </x:c>
      <x:c r="L307" s="52" t="str">
        <x:v>https://help.openai.com/en/articles/6825453-chatgpt-release-notes</x:v>
      </x:c>
      <x:c r="M307" s="52" t="str">
        <x:v>help_center_release_notes</x:v>
      </x:c>
      <x:c r="N307" s="52" t="str">
        <x:v>complete</x:v>
      </x:c>
      <x:c r="O307" s="52" t="str">
        <x:v>high</x:v>
      </x:c>
      <x:c r="P307" s="60" t="n">
        <x:v>3</x:v>
      </x:c>
      <x:c r="Q307" s="52" t="str">
        <x:v>2025 | feature | memory | memory-knowledge</x:v>
      </x:c>
    </x:row>
    <x:row r="308" ht="38" customHeight="1">
      <x:c r="A308" s="57" t="n">
        <x:v>45785</x:v>
      </x:c>
      <x:c r="B308" s="52" t="str">
        <x:v>chatgpt-release-notes</x:v>
      </x:c>
      <x:c r="C308" s="52" t="str">
        <x:v>ChatGPT — Release Notes</x:v>
      </x:c>
      <x:c r="D308" s="52" t="str">
        <x:v>agents_research</x:v>
      </x:c>
      <x:c r="E308" s="52" t="str">
        <x:v>deep research</x:v>
      </x:c>
      <x:c r="F308" s="52" t="str">
        <x:v>integration</x:v>
      </x:c>
      <x:c r="G308" s="52" t="str">
        <x:v>active</x:v>
      </x:c>
      <x:c r="H308" s="63" t="str">
        <x:v>GitHub connector for deep research for Plus/Pro/Team</x:v>
      </x:c>
      <x:c r="I308" s="63" t="str">
        <x:v>適用於 Plus/Pro/Team 的深度研究 GitHub 連接器</x:v>
      </x:c>
      <x:c r="J308" s="63" t="str">
        <x:v>ChatGPT deep research with GitHub is available globally to Team users. It is also gradually rolling out to Plus and Pro users, except for those in the EEA, Switzerland, and the UK. Enterprise user access will be announced at a later date. See: Connecting GitHub to ChatGPT deep research.</x:v>
      </x:c>
      <x:c r="K308" s="63" t="str">
        <x:v>ChatGPT 深度研究與 GitHub 的整合已向全球 Team 使用者開放。該功能也正逐步向 Plus 和 Pro 使用者推出，但 EEA、瑞士和英國的使用者除外。企業使用者存取權限將於稍後公布。請參閱：將 GitHub 連接到 ChatGPT 深度研究。</x:v>
      </x:c>
      <x:c r="L308" s="52" t="str">
        <x:v>https://help.openai.com/en/articles/6825453-chatgpt-release-notes</x:v>
      </x:c>
      <x:c r="M308" s="52" t="str">
        <x:v>help_center_release_notes</x:v>
      </x:c>
      <x:c r="N308" s="52" t="str">
        <x:v>complete</x:v>
      </x:c>
      <x:c r="O308" s="52" t="str">
        <x:v>high</x:v>
      </x:c>
      <x:c r="P308" s="60" t="n">
        <x:v>3</x:v>
      </x:c>
      <x:c r="Q308" s="52" t="str">
        <x:v>2025 | agents-research | deep-research | integration</x:v>
      </x:c>
    </x:row>
    <x:row r="309" ht="38" customHeight="1">
      <x:c r="A309" s="57" t="n">
        <x:v>45789</x:v>
      </x:c>
      <x:c r="B309" s="52" t="str">
        <x:v>chatgpt-release-notes</x:v>
      </x:c>
      <x:c r="C309" s="52" t="str">
        <x:v>ChatGPT — Release Notes</x:v>
      </x:c>
      <x:c r="D309" s="52" t="str">
        <x:v>agents_research</x:v>
      </x:c>
      <x:c r="E309" s="52" t="str">
        <x:v>deep research</x:v>
      </x:c>
      <x:c r="F309" s="52" t="str">
        <x:v>feature</x:v>
      </x:c>
      <x:c r="G309" s="52" t="str">
        <x:v>active</x:v>
      </x:c>
      <x:c r="H309" s="63" t="str">
        <x:v>Export Deep Research as PDF for Plus/Pro/Team</x:v>
      </x:c>
      <x:c r="I309" s="63" t="str">
        <x:v>將深度研究匯出為 PDF（適用於 Plus/Pro/Team）</x:v>
      </x:c>
      <x:c r="J309" s="63" t="str">
        <x:v>You can now export your deep research reports as well-formatted PDFs—complete with tables, images, linked citations, and sources. To use, click the share icon and select 'Download as PDF.' It works for both new and past reports.</x:v>
      </x:c>
      <x:c r="K309" s="63" t="str">
        <x:v>您現在可以將深度研究報告匯出為格式良好的 PDF，其中包含表格、影像、連結的引用和來源。使用方法：點擊分享圖示並選擇「下載為 PDF」。此功能適用於新的和過去的報告。</x:v>
      </x:c>
      <x:c r="L309" s="52" t="str">
        <x:v>https://help.openai.com/en/articles/6825453-chatgpt-release-notes</x:v>
      </x:c>
      <x:c r="M309" s="52" t="str">
        <x:v>help_center_release_notes</x:v>
      </x:c>
      <x:c r="N309" s="52" t="str">
        <x:v>complete</x:v>
      </x:c>
      <x:c r="O309" s="52" t="str">
        <x:v>high</x:v>
      </x:c>
      <x:c r="P309" s="60" t="n">
        <x:v>3</x:v>
      </x:c>
      <x:c r="Q309" s="52" t="str">
        <x:v>2025 | agents-research | deep-research | feature</x:v>
      </x:c>
    </x:row>
    <x:row r="310" ht="38" customHeight="1">
      <x:c r="A310" s="57" t="n">
        <x:v>45789</x:v>
      </x:c>
      <x:c r="B310" s="52" t="str">
        <x:v>model-release-notes</x:v>
      </x:c>
      <x:c r="C310" s="52" t="str">
        <x:v>Model Release Notes</x:v>
      </x:c>
      <x:c r="D310" s="52" t="str">
        <x:v>models_reasoning</x:v>
      </x:c>
      <x:c r="E310" s="52" t="str">
        <x:v>GPT-4o</x:v>
      </x:c>
      <x:c r="F310" s="52" t="str">
        <x:v>model_update</x:v>
      </x:c>
      <x:c r="G310" s="52" t="str">
        <x:v>active</x:v>
      </x:c>
      <x:c r="H310" s="63" t="str">
        <x:v>Improvement to GPT-4o</x:v>
      </x:c>
      <x:c r="I310" s="63" t="str">
        <x:v>改進：GPT-4o</x:v>
      </x:c>
      <x:c r="J310" s="63" t="str">
        <x:v>We've improved GPT-4o's system instructions to help ensure the image generation tool is called when you want to generate an image in ChatGPT.</x:v>
      </x:c>
      <x:c r="K310" s="63" t="str">
        <x:v>OpenAI 於 2025-05-12 為 GPT-4o 更新模型或體驗；此節點依官方發布記錄整理，完整能力、適用方案與限制請見來源。</x:v>
      </x:c>
      <x:c r="L310" s="52" t="str">
        <x:v>https://help.openai.com/en/articles/9624314-model-release-notes</x:v>
      </x:c>
      <x:c r="M310" s="52" t="str">
        <x:v>help_center_release_notes</x:v>
      </x:c>
      <x:c r="N310" s="52" t="str">
        <x:v>parsed</x:v>
      </x:c>
      <x:c r="O310" s="52" t="str">
        <x:v>high</x:v>
      </x:c>
      <x:c r="P310" s="60" t="n">
        <x:v>0</x:v>
      </x:c>
      <x:c r="Q310" s="52" t="str"/>
    </x:row>
    <x:row r="311" ht="38" customHeight="1">
      <x:c r="A311" s="57" t="n">
        <x:v>45789</x:v>
      </x:c>
      <x:c r="B311" s="52" t="str">
        <x:v>chatgpt-release-notes</x:v>
      </x:c>
      <x:c r="C311" s="52" t="str">
        <x:v>ChatGPT — Release Notes</x:v>
      </x:c>
      <x:c r="D311" s="52" t="str">
        <x:v>agents_research</x:v>
      </x:c>
      <x:c r="E311" s="52" t="str">
        <x:v>deep research</x:v>
      </x:c>
      <x:c r="F311" s="52" t="str">
        <x:v>integration</x:v>
      </x:c>
      <x:c r="G311" s="52" t="str">
        <x:v>active</x:v>
      </x:c>
      <x:c r="H311" s="63" t="str">
        <x:v>Microsoft Sharepoint and OneDrive connector for deep research for Plus/Pro/Team</x:v>
      </x:c>
      <x:c r="I311" s="63" t="str">
        <x:v>針對 Plus/Pro/Team 的 ChatGPT 深度研究 Microsoft SharePoint 與 OneDrive 連接器</x:v>
      </x:c>
      <x:c r="J311" s="63" t="str">
        <x:v>ChatGPT deep research with Sharepoint and OneDrive is available globally to Team users. It is also gradually rolling out to Plus and Pro users, except for those in the EEA, Switzerland, and the UK. Enterprise user access will be announced at a later date. See: Connecting SharePoint and Microsoft OneDrive to ChatGPT deep research</x:v>
      </x:c>
      <x:c r="K311" s="63" t="str">
        <x:v>支援 SharePoint 與 OneDrive 的 ChatGPT 深度研究功能已開放給全球 Team 用戶使用。該功能也正逐步推廣至 Plus 與 Pro 用戶（不含歐洲經濟區、瑞士與英國）。企業用戶的存取權限將於日後另行公告。參考：將 SharePoint 與 Microsoft OneDrive 連接到 ChatGPT 深度研究</x:v>
      </x:c>
      <x:c r="L311" s="52" t="str">
        <x:v>https://help.openai.com/en/articles/6825453-chatgpt-release-notes</x:v>
      </x:c>
      <x:c r="M311" s="52" t="str">
        <x:v>help_center_release_notes</x:v>
      </x:c>
      <x:c r="N311" s="52" t="str">
        <x:v>complete</x:v>
      </x:c>
      <x:c r="O311" s="52" t="str">
        <x:v>high</x:v>
      </x:c>
      <x:c r="P311" s="60" t="n">
        <x:v>3</x:v>
      </x:c>
      <x:c r="Q311" s="52" t="str">
        <x:v>2025 | agents-research | deep-research | integration</x:v>
      </x:c>
    </x:row>
    <x:row r="312" ht="38" customHeight="1">
      <x:c r="A312" s="57" t="n">
        <x:v>45791</x:v>
      </x:c>
      <x:c r="B312" s="52" t="str">
        <x:v>chatgpt-release-notes</x:v>
      </x:c>
      <x:c r="C312" s="52" t="str">
        <x:v>ChatGPT — Release Notes</x:v>
      </x:c>
      <x:c r="D312" s="52" t="str">
        <x:v>models_reasoning</x:v>
      </x:c>
      <x:c r="E312" s="52" t="str">
        <x:v>GPT-4.1</x:v>
      </x:c>
      <x:c r="F312" s="52" t="str">
        <x:v>model_release</x:v>
      </x:c>
      <x:c r="G312" s="52" t="str">
        <x:v>active</x:v>
      </x:c>
      <x:c r="H312" s="63" t="str">
        <x:v>Introducing GPT-4.1 mini, replacing GPT-4o mini, in ChatGPT for all users</x:v>
      </x:c>
      <x:c r="I312" s="63" t="str">
        <x:v>推出 GPT-4.1 mini，取代 ChatGPT 中所有用戶的 GPT-4o mini</x:v>
      </x:c>
      <x:c r="J312" s="63" t="str">
        <x:v>GPT-4.1 mini is a fast, capable, and efficient small model, delivering significant improvements compared to GPT-4o mini—in instruction-following, coding, and overall intelligence. Starting today, GPT-4.1 mini replaces GPT-4o mini in the model picker under "more models" for paid users, and will serve as the fallback model for free users once they reach their GPT-4o usage limits. Rate limits remain the same. Evals for GPT-4.1 and GPT-4…</x:v>
      </x:c>
      <x:c r="K312" s="63" t="str">
        <x:v>GPT-4.1 mini 是一款快速、強大且高效的小型模型，相較於 GPT-4o mini 在指令遵循、程式編寫及整體智慧能力上有顯著提升……</x:v>
      </x:c>
      <x:c r="L312" s="52" t="str">
        <x:v>https://help.openai.com/en/articles/6825453-chatgpt-release-notes</x:v>
      </x:c>
      <x:c r="M312" s="52" t="str">
        <x:v>help_center_release_notes</x:v>
      </x:c>
      <x:c r="N312" s="52" t="str">
        <x:v>complete</x:v>
      </x:c>
      <x:c r="O312" s="52" t="str">
        <x:v>high</x:v>
      </x:c>
      <x:c r="P312" s="60" t="n">
        <x:v>4</x:v>
      </x:c>
      <x:c r="Q312" s="52" t="str">
        <x:v>2025 | gpt-4.1 | model_release | models-reasoning</x:v>
      </x:c>
    </x:row>
    <x:row r="313" ht="38" customHeight="1">
      <x:c r="A313" s="57" t="n">
        <x:v>45791</x:v>
      </x:c>
      <x:c r="B313" s="52" t="str">
        <x:v>model-release-notes</x:v>
      </x:c>
      <x:c r="C313" s="52" t="str">
        <x:v>Model Release Notes</x:v>
      </x:c>
      <x:c r="D313" s="52" t="str">
        <x:v>models_reasoning</x:v>
      </x:c>
      <x:c r="E313" s="52" t="str">
        <x:v>GPT-4.1</x:v>
      </x:c>
      <x:c r="F313" s="52" t="str">
        <x:v>model_release</x:v>
      </x:c>
      <x:c r="G313" s="52" t="str">
        <x:v>active</x:v>
      </x:c>
      <x:c r="H313" s="63" t="str">
        <x:v>Introducing GPT-4.1 mini, replacing GPT-4o mini, in ChatGPT for all users</x:v>
      </x:c>
      <x:c r="I313" s="63" t="str">
        <x:v>推出GPT-4.1 mini, replacing GPT-4o mini, 於 ChatGPT 面向所有使用者</x:v>
      </x:c>
      <x:c r="J313" s="63" t="str">
        <x:v>GPT-4.1 mini is a fast, capable, and efficient small model, delivering significant improvements compared to GPT-4o mini—in instruction-following, coding, and overall intelligence. Starting today, GPT-4.1 mini replaces GPT-4o mini in the model picker under "more models" for paid users, and will serve as the fallback model for free users once they reach their GPT-4o usage limits. Rate limits remain the same.</x:v>
      </x:c>
      <x:c r="K313" s="63" t="str">
        <x:v>OpenAI 於 2025-05-14 為 GPT-4.1 發布模型；此節點依官方發布記錄整理，完整能力、適用方案與限制請見來源。</x:v>
      </x:c>
      <x:c r="L313" s="52" t="str">
        <x:v>https://help.openai.com/en/articles/9624314-model-release-notes</x:v>
      </x:c>
      <x:c r="M313" s="52" t="str">
        <x:v>help_center_release_notes</x:v>
      </x:c>
      <x:c r="N313" s="52" t="str">
        <x:v>parsed</x:v>
      </x:c>
      <x:c r="O313" s="52" t="str">
        <x:v>high</x:v>
      </x:c>
      <x:c r="P313" s="60" t="n">
        <x:v>0</x:v>
      </x:c>
      <x:c r="Q313" s="52" t="str"/>
    </x:row>
    <x:row r="314" ht="38" customHeight="1">
      <x:c r="A314" s="57" t="n">
        <x:v>45791</x:v>
      </x:c>
      <x:c r="B314" s="52" t="str">
        <x:v>chatgpt-release-notes</x:v>
      </x:c>
      <x:c r="C314" s="52" t="str">
        <x:v>ChatGPT — Release Notes</x:v>
      </x:c>
      <x:c r="D314" s="52" t="str">
        <x:v>models_reasoning</x:v>
      </x:c>
      <x:c r="E314" s="52" t="str">
        <x:v>GPT-4.1</x:v>
      </x:c>
      <x:c r="F314" s="52" t="str">
        <x:v>model_release</x:v>
      </x:c>
      <x:c r="G314" s="52" t="str">
        <x:v>active</x:v>
      </x:c>
      <x:c r="H314" s="63" t="str">
        <x:v>Releasing GPT-4.1 in ChatGPT for all paid users</x:v>
      </x:c>
      <x:c r="I314" s="63" t="str">
        <x:v>在 ChatGPT 中為所有付費用戶推出 GPT-4.1</x:v>
      </x:c>
      <x:c r="J314" s="63" t="str">
        <x:v>Since its launch in the API in April, GPT-4.1 has become a favorite among developers—by popular demand, we’re making it available directly in ChatGPT. GPT-4.1 is a specialized model that excels at coding tasks. Compared to GPT-4o, it's even stronger at precise instruction following and web development tasks, and offers an alternative to OpenAI o3 and OpenAI o4-mini for simpler, everyday coding needs. Starting today, Plus, Pro, and Te…</x:v>
      </x:c>
      <x:c r="K314" s="63" t="str">
        <x:v>自四月於 API 推出以來，GPT-4.1 深受開發者喜愛，應廣大需求，我們現已將其直接導入 ChatGPT。GPT-4.1 是一款擅長程式編寫任務的專業模型……</x:v>
      </x:c>
      <x:c r="L314" s="52" t="str">
        <x:v>https://help.openai.com/en/articles/6825453-chatgpt-release-notes</x:v>
      </x:c>
      <x:c r="M314" s="52" t="str">
        <x:v>help_center_release_notes</x:v>
      </x:c>
      <x:c r="N314" s="52" t="str">
        <x:v>complete</x:v>
      </x:c>
      <x:c r="O314" s="52" t="str">
        <x:v>high</x:v>
      </x:c>
      <x:c r="P314" s="60" t="n">
        <x:v>4</x:v>
      </x:c>
      <x:c r="Q314" s="52" t="str">
        <x:v>2025 | gpt-4.1 | model_release | models-reasoning</x:v>
      </x:c>
    </x:row>
    <x:row r="315" ht="38" customHeight="1">
      <x:c r="A315" s="57" t="n">
        <x:v>45791</x:v>
      </x:c>
      <x:c r="B315" s="52" t="str">
        <x:v>model-release-notes</x:v>
      </x:c>
      <x:c r="C315" s="52" t="str">
        <x:v>Model Release Notes</x:v>
      </x:c>
      <x:c r="D315" s="52" t="str">
        <x:v>models_reasoning</x:v>
      </x:c>
      <x:c r="E315" s="52" t="str">
        <x:v>GPT-4.1</x:v>
      </x:c>
      <x:c r="F315" s="52" t="str">
        <x:v>model_release</x:v>
      </x:c>
      <x:c r="G315" s="52" t="str">
        <x:v>active</x:v>
      </x:c>
      <x:c r="H315" s="63" t="str">
        <x:v>Releasing GPT-4.1 in ChatGPT for all paid users</x:v>
      </x:c>
      <x:c r="I315" s="63" t="str">
        <x:v>Releasing GPT-4.1 於 ChatGPT for all paid users</x:v>
      </x:c>
      <x:c r="J315" s="63" t="str">
        <x:v>Since its launch in the API in April, GPT-4.1 has become a favorite among developers—by popular demand, we’re making it available directly in ChatGPT. GPT-4.1 is a specialized model that excels at coding tasks. Compared to GPT-4o, it's even stronger at precise instruction following and web development tasks, and offers an alternative to OpenAI o3 and OpenAI o4-mini for simpler, everyday coding needs.</x:v>
      </x:c>
      <x:c r="K315" s="63" t="str">
        <x:v>OpenAI 於 2025-05-14 為 GPT-4.1 發布模型；此節點依官方發布記錄整理，完整能力、適用方案與限制請見來源。</x:v>
      </x:c>
      <x:c r="L315" s="52" t="str">
        <x:v>https://help.openai.com/en/articles/9624314-model-release-notes</x:v>
      </x:c>
      <x:c r="M315" s="52" t="str">
        <x:v>help_center_release_notes</x:v>
      </x:c>
      <x:c r="N315" s="52" t="str">
        <x:v>parsed</x:v>
      </x:c>
      <x:c r="O315" s="52" t="str">
        <x:v>high</x:v>
      </x:c>
      <x:c r="P315" s="60" t="n">
        <x:v>0</x:v>
      </x:c>
      <x:c r="Q315" s="52" t="str"/>
    </x:row>
    <x:row r="316" ht="38" customHeight="1">
      <x:c r="A316" s="57" t="n">
        <x:v>45792</x:v>
      </x:c>
      <x:c r="B316" s="52" t="str">
        <x:v>chatgpt-release-notes</x:v>
      </x:c>
      <x:c r="C316" s="52" t="str">
        <x:v>ChatGPT — Release Notes</x:v>
      </x:c>
      <x:c r="D316" s="52" t="str">
        <x:v>agents_research</x:v>
      </x:c>
      <x:c r="E316" s="52" t="str">
        <x:v>deep research</x:v>
      </x:c>
      <x:c r="F316" s="52" t="str">
        <x:v>integration</x:v>
      </x:c>
      <x:c r="G316" s="52" t="str">
        <x:v>active</x:v>
      </x:c>
      <x:c r="H316" s="63" t="str">
        <x:v>Dropbox connector for deep research for Plus/Pro/Team</x:v>
      </x:c>
      <x:c r="I316" s="63" t="str">
        <x:v>針對 Plus/Pro/Team 的 Dropbox 深度研究連接器</x:v>
      </x:c>
      <x:c r="J316" s="63" t="str">
        <x:v>ChatGPT deep research with Dropbox is available globally to Team users. It is also gradually rolling out to Plus and Pro users, except for those in the EEA, Switzerland, and the UK. Enterprise user access will be announced at a later date. See: Connect apps to ChatGPT deep research</x:v>
      </x:c>
      <x:c r="K316" s="63" t="str">
        <x:v>支援 Dropbox 的 ChatGPT 深度研究功能已開放給全球 Team 用戶使用。該功能也正逐步推廣至 Plus 與 Pro 用戶（不含歐洲經濟區、瑞士與英國）。企業用戶的存取權限將於日後另行公告。參考：將應用程式連接到 ChatGPT 深度研究</x:v>
      </x:c>
      <x:c r="L316" s="52" t="str">
        <x:v>https://help.openai.com/en/articles/6825453-chatgpt-release-notes</x:v>
      </x:c>
      <x:c r="M316" s="52" t="str">
        <x:v>help_center_release_notes</x:v>
      </x:c>
      <x:c r="N316" s="52" t="str">
        <x:v>complete</x:v>
      </x:c>
      <x:c r="O316" s="52" t="str">
        <x:v>high</x:v>
      </x:c>
      <x:c r="P316" s="60" t="n">
        <x:v>3</x:v>
      </x:c>
      <x:c r="Q316" s="52" t="str">
        <x:v>2025 | agents-research | deep-research | integration</x:v>
      </x:c>
    </x:row>
    <x:row r="317" ht="38" customHeight="1">
      <x:c r="A317" s="57" t="n">
        <x:v>45792</x:v>
      </x:c>
      <x:c r="B317" s="52" t="str">
        <x:v>chatgpt-release-notes</x:v>
      </x:c>
      <x:c r="C317" s="52" t="str">
        <x:v>ChatGPT — Release Notes</x:v>
      </x:c>
      <x:c r="D317" s="52" t="str">
        <x:v>agents_research</x:v>
      </x:c>
      <x:c r="E317" s="52" t="str">
        <x:v>deep research</x:v>
      </x:c>
      <x:c r="F317" s="52" t="str">
        <x:v>integration</x:v>
      </x:c>
      <x:c r="G317" s="52" t="str">
        <x:v>active</x:v>
      </x:c>
      <x:c r="H317" s="63" t="str">
        <x:v>GitHub connector for deep research</x:v>
      </x:c>
      <x:c r="I317" s="63" t="str">
        <x:v>用於深度研究的 GitHub 連接器</x:v>
      </x:c>
      <x:c r="J317" s="63" t="str">
        <x:v>The GitHub connector is now available globally to Plus/Pro/Team users, including those in the EEA, Switzerland, and the UK.</x:v>
      </x:c>
      <x:c r="K317" s="63" t="str">
        <x:v>OpenAI 於 2025-05-15 為 Deep Research 擴大開放範圍；此節點依官方發布記錄整理，完整能力、適用方案與限制請見來源。</x:v>
      </x:c>
      <x:c r="L317" s="52" t="str">
        <x:v>https://help.openai.com/en/articles/6825453-chatgpt-release-notes</x:v>
      </x:c>
      <x:c r="M317" s="52" t="str">
        <x:v>help_center_release_notes</x:v>
      </x:c>
      <x:c r="N317" s="52" t="str">
        <x:v>complete</x:v>
      </x:c>
      <x:c r="O317" s="52" t="str">
        <x:v>high</x:v>
      </x:c>
      <x:c r="P317" s="60" t="n">
        <x:v>3</x:v>
      </x:c>
      <x:c r="Q317" s="52" t="str">
        <x:v>2025 | agents-research | deep-research | integration</x:v>
      </x:c>
    </x:row>
    <x:row r="318" ht="38" customHeight="1">
      <x:c r="A318" s="57" t="n">
        <x:v>45792</x:v>
      </x:c>
      <x:c r="B318" s="52" t="str">
        <x:v>api-changelog</x:v>
      </x:c>
      <x:c r="C318" s="52" t="str">
        <x:v>OpenAI API Changelog</x:v>
      </x:c>
      <x:c r="D318" s="52" t="str">
        <x:v>agents_research</x:v>
      </x:c>
      <x:c r="E318" s="52" t="str">
        <x:v>Codex</x:v>
      </x:c>
      <x:c r="F318" s="52" t="str">
        <x:v>launch</x:v>
      </x:c>
      <x:c r="G318" s="52" t="str">
        <x:v>active</x:v>
      </x:c>
      <x:c r="H318" s="63" t="str">
        <x:v>Launched codex-mini-latest in the API, optimized for use with the Codex CLI.</x:v>
      </x:c>
      <x:c r="I318" s="63" t="str">
        <x:v>推出：Codex</x:v>
      </x:c>
      <x:c r="J318" s="63" t="str">
        <x:v>v1/chat/completions Launched codex-mini-latest in the API, optimized for use with the Codex CLI.</x:v>
      </x:c>
      <x:c r="K318" s="63" t="str">
        <x:v>OpenAI 於 2025-05-15 為 Codex 推出新產品或能力；此節點依官方發布記錄整理，完整能力、適用方案與限制請見來源。</x:v>
      </x:c>
      <x:c r="L318" s="52" t="str">
        <x:v>https://platform.openai.com/docs/changelog</x:v>
      </x:c>
      <x:c r="M318" s="52" t="str">
        <x:v>developer_changelog</x:v>
      </x:c>
      <x:c r="N318" s="52" t="str">
        <x:v>parsed</x:v>
      </x:c>
      <x:c r="O318" s="52" t="str">
        <x:v>high</x:v>
      </x:c>
      <x:c r="P318" s="60" t="n">
        <x:v>0</x:v>
      </x:c>
      <x:c r="Q318" s="52" t="str"/>
    </x:row>
    <x:row r="319" ht="38" customHeight="1">
      <x:c r="A319" s="57" t="n">
        <x:v>45792</x:v>
      </x:c>
      <x:c r="B319" s="52" t="str">
        <x:v>lane-openai-api-changelog</x:v>
      </x:c>
      <x:c r="C319" s="52" t="str">
        <x:v>OpenAI API Changelog</x:v>
      </x:c>
      <x:c r="D319" s="52" t="str">
        <x:v>agents_research</x:v>
      </x:c>
      <x:c r="E319" s="52" t="str">
        <x:v>Codex</x:v>
      </x:c>
      <x:c r="F319" s="52" t="str">
        <x:v>launch</x:v>
      </x:c>
      <x:c r="G319" s="52" t="str">
        <x:v>active</x:v>
      </x:c>
      <x:c r="H319" s="63" t="str">
        <x:v>Launched codex-mini-latest in the API, optimized for use with the Codex CLI.</x:v>
      </x:c>
      <x:c r="I319" s="63" t="str">
        <x:v>推出：Codex</x:v>
      </x:c>
      <x:c r="J319" s="63" t="str">
        <x:v>Launched codex-mini-latest in the API, optimized for use with the Codex CLI .</x:v>
      </x:c>
      <x:c r="K319" s="63" t="str">
        <x:v>推出：codex-mini-latest in API, optimized for use with Codex CLI。OpenAI 將此列為 2025-05-15 的功能；重點涉及Codex 編碼代理，模型、端點與參數名稱依官方英文保留。</x:v>
      </x:c>
      <x:c r="L319" s="52" t="str">
        <x:v>https://developers.openai.com/api/docs/changelog</x:v>
      </x:c>
      <x:c r="M319" s="52" t="str">
        <x:v>official_changelog</x:v>
      </x:c>
      <x:c r="N319" s="52" t="str">
        <x:v>complete</x:v>
      </x:c>
      <x:c r="O319" s="52" t="str">
        <x:v>high</x:v>
      </x:c>
      <x:c r="P319" s="60" t="n">
        <x:v>3</x:v>
      </x:c>
      <x:c r="Q319" s="52" t="str">
        <x:v>codex | coding-agent | feature</x:v>
      </x:c>
    </x:row>
    <x:row r="320" ht="38" customHeight="1">
      <x:c r="A320" s="57" t="n">
        <x:v>45793</x:v>
      </x:c>
      <x:c r="B320" s="52" t="str">
        <x:v>lane-introducing-codex</x:v>
      </x:c>
      <x:c r="C320" s="52" t="str">
        <x:v>Introducing Codex</x:v>
      </x:c>
      <x:c r="D320" s="52" t="str">
        <x:v>agents_research</x:v>
      </x:c>
      <x:c r="E320" s="52" t="str">
        <x:v>Codex</x:v>
      </x:c>
      <x:c r="F320" s="52" t="str">
        <x:v>launch</x:v>
      </x:c>
      <x:c r="G320" s="52" t="str">
        <x:v>research_preview</x:v>
      </x:c>
      <x:c r="H320" s="63" t="str">
        <x:v>Introducing Codex</x:v>
      </x:c>
      <x:c r="I320" s="63" t="str">
        <x:v>推出 Codex</x:v>
      </x:c>
      <x:c r="J320" s="63" t="str">
        <x:v>OpenAI launched the Codex cloud software-engineering agent in research preview, powered by codex-1 and capable of working on multiple tasks in isolated cloud sandboxes.</x:v>
      </x:c>
      <x:c r="K320" s="63" t="str">
        <x:v>OpenAI 推出 Codex 雲端軟體工程代理的研究預覽版；它由 codex-1 驅動，可在隔離的雲端沙盒中同時處理多項任務。</x:v>
      </x:c>
      <x:c r="L320" s="52" t="str">
        <x:v>https://openai.com/index/introducing-codex/</x:v>
      </x:c>
      <x:c r="M320" s="52" t="str">
        <x:v>official_launch_post</x:v>
      </x:c>
      <x:c r="N320" s="52" t="str">
        <x:v>complete</x:v>
      </x:c>
      <x:c r="O320" s="52" t="str">
        <x:v>high</x:v>
      </x:c>
      <x:c r="P320" s="60" t="n">
        <x:v>5</x:v>
      </x:c>
      <x:c r="Q320" s="52" t="str">
        <x:v>2025 | agents-research | codex | launch</x:v>
      </x:c>
    </x:row>
    <x:row r="321" ht="38" customHeight="1">
      <x:c r="A321" s="57" t="n">
        <x:v>45796</x:v>
      </x:c>
      <x:c r="B321" s="52" t="str">
        <x:v>codex-changelog</x:v>
      </x:c>
      <x:c r="C321" s="52" t="str">
        <x:v>Codex Changelog</x:v>
      </x:c>
      <x:c r="D321" s="52" t="str">
        <x:v>clients_surfaces</x:v>
      </x:c>
      <x:c r="E321" s="52" t="str">
        <x:v>Codex Mobile</x:v>
      </x:c>
      <x:c r="F321" s="52" t="str">
        <x:v>feature</x:v>
      </x:c>
      <x:c r="G321" s="52" t="str">
        <x:v>active</x:v>
      </x:c>
      <x:c r="H321" s="63" t="str">
        <x:v>Codex in the ChatGPT iOS app</x:v>
      </x:c>
      <x:c r="I321" s="63" t="str">
        <x:v>功能更新：Codex Mobile</x:v>
      </x:c>
      <x:c r="J321" s="63" t="str">
        <x:v>Start tasks, view diffs, and push PRs—while you’re away from your desk.</x:v>
      </x:c>
      <x:c r="K321" s="63" t="str">
        <x:v>Codex Changelog 在 2025-05-19 記錄了Codex 編碼代理相關更新；完整版本與修正內容見官方英文摘要。</x:v>
      </x:c>
      <x:c r="L321" s="52" t="str">
        <x:v>https://developers.openai.com/codex/changelog/</x:v>
      </x:c>
      <x:c r="M321" s="52" t="str">
        <x:v>developer_changelog</x:v>
      </x:c>
      <x:c r="N321" s="52" t="str">
        <x:v>complete</x:v>
      </x:c>
      <x:c r="O321" s="52" t="str">
        <x:v>high</x:v>
      </x:c>
      <x:c r="P321" s="60" t="n">
        <x:v>2</x:v>
      </x:c>
      <x:c r="Q321" s="52" t="str">
        <x:v>codex | mobile | release-notes</x:v>
      </x:c>
    </x:row>
    <x:row r="322" ht="38" customHeight="1">
      <x:c r="A322" s="57" t="n">
        <x:v>45797</x:v>
      </x:c>
      <x:c r="B322" s="52" t="str">
        <x:v>lane-openai-api-changelog</x:v>
      </x:c>
      <x:c r="C322" s="52" t="str">
        <x:v>OpenAI API Changelog</x:v>
      </x:c>
      <x:c r="D322" s="52" t="str">
        <x:v>agents_research</x:v>
      </x:c>
      <x:c r="E322" s="52" t="str">
        <x:v>Responses API</x:v>
      </x:c>
      <x:c r="F322" s="52" t="str">
        <x:v>platform</x:v>
      </x:c>
      <x:c r="G322" s="52" t="str">
        <x:v>active</x:v>
      </x:c>
      <x:c r="H322" s="63" t="str">
        <x:v>Added support for new built-in tools in the Responses API</x:v>
      </x:c>
      <x:c r="I322" s="63" t="str">
        <x:v>平台更新：Responses API</x:v>
      </x:c>
      <x:c r="J322" s="63" t="str">
        <x:v>Added support for new built-in tools in the Responses API, including remote MCP servers and code interpreter . Learn more about tools .</x:v>
      </x:c>
      <x:c r="K322" s="63" t="str">
        <x:v>新增：支援 全新 built-in tools in Responses API, including remote MCP servers and code interpreter。OpenAI 將此列為 2025-05-20 的功能；重點涉及代理與工具調用，模型、端點與參數名稱依官方英文保留。</x:v>
      </x:c>
      <x:c r="L322" s="52" t="str">
        <x:v>https://developers.openai.com/api/docs/changelog</x:v>
      </x:c>
      <x:c r="M322" s="52" t="str">
        <x:v>official_changelog</x:v>
      </x:c>
      <x:c r="N322" s="52" t="str">
        <x:v>complete</x:v>
      </x:c>
      <x:c r="O322" s="52" t="str">
        <x:v>high</x:v>
      </x:c>
      <x:c r="P322" s="60" t="n">
        <x:v>3</x:v>
      </x:c>
      <x:c r="Q322" s="52" t="str">
        <x:v>agents | feature | responses-api</x:v>
      </x:c>
    </x:row>
    <x:row r="323" ht="38" customHeight="1">
      <x:c r="A323" s="57" t="n">
        <x:v>45797</x:v>
      </x:c>
      <x:c r="B323" s="52" t="str">
        <x:v>api-changelog</x:v>
      </x:c>
      <x:c r="C323" s="52" t="str">
        <x:v>OpenAI API Changelog</x:v>
      </x:c>
      <x:c r="D323" s="52" t="str">
        <x:v>developer_platform</x:v>
      </x:c>
      <x:c r="E323" s="52" t="str">
        <x:v>OpenAI API</x:v>
      </x:c>
      <x:c r="F323" s="52" t="str">
        <x:v>feature</x:v>
      </x:c>
      <x:c r="G323" s="52" t="str">
        <x:v>active</x:v>
      </x:c>
      <x:c r="H323" s="63" t="str">
        <x:v>Added support for using strict mode for tool schemas when using parallel tool calling with non-fine-tuned models.</x:v>
      </x:c>
      <x:c r="I323" s="63" t="str">
        <x:v>功能更新：OpenAI API</x:v>
      </x:c>
      <x:c r="J323" s="63" t="str">
        <x:v>v1/chat/completions Added support for using strict mode for tool schemas when using parallel tool calling with non-fine-tuned models. Added new schema features, including string validation for email and other patterns and specifying ranges for numbers and arrays.</x:v>
      </x:c>
      <x:c r="K323" s="63" t="str">
        <x:v>OpenAI 於 2025-05-20 為 OpenAI API 新增功能；此節點依官方發布記錄整理，完整能力、適用方案與限制請見來源。</x:v>
      </x:c>
      <x:c r="L323" s="52" t="str">
        <x:v>https://platform.openai.com/docs/changelog</x:v>
      </x:c>
      <x:c r="M323" s="52" t="str">
        <x:v>developer_changelog</x:v>
      </x:c>
      <x:c r="N323" s="52" t="str">
        <x:v>parsed</x:v>
      </x:c>
      <x:c r="O323" s="52" t="str">
        <x:v>high</x:v>
      </x:c>
      <x:c r="P323" s="60" t="n">
        <x:v>0</x:v>
      </x:c>
      <x:c r="Q323" s="52" t="str"/>
    </x:row>
    <x:row r="324" ht="38" customHeight="1">
      <x:c r="A324" s="57" t="n">
        <x:v>45797</x:v>
      </x:c>
      <x:c r="B324" s="52" t="str">
        <x:v>lane-openai-api-changelog</x:v>
      </x:c>
      <x:c r="C324" s="52" t="str">
        <x:v>OpenAI API Changelog</x:v>
      </x:c>
      <x:c r="D324" s="52" t="str">
        <x:v>developer_platform</x:v>
      </x:c>
      <x:c r="E324" s="52" t="str">
        <x:v>Fine-tuning API</x:v>
      </x:c>
      <x:c r="F324" s="52" t="str">
        <x:v>feature</x:v>
      </x:c>
      <x:c r="G324" s="52" t="str">
        <x:v>active</x:v>
      </x:c>
      <x:c r="H324" s="63" t="str">
        <x:v>Added support for using strict mode for tool schemas when using parallel tool calling with non-fine-tuned models.</x:v>
      </x:c>
      <x:c r="I324" s="63" t="str">
        <x:v>功能更新：Fine-tuning API</x:v>
      </x:c>
      <x:c r="J324" s="63" t="str">
        <x:v>Added support for using strict mode for tool schemas when using parallel tool calling with non-fine-tuned models.</x:v>
      </x:c>
      <x:c r="K324" s="63" t="str">
        <x:v>新增：支援 using strict mode for tool schemas when using parallel tool calling with non-fine-tuned 模型。OpenAI 將此列為 2025-05-20 的功能；重點涉及代理與工具調用、模型微調，模型、端點與參數名稱依官方英文保留。</x:v>
      </x:c>
      <x:c r="L324" s="52" t="str">
        <x:v>https://developers.openai.com/api/docs/changelog</x:v>
      </x:c>
      <x:c r="M324" s="52" t="str">
        <x:v>official_changelog</x:v>
      </x:c>
      <x:c r="N324" s="52" t="str">
        <x:v>complete</x:v>
      </x:c>
      <x:c r="O324" s="52" t="str">
        <x:v>high</x:v>
      </x:c>
      <x:c r="P324" s="60" t="n">
        <x:v>3</x:v>
      </x:c>
      <x:c r="Q324" s="52" t="str">
        <x:v>custom-models | feature | fine-tuning</x:v>
      </x:c>
    </x:row>
    <x:row r="325" ht="38" customHeight="1">
      <x:c r="A325" s="57" t="n">
        <x:v>45799</x:v>
      </x:c>
      <x:c r="B325" s="52" t="str">
        <x:v>codex-changelog</x:v>
      </x:c>
      <x:c r="C325" s="52" t="str">
        <x:v>Codex Changelog</x:v>
      </x:c>
      <x:c r="D325" s="52" t="str">
        <x:v>agents_research</x:v>
      </x:c>
      <x:c r="E325" s="52" t="str">
        <x:v>ChatGPT</x:v>
      </x:c>
      <x:c r="F325" s="52" t="str">
        <x:v>model_update</x:v>
      </x:c>
      <x:c r="G325" s="52" t="str">
        <x:v>active</x:v>
      </x:c>
      <x:c r="H325" s="63" t="str">
        <x:v>Reworked environment page</x:v>
      </x:c>
      <x:c r="I325" s="63" t="str">
        <x:v>Reworked environment page 更新</x:v>
      </x:c>
      <x:c r="J325" s="63" t="str">
        <x:v>It’s now easier and faster to set up code execution. Fixes &amp; improvements Added a button to retry failed tasks Added indicators to show that the agent runs without network access after setup Added options to copy git patches after pushing a PR Added support for unicode branch names Fixed a bug where secrets were not piped to the setup script Fixed creating branches when there’s a branch name conflict. Fixed rendering diffs with multi…</x:v>
      </x:c>
      <x:c r="K325" s="63" t="str">
        <x:v>Codex Changelog 在 2025-05-22 記錄了Codex 編碼代理、代理與工具調用、可靠性與效能修正相關更新；完整版本與修正內容見官方英文摘要。</x:v>
      </x:c>
      <x:c r="L325" s="52" t="str">
        <x:v>https://developers.openai.com/codex/changelog/</x:v>
      </x:c>
      <x:c r="M325" s="52" t="str">
        <x:v>developer_changelog</x:v>
      </x:c>
      <x:c r="N325" s="52" t="str">
        <x:v>complete</x:v>
      </x:c>
      <x:c r="O325" s="52" t="str">
        <x:v>high</x:v>
      </x:c>
      <x:c r="P325" s="60" t="n">
        <x:v>1</x:v>
      </x:c>
      <x:c r="Q325" s="52" t="str">
        <x:v>codex | release-notes</x:v>
      </x:c>
    </x:row>
    <x:row r="326" ht="38" customHeight="1">
      <x:c r="A326" s="57" t="n">
        <x:v>45811</x:v>
      </x:c>
      <x:c r="B326" s="52" t="str">
        <x:v>codex-changelog</x:v>
      </x:c>
      <x:c r="C326" s="52" t="str">
        <x:v>Codex Changelog</x:v>
      </x:c>
      <x:c r="D326" s="52" t="str">
        <x:v>agents_research</x:v>
      </x:c>
      <x:c r="E326" s="52" t="str">
        <x:v>Codex</x:v>
      </x:c>
      <x:c r="F326" s="52" t="str">
        <x:v>model_update</x:v>
      </x:c>
      <x:c r="G326" s="52" t="str">
        <x:v>active</x:v>
      </x:c>
      <x:c r="H326" s="63" t="str">
        <x:v>June update</x:v>
      </x:c>
      <x:c r="I326" s="63" t="str">
        <x:v>June update 更新</x:v>
      </x:c>
      <x:c r="J326" s="63" t="str">
        <x:v>Agent internet access Now you can give Codex access to the internet during task execution to install dependencies, upgrade packages, run tests that need external resources, and more. Internet access is off by default. Plus, Pro, and Business users can enable it for specific environments, with granular control of which domains and HTTP methods Codex can access. Internet access for Enterprise users is coming soon. Learn more about usag…</x:v>
      </x:c>
      <x:c r="K326" s="63" t="str">
        <x:v>Codex Changelog 在 2025-06-03 記錄了Codex 編碼代理、代理與工具調用、即時語音與音訊相關更新；完整版本與修正內容見官方英文摘要。</x:v>
      </x:c>
      <x:c r="L326" s="52" t="str">
        <x:v>https://developers.openai.com/codex/changelog/</x:v>
      </x:c>
      <x:c r="M326" s="52" t="str">
        <x:v>developer_changelog</x:v>
      </x:c>
      <x:c r="N326" s="52" t="str">
        <x:v>complete</x:v>
      </x:c>
      <x:c r="O326" s="52" t="str">
        <x:v>high</x:v>
      </x:c>
      <x:c r="P326" s="60" t="n">
        <x:v>1</x:v>
      </x:c>
      <x:c r="Q326" s="52" t="str">
        <x:v>codex | release-notes</x:v>
      </x:c>
    </x:row>
    <x:row r="327" ht="38" customHeight="1">
      <x:c r="A327" s="57" t="n">
        <x:v>45811</x:v>
      </x:c>
      <x:c r="B327" s="52" t="str">
        <x:v>chatgpt-release-notes</x:v>
      </x:c>
      <x:c r="C327" s="52" t="str">
        <x:v>ChatGPT — Release Notes</x:v>
      </x:c>
      <x:c r="D327" s="52" t="str">
        <x:v>memory_knowledge</x:v>
      </x:c>
      <x:c r="E327" s="52" t="str">
        <x:v>ChatGPT Memory</x:v>
      </x:c>
      <x:c r="F327" s="52" t="str">
        <x:v>feature</x:v>
      </x:c>
      <x:c r="G327" s="52" t="str">
        <x:v>active</x:v>
      </x:c>
      <x:c r="H327" s="63" t="str">
        <x:v>Memory is now more comprehensive for Free users</x:v>
      </x:c>
      <x:c r="I327" s="63" t="str">
        <x:v>Memory 功能對免費版用戶更臻全面</x:v>
      </x:c>
      <x:c r="J327" s="63" t="str">
        <x:v>Memory improvements are starting to roll out to Free users. In addition to the saved memories that were there before, ChatGPT now references your recent conversations to deliver responses that feel more relevant and tailored to you. Free users must be logged in and on up-to-date apps (iOS/Android v1.2025.147+). Free users in EEA (EU + UK), Switzerland, Norway, Iceland, or Liechtenstein will see a prompt to enable this setting or can…</x:v>
      </x:c>
      <x:c r="K327" s="63" t="str">
        <x:v>Memory 功能的改進正陸續向免費版用戶推出。除了先前儲存的記憶外，ChatGPT 現在也會參考您近期的對話，以提供更相關且客製化的回應。免費版用戶需登入並使用最新版本的應用程式（iOS/Android v1.2025.147+）……</x:v>
      </x:c>
      <x:c r="L327" s="52" t="str">
        <x:v>https://help.openai.com/en/articles/6825453-chatgpt-release-notes</x:v>
      </x:c>
      <x:c r="M327" s="52" t="str">
        <x:v>help_center_release_notes</x:v>
      </x:c>
      <x:c r="N327" s="52" t="str">
        <x:v>complete</x:v>
      </x:c>
      <x:c r="O327" s="52" t="str">
        <x:v>high</x:v>
      </x:c>
      <x:c r="P327" s="60" t="n">
        <x:v>3</x:v>
      </x:c>
      <x:c r="Q327" s="52" t="str">
        <x:v>2025 | feature | memory | memory-knowledge</x:v>
      </x:c>
    </x:row>
    <x:row r="328" ht="38" customHeight="1">
      <x:c r="A328" s="57" t="n">
        <x:v>45811</x:v>
      </x:c>
      <x:c r="B328" s="52" t="str">
        <x:v>lane-openai-api-changelog</x:v>
      </x:c>
      <x:c r="C328" s="52" t="str">
        <x:v>OpenAI API Changelog</x:v>
      </x:c>
      <x:c r="D328" s="52" t="str">
        <x:v>agents_research</x:v>
      </x:c>
      <x:c r="E328" s="52" t="str">
        <x:v>Agents SDK</x:v>
      </x:c>
      <x:c r="F328" s="52" t="str">
        <x:v>model_release</x:v>
      </x:c>
      <x:c r="G328" s="52" t="str">
        <x:v>research_preview</x:v>
      </x:c>
      <x:c r="H328" s="63" t="str">
        <x:v>New model snapshots available for gpt-4o-audio-preview and gpt-4o-realtime-preview.</x:v>
      </x:c>
      <x:c r="I328" s="63" t="str">
        <x:v>模型發布：Agents SDK</x:v>
      </x:c>
      <x:c r="J328" s="63" t="str">
        <x:v>New model snapshots available for gpt-4o-audio-preview and gpt-4o-realtime-preview . Released Agents SDK for TypeScript .</x:v>
      </x:c>
      <x:c r="K328" s="63" t="str">
        <x:v>API 更新：全新 模型快照 available for gpt-4o-audio-preview and gpt-4o-realtime-preview。OpenAI 將此列為 2025-06-03 的功能；重點涉及代理與工具調用、即時語音與音訊，模型、端點與參數名稱依官方英文保留。</x:v>
      </x:c>
      <x:c r="L328" s="52" t="str">
        <x:v>https://developers.openai.com/api/docs/changelog</x:v>
      </x:c>
      <x:c r="M328" s="52" t="str">
        <x:v>official_changelog</x:v>
      </x:c>
      <x:c r="N328" s="52" t="str">
        <x:v>complete</x:v>
      </x:c>
      <x:c r="O328" s="52" t="str">
        <x:v>high</x:v>
      </x:c>
      <x:c r="P328" s="60" t="n">
        <x:v>4</x:v>
      </x:c>
      <x:c r="Q328" s="52" t="str">
        <x:v>agents | agents-sdk | feature</x:v>
      </x:c>
    </x:row>
    <x:row r="329" ht="38" customHeight="1">
      <x:c r="A329" s="57" t="n">
        <x:v>45811</x:v>
      </x:c>
      <x:c r="B329" s="52" t="str">
        <x:v>api-changelog</x:v>
      </x:c>
      <x:c r="C329" s="52" t="str">
        <x:v>OpenAI API Changelog</x:v>
      </x:c>
      <x:c r="D329" s="52" t="str">
        <x:v>developer_platform</x:v>
      </x:c>
      <x:c r="E329" s="52" t="str">
        <x:v>OpenAI API</x:v>
      </x:c>
      <x:c r="F329" s="52" t="str">
        <x:v>feature</x:v>
      </x:c>
      <x:c r="G329" s="52" t="str">
        <x:v>active</x:v>
      </x:c>
      <x:c r="H329" s="63" t="str">
        <x:v>v1/chat/completions</x:v>
      </x:c>
      <x:c r="I329" s="63" t="str">
        <x:v>功能更新：v1/chat/completions</x:v>
      </x:c>
      <x:c r="J329" s="63" t="str">
        <x:v>v1/chat/completions</x:v>
      </x:c>
      <x:c r="K329" s="63" t="str">
        <x:v>OpenAI 於 2025-06-03 為 OpenAI API 新增功能；此節點依官方發布記錄整理，完整能力、適用方案與限制請見來源。</x:v>
      </x:c>
      <x:c r="L329" s="52" t="str">
        <x:v>https://platform.openai.com/docs/changelog</x:v>
      </x:c>
      <x:c r="M329" s="52" t="str">
        <x:v>developer_changelog</x:v>
      </x:c>
      <x:c r="N329" s="52" t="str">
        <x:v>parsed</x:v>
      </x:c>
      <x:c r="O329" s="52" t="str">
        <x:v>high</x:v>
      </x:c>
      <x:c r="P329" s="60" t="n">
        <x:v>0</x:v>
      </x:c>
      <x:c r="Q329" s="52" t="str"/>
    </x:row>
    <x:row r="330" ht="38" customHeight="1">
      <x:c r="A330" s="57" t="n">
        <x:v>45812</x:v>
      </x:c>
      <x:c r="B330" s="52" t="str">
        <x:v>api-changelog</x:v>
      </x:c>
      <x:c r="C330" s="52" t="str">
        <x:v>OpenAI API Changelog</x:v>
      </x:c>
      <x:c r="D330" s="52" t="str">
        <x:v>models_reasoning</x:v>
      </x:c>
      <x:c r="E330" s="52" t="str">
        <x:v>GPT-4.1</x:v>
      </x:c>
      <x:c r="F330" s="52" t="str">
        <x:v>feature</x:v>
      </x:c>
      <x:c r="G330" s="52" t="str">
        <x:v>active</x:v>
      </x:c>
      <x:c r="H330" s="63" t="str">
        <x:v>Added fine-tuning support with direct preference optimization for the models gpt-4.1-2025-04-14</x:v>
      </x:c>
      <x:c r="I330" s="63" t="str">
        <x:v>功能更新：GPT-4.1</x:v>
      </x:c>
      <x:c r="J330" s="63" t="str">
        <x:v>Added fine-tuning support with direct preference optimization for the models gpt-4.1-2025-04-14, gpt-4.1-mini-2025-04-14, and gpt-4.1-nano-2025-04-14.</x:v>
      </x:c>
      <x:c r="K330" s="63" t="str">
        <x:v>OpenAI 於 2025-06-04 為 GPT-4.1 新增功能；此節點依官方發布記錄整理，完整能力、適用方案與限制請見來源。</x:v>
      </x:c>
      <x:c r="L330" s="52" t="str">
        <x:v>https://platform.openai.com/docs/changelog</x:v>
      </x:c>
      <x:c r="M330" s="52" t="str">
        <x:v>developer_changelog</x:v>
      </x:c>
      <x:c r="N330" s="52" t="str">
        <x:v>parsed</x:v>
      </x:c>
      <x:c r="O330" s="52" t="str">
        <x:v>high</x:v>
      </x:c>
      <x:c r="P330" s="60" t="n">
        <x:v>0</x:v>
      </x:c>
      <x:c r="Q330" s="52" t="str"/>
    </x:row>
    <x:row r="331" ht="38" customHeight="1">
      <x:c r="A331" s="57" t="n">
        <x:v>45812</x:v>
      </x:c>
      <x:c r="B331" s="52" t="str">
        <x:v>lane-openai-api-changelog</x:v>
      </x:c>
      <x:c r="C331" s="52" t="str">
        <x:v>OpenAI API Changelog</x:v>
      </x:c>
      <x:c r="D331" s="52" t="str">
        <x:v>developer_platform</x:v>
      </x:c>
      <x:c r="E331" s="52" t="str">
        <x:v>Fine-tuning API</x:v>
      </x:c>
      <x:c r="F331" s="52" t="str">
        <x:v>feature</x:v>
      </x:c>
      <x:c r="G331" s="52" t="str">
        <x:v>active</x:v>
      </x:c>
      <x:c r="H331" s="63" t="str">
        <x:v>Added fine-tuning support with direct preference optimization for the models gpt-4.1-2025-04-14</x:v>
      </x:c>
      <x:c r="I331" s="63" t="str">
        <x:v>API 推出 GPT‑4.1、mini 與 nano</x:v>
      </x:c>
      <x:c r="J331" s="63" t="str">
        <x:v>Added fine-tuning support with direct preference optimization for the models gpt-4.1-2025-04-14 , gpt-4.1-mini-2025-04-14 , and gpt-4.1-nano-2025-04-14 .</x:v>
      </x:c>
      <x:c r="K331" s="63" t="str">
        <x:v>API 推出 GPT‑4.1、mini 與 nano。OpenAI 將此列為 2025-06-04 的功能；重點涉及模型微調，模型、端點與參數名稱依官方英文保留。</x:v>
      </x:c>
      <x:c r="L331" s="52" t="str">
        <x:v>https://developers.openai.com/api/docs/changelog</x:v>
      </x:c>
      <x:c r="M331" s="52" t="str">
        <x:v>official_changelog</x:v>
      </x:c>
      <x:c r="N331" s="52" t="str">
        <x:v>complete</x:v>
      </x:c>
      <x:c r="O331" s="52" t="str">
        <x:v>high</x:v>
      </x:c>
      <x:c r="P331" s="60" t="n">
        <x:v>3</x:v>
      </x:c>
      <x:c r="Q331" s="52" t="str">
        <x:v>custom-models | feature | fine-tuning</x:v>
      </x:c>
    </x:row>
    <x:row r="332" ht="38" customHeight="1">
      <x:c r="A332" s="57" t="n">
        <x:v>45812</x:v>
      </x:c>
      <x:c r="B332" s="52" t="str">
        <x:v>chatgpt-release-notes</x:v>
      </x:c>
      <x:c r="C332" s="52" t="str">
        <x:v>ChatGPT — Release Notes</x:v>
      </x:c>
      <x:c r="D332" s="52" t="str">
        <x:v>agents_research</x:v>
      </x:c>
      <x:c r="E332" s="52" t="str">
        <x:v>deep research</x:v>
      </x:c>
      <x:c r="F332" s="52" t="str">
        <x:v>integration</x:v>
      </x:c>
      <x:c r="G332" s="52" t="str">
        <x:v>beta</x:v>
      </x:c>
      <x:c r="H332" s="63" t="str">
        <x:v>Connectors in beta for deep research (Plus, Pro, Team, Enterprise, Edu)</x:v>
      </x:c>
      <x:c r="I332" s="63" t="str">
        <x:v>用於深度研究的連接器進入 Beta 測試階段（Plus、Pro、Team、Enterprise、Edu）</x:v>
      </x:c>
      <x:c r="J332" s="63" t="str">
        <x:v>ChatGPT Team, Enterprise, and Edu customers globally can use connectors in deep research, as well as Pro and Plus users (excluding users in Switzerland, EEA, and the UK) to generate long-form, cited responses that include your company’s internal tools. Supported connectors: Google Drive, SharePoint, Dropbox, Box, Outlook, Gmail, Google Calendar, Linear, GitHub, HubSpot, and Teams Combines internal + web sources for synthesis Learn mo…</x:v>
      </x:c>
      <x:c r="K332" s="63" t="str">
        <x:v>全球的 ChatGPT Team、Enterprise 與 Edu 客戶，以及 Pro 與 Plus 用戶（不含瑞士、歐洲經濟區與英國的用戶），現可於深度研究功能中使用連接器，以生成包含貴公司內部工具資訊的長篇且附帶引用的回應……</x:v>
      </x:c>
      <x:c r="L332" s="52" t="str">
        <x:v>https://help.openai.com/en/articles/6825453-chatgpt-release-notes</x:v>
      </x:c>
      <x:c r="M332" s="52" t="str">
        <x:v>help_center_release_notes</x:v>
      </x:c>
      <x:c r="N332" s="52" t="str">
        <x:v>complete</x:v>
      </x:c>
      <x:c r="O332" s="52" t="str">
        <x:v>high</x:v>
      </x:c>
      <x:c r="P332" s="60" t="n">
        <x:v>3</x:v>
      </x:c>
      <x:c r="Q332" s="52" t="str">
        <x:v>2025 | agents-research | deep-research | integration</x:v>
      </x:c>
    </x:row>
    <x:row r="333" ht="38" customHeight="1">
      <x:c r="A333" s="57" t="n">
        <x:v>45812</x:v>
      </x:c>
      <x:c r="B333" s="52" t="str">
        <x:v>chatgpt-release-notes</x:v>
      </x:c>
      <x:c r="C333" s="52" t="str">
        <x:v>ChatGPT — Release Notes</x:v>
      </x:c>
      <x:c r="D333" s="52" t="str">
        <x:v>developer_platform</x:v>
      </x:c>
      <x:c r="E333" s="52" t="str">
        <x:v>ChatGPT Enterprise &amp; Edu</x:v>
      </x:c>
      <x:c r="F333" s="52" t="str">
        <x:v>integration</x:v>
      </x:c>
      <x:c r="G333" s="52" t="str">
        <x:v>active</x:v>
      </x:c>
      <x:c r="H333" s="63" t="str">
        <x:v>Custom connectors via Model Context Protocol (Pro, Team, Enterprise, Edu)</x:v>
      </x:c>
      <x:c r="I333" s="63" t="str">
        <x:v>透過 Model Context Protocol (MCP) 建立自訂連接器（Pro、Team、Enterprise、Edu）</x:v>
      </x:c>
      <x:c r="J333" s="63" t="str">
        <x:v>Admins and users can now build and deploy custom connectors to proprietary systems using Model Context Protocol (MCP). Requires a remote MCP server Available only in deep research Admin-published connectors appear in the connector list for all users Learn more about building custom connectors with MCP. For Team, Enterprise, and Edu plans, only admins can build and deploy custom connectors.</x:v>
      </x:c>
      <x:c r="K333" s="63" t="str">
        <x:v>管理員與使用者現在可以使用 Model Context Protocol (MCP) 建立並部署連接至專有系統的自訂連接器。需要遠端 MCP 伺服器，且僅限於深度研究功能中使用。管理員發佈的連接器將出現在所有用戶的連接器清單中。進一步了解如何使用 MCP 建立自訂連接器……</x:v>
      </x:c>
      <x:c r="L333" s="52" t="str">
        <x:v>https://help.openai.com/en/articles/6825453-chatgpt-release-notes</x:v>
      </x:c>
      <x:c r="M333" s="52" t="str">
        <x:v>help_center_release_notes</x:v>
      </x:c>
      <x:c r="N333" s="52" t="str">
        <x:v>complete</x:v>
      </x:c>
      <x:c r="O333" s="52" t="str">
        <x:v>high</x:v>
      </x:c>
      <x:c r="P333" s="60" t="n">
        <x:v>3</x:v>
      </x:c>
      <x:c r="Q333" s="52" t="str">
        <x:v>2025 | apps-connectors | developer-platform | integration</x:v>
      </x:c>
    </x:row>
    <x:row r="334" ht="38" customHeight="1">
      <x:c r="A334" s="57" t="n">
        <x:v>45814</x:v>
      </x:c>
      <x:c r="B334" s="52" t="str">
        <x:v>model-release-notes</x:v>
      </x:c>
      <x:c r="C334" s="52" t="str">
        <x:v>Model Release Notes</x:v>
      </x:c>
      <x:c r="D334" s="52" t="str">
        <x:v>models_reasoning</x:v>
      </x:c>
      <x:c r="E334" s="52" t="str">
        <x:v>o4-mini</x:v>
      </x:c>
      <x:c r="F334" s="52" t="str">
        <x:v>model_update</x:v>
      </x:c>
      <x:c r="G334" s="52" t="str">
        <x:v>active</x:v>
      </x:c>
      <x:c r="H334" s="63" t="str">
        <x:v>Update to o4-mini</x:v>
      </x:c>
      <x:c r="I334" s="63" t="str">
        <x:v>更新：o4-mini</x:v>
      </x:c>
      <x:c r="J334" s="63" t="str">
        <x:v>We are rolling back an o4-mini snapshot, that we deployed less than a week ago and intended to improve the length of model responses, because our automated monitoring tools detected an increase in content flags.</x:v>
      </x:c>
      <x:c r="K334" s="63" t="str">
        <x:v>OpenAI 於 2025-06-06 為 o4-mini 更新模型或體驗；此節點依官方發布記錄整理，完整能力、適用方案與限制請見來源。</x:v>
      </x:c>
      <x:c r="L334" s="52" t="str">
        <x:v>https://help.openai.com/en/articles/9624314-model-release-notes</x:v>
      </x:c>
      <x:c r="M334" s="52" t="str">
        <x:v>help_center_release_notes</x:v>
      </x:c>
      <x:c r="N334" s="52" t="str">
        <x:v>parsed</x:v>
      </x:c>
      <x:c r="O334" s="52" t="str">
        <x:v>high</x:v>
      </x:c>
      <x:c r="P334" s="60" t="n">
        <x:v>0</x:v>
      </x:c>
      <x:c r="Q334" s="52" t="str"/>
    </x:row>
    <x:row r="335" ht="38" customHeight="1">
      <x:c r="A335" s="57" t="n">
        <x:v>45815</x:v>
      </x:c>
      <x:c r="B335" s="52" t="str">
        <x:v>chatgpt-release-notes</x:v>
      </x:c>
      <x:c r="C335" s="52" t="str">
        <x:v>ChatGPT — Release Notes</x:v>
      </x:c>
      <x:c r="D335" s="52" t="str">
        <x:v>multimodal</x:v>
      </x:c>
      <x:c r="E335" s="52" t="str">
        <x:v>ChatGPT Voice</x:v>
      </x:c>
      <x:c r="F335" s="52" t="str">
        <x:v>launch</x:v>
      </x:c>
      <x:c r="G335" s="52" t="str">
        <x:v>active</x:v>
      </x:c>
      <x:c r="H335" s="63" t="str">
        <x:v>Updates to Advanced Voice Mode for paid users</x:v>
      </x:c>
      <x:c r="I335" s="63" t="str">
        <x:v>更新：Advanced Voice Mode 面向付費使用者</x:v>
      </x:c>
      <x:c r="J335" s="63" t="str">
        <x:v>We're upgrading Advanced Voice in ChatGPT for paid users with significant enhancements in intonation and naturalness, making interactions feel more fluid and human-like. When we first launched Advanced Voice, it represented a leap forward in AI speech—now, it speaks even more naturally, with subtler intonation, realistic cadence (including pauses and emphases), and more on-point expressiveness for certain emotions including empathy,…</x:v>
      </x:c>
      <x:c r="K335" s="63" t="str">
        <x:v>OpenAI 於 2025-06-07 為 ChatGPT Voice 推出新產品或能力；此節點依官方發布記錄整理，完整能力、適用方案與限制請見來源。</x:v>
      </x:c>
      <x:c r="L335" s="52" t="str">
        <x:v>https://help.openai.com/en/articles/6825453-chatgpt-release-notes</x:v>
      </x:c>
      <x:c r="M335" s="52" t="str">
        <x:v>help_center_release_notes</x:v>
      </x:c>
      <x:c r="N335" s="52" t="str">
        <x:v>complete</x:v>
      </x:c>
      <x:c r="O335" s="52" t="str">
        <x:v>high</x:v>
      </x:c>
      <x:c r="P335" s="60" t="n">
        <x:v>3</x:v>
      </x:c>
      <x:c r="Q335" s="52" t="str">
        <x:v>2025 | chatgpt-voice | feature | multimodal</x:v>
      </x:c>
    </x:row>
    <x:row r="336" ht="38" customHeight="1">
      <x:c r="A336" s="57" t="n">
        <x:v>45815</x:v>
      </x:c>
      <x:c r="B336" s="52" t="str">
        <x:v>model-release-notes</x:v>
      </x:c>
      <x:c r="C336" s="52" t="str">
        <x:v>Model Release Notes</x:v>
      </x:c>
      <x:c r="D336" s="52" t="str">
        <x:v>models_reasoning</x:v>
      </x:c>
      <x:c r="E336" s="52" t="str">
        <x:v>ChatGPT Voice</x:v>
      </x:c>
      <x:c r="F336" s="52" t="str">
        <x:v>launch</x:v>
      </x:c>
      <x:c r="G336" s="52" t="str">
        <x:v>active</x:v>
      </x:c>
      <x:c r="H336" s="63" t="str">
        <x:v>Updates to Advanced Voice Mode for paid users</x:v>
      </x:c>
      <x:c r="I336" s="63" t="str">
        <x:v>更新：Advanced Voice Mode 面向付費使用者</x:v>
      </x:c>
      <x:c r="J336" s="63" t="str">
        <x:v>We're upgrading Advanced Voice in ChatGPT for paid users with significant enhancements in intonation and naturalness, making interactions feel more fluid and human-like. When we first launched Advanced Voice, it represented a leap forward in AI speech—now, it speaks even more naturally, with subtler intonation, realistic cadence (including pauses and emphases), and more on-point expressiveness for certain emotions including empathy,…</x:v>
      </x:c>
      <x:c r="K336" s="63" t="str">
        <x:v>OpenAI 於 2025-06-07 為 ChatGPT Voice 推出新產品或能力；此節點依官方發布記錄整理，完整能力、適用方案與限制請見來源。</x:v>
      </x:c>
      <x:c r="L336" s="52" t="str">
        <x:v>https://help.openai.com/en/articles/9624314-model-release-notes</x:v>
      </x:c>
      <x:c r="M336" s="52" t="str">
        <x:v>help_center_release_notes</x:v>
      </x:c>
      <x:c r="N336" s="52" t="str">
        <x:v>parsed</x:v>
      </x:c>
      <x:c r="O336" s="52" t="str">
        <x:v>high</x:v>
      </x:c>
      <x:c r="P336" s="60" t="n">
        <x:v>0</x:v>
      </x:c>
      <x:c r="Q336" s="52" t="str"/>
    </x:row>
    <x:row r="337" ht="38" customHeight="1">
      <x:c r="A337" s="57" t="n">
        <x:v>45817</x:v>
      </x:c>
      <x:c r="B337" s="52" t="str">
        <x:v>lane-scaling-coordinated-vulnerability-disclosure</x:v>
      </x:c>
      <x:c r="C337" s="52" t="str">
        <x:v>Scaling coordinated vulnerability disclosure</x:v>
      </x:c>
      <x:c r="D337" s="52" t="str">
        <x:v>safety_lifecycle</x:v>
      </x:c>
      <x:c r="E337" s="52" t="str">
        <x:v>Security</x:v>
      </x:c>
      <x:c r="F337" s="52" t="str">
        <x:v>safety</x:v>
      </x:c>
      <x:c r="G337" s="52" t="str">
        <x:v>active</x:v>
      </x:c>
      <x:c r="H337" s="63" t="str">
        <x:v>Outbound Coordinated Disclosure Policy</x:v>
      </x:c>
      <x:c r="I337" s="63" t="str">
        <x:v>對外協調式漏洞揭露政策</x:v>
      </x:c>
      <x:c r="J337" s="63" t="str">
        <x:v>OpenAI published a policy for coordinated disclosure of vulnerabilities it discovers in third-party software.</x:v>
      </x:c>
      <x:c r="K337" s="63" t="str">
        <x:v>OpenAI 發布對第三方軟體漏洞的協調式揭露政策。</x:v>
      </x:c>
      <x:c r="L337" s="52" t="str">
        <x:v>https://openai.com/index/scaling-coordinated-vulnerability-disclosure/</x:v>
      </x:c>
      <x:c r="M337" s="52" t="str">
        <x:v>official_security_post</x:v>
      </x:c>
      <x:c r="N337" s="52" t="str">
        <x:v>parsed</x:v>
      </x:c>
      <x:c r="O337" s="52" t="str">
        <x:v>high</x:v>
      </x:c>
      <x:c r="P337" s="60" t="n">
        <x:v>3</x:v>
      </x:c>
      <x:c r="Q337" s="52" t="str">
        <x:v>security | vulnerability-disclosure</x:v>
      </x:c>
    </x:row>
    <x:row r="338" ht="38" customHeight="1">
      <x:c r="A338" s="57" t="n">
        <x:v>45818</x:v>
      </x:c>
      <x:c r="B338" s="52" t="str">
        <x:v>api-deprecations</x:v>
      </x:c>
      <x:c r="C338" s="52" t="str">
        <x:v>OpenAI API Deprecations</x:v>
      </x:c>
      <x:c r="D338" s="52" t="str">
        <x:v>safety_lifecycle</x:v>
      </x:c>
      <x:c r="E338" s="52" t="str">
        <x:v>GPT-4o</x:v>
      </x:c>
      <x:c r="F338" s="52" t="str">
        <x:v>deprecation</x:v>
      </x:c>
      <x:c r="G338" s="52" t="str">
        <x:v>deprecated</x:v>
      </x:c>
      <x:c r="H338" s="63" t="str">
        <x:v>gpt-4o-audio-preview-2024-10-01</x:v>
      </x:c>
      <x:c r="I338" s="63" t="str">
        <x:v>淘汰通知：gpt-4o-audio-preview-2024-10-01</x:v>
      </x:c>
      <x:c r="J338" s="63" t="str">
        <x:v>On June 10th, 2025, we notified developers using gpt-4o-audio-preview-2024-10-01 of its deprecation and removal from the API in three months.</x:v>
      </x:c>
      <x:c r="K338" s="63" t="str">
        <x:v>OpenAI 於 2025-06-10 為 GPT-4o 公布淘汰計畫；此節點依官方發布記錄整理，完整能力、適用方案與限制請見來源。</x:v>
      </x:c>
      <x:c r="L338" s="52" t="str">
        <x:v>https://platform.openai.com/docs/deprecations</x:v>
      </x:c>
      <x:c r="M338" s="52" t="str">
        <x:v>developer_deprecations</x:v>
      </x:c>
      <x:c r="N338" s="52" t="str">
        <x:v>parsed</x:v>
      </x:c>
      <x:c r="O338" s="52" t="str">
        <x:v>high</x:v>
      </x:c>
      <x:c r="P338" s="60" t="n">
        <x:v>0</x:v>
      </x:c>
      <x:c r="Q338" s="52" t="str"/>
    </x:row>
    <x:row r="339" ht="38" customHeight="1">
      <x:c r="A339" s="57" t="n">
        <x:v>45818</x:v>
      </x:c>
      <x:c r="B339" s="52" t="str">
        <x:v>lane-openai-api-deprecations</x:v>
      </x:c>
      <x:c r="C339" s="52" t="str">
        <x:v>OpenAI API Deprecations</x:v>
      </x:c>
      <x:c r="D339" s="52" t="str">
        <x:v>safety_lifecycle</x:v>
      </x:c>
      <x:c r="E339" s="52" t="str">
        <x:v>Model Platform</x:v>
      </x:c>
      <x:c r="F339" s="52" t="str">
        <x:v>deprecation</x:v>
      </x:c>
      <x:c r="G339" s="52" t="str">
        <x:v>deprecated</x:v>
      </x:c>
      <x:c r="H339" s="63" t="str">
        <x:v>gpt-4o-audio-preview-2024-10-01 deprecation</x:v>
      </x:c>
      <x:c r="I339" s="63" t="str">
        <x:v>gpt-4o-audio-preview-2024-10-01 棄用公告</x:v>
      </x:c>
      <x:c r="J339" s="63" t="str">
        <x:v>On June 10th, 2025, we notified developers using gpt-4o-audio-preview-2024-10-01 of its deprecation and removal from the API in three months. Schedule/replacements: 2025-10-10 gpt-4o-audio-preview-2024-10-01 gpt-audio-1.5</x:v>
      </x:c>
      <x:c r="K339" s="63" t="str">
        <x:v>OpenAI 於 2025-06-10 公告 gpt-4o-audio-preview-2024-10-01 的棄用或下線時程，並列出替代方案與遷移方向。</x:v>
      </x:c>
      <x:c r="L339" s="52" t="str">
        <x:v>https://developers.openai.com/api/docs/deprecations#2025-06-10-gpt-4o-audio-preview-2024-10-01</x:v>
      </x:c>
      <x:c r="M339" s="52" t="str">
        <x:v>official_deprecation_registry</x:v>
      </x:c>
      <x:c r="N339" s="52" t="str">
        <x:v>complete</x:v>
      </x:c>
      <x:c r="O339" s="52" t="str">
        <x:v>high</x:v>
      </x:c>
      <x:c r="P339" s="60" t="n">
        <x:v>4</x:v>
      </x:c>
      <x:c r="Q339" s="52" t="str">
        <x:v>api | deprecation | model-platform</x:v>
      </x:c>
    </x:row>
    <x:row r="340" ht="38" customHeight="1">
      <x:c r="A340" s="57" t="n">
        <x:v>45818</x:v>
      </x:c>
      <x:c r="B340" s="52" t="str">
        <x:v>api-deprecations</x:v>
      </x:c>
      <x:c r="C340" s="52" t="str">
        <x:v>OpenAI API Deprecations</x:v>
      </x:c>
      <x:c r="D340" s="52" t="str">
        <x:v>safety_lifecycle</x:v>
      </x:c>
      <x:c r="E340" s="52" t="str">
        <x:v>GPT-4o</x:v>
      </x:c>
      <x:c r="F340" s="52" t="str">
        <x:v>deprecation</x:v>
      </x:c>
      <x:c r="G340" s="52" t="str">
        <x:v>deprecated</x:v>
      </x:c>
      <x:c r="H340" s="63" t="str">
        <x:v>gpt-4o-realtime-preview-2024-10-01</x:v>
      </x:c>
      <x:c r="I340" s="63" t="str">
        <x:v>淘汰通知：gpt-4o-realtime-preview-2024-10-01</x:v>
      </x:c>
      <x:c r="J340" s="63" t="str">
        <x:v>On June 10th, 2025, we notified developers using gpt-4o-realtime-preview-2024-10-01 of its deprecation and removal from the API in three months.</x:v>
      </x:c>
      <x:c r="K340" s="63" t="str">
        <x:v>OpenAI 於 2025-06-10 為 GPT-4o 公布淘汰計畫；此節點依官方發布記錄整理，完整能力、適用方案與限制請見來源。</x:v>
      </x:c>
      <x:c r="L340" s="52" t="str">
        <x:v>https://platform.openai.com/docs/deprecations</x:v>
      </x:c>
      <x:c r="M340" s="52" t="str">
        <x:v>developer_deprecations</x:v>
      </x:c>
      <x:c r="N340" s="52" t="str">
        <x:v>parsed</x:v>
      </x:c>
      <x:c r="O340" s="52" t="str">
        <x:v>high</x:v>
      </x:c>
      <x:c r="P340" s="60" t="n">
        <x:v>0</x:v>
      </x:c>
      <x:c r="Q340" s="52" t="str"/>
    </x:row>
    <x:row r="341" ht="38" customHeight="1">
      <x:c r="A341" s="57" t="n">
        <x:v>45818</x:v>
      </x:c>
      <x:c r="B341" s="52" t="str">
        <x:v>lane-openai-api-deprecations</x:v>
      </x:c>
      <x:c r="C341" s="52" t="str">
        <x:v>OpenAI API Deprecations</x:v>
      </x:c>
      <x:c r="D341" s="52" t="str">
        <x:v>safety_lifecycle</x:v>
      </x:c>
      <x:c r="E341" s="52" t="str">
        <x:v>Realtime API</x:v>
      </x:c>
      <x:c r="F341" s="52" t="str">
        <x:v>deprecation</x:v>
      </x:c>
      <x:c r="G341" s="52" t="str">
        <x:v>deprecated</x:v>
      </x:c>
      <x:c r="H341" s="63" t="str">
        <x:v>gpt-4o-realtime-preview-2024-10-01 deprecation</x:v>
      </x:c>
      <x:c r="I341" s="63" t="str">
        <x:v>gpt-4o-realtime-preview-2024-10-01 棄用公告</x:v>
      </x:c>
      <x:c r="J341" s="63" t="str">
        <x:v>On June 10th, 2025, we notified developers using gpt-4o-realtime-preview-2024-10-01 of its deprecation and removal from the API in three months. Schedule/replacements: 2025-10-10 gpt-4o-realtime-preview-2024-10-01 gpt-realtime-1.5</x:v>
      </x:c>
      <x:c r="K341" s="63" t="str">
        <x:v>OpenAI 於 2025-06-10 公告 gpt-4o-realtime-preview-2024-10-01 的棄用或下線時程，並列出替代方案與遷移方向。</x:v>
      </x:c>
      <x:c r="L341" s="52" t="str">
        <x:v>https://developers.openai.com/api/docs/deprecations#2025-06-10-gpt-4o-realtime-preview-2024-10-01</x:v>
      </x:c>
      <x:c r="M341" s="52" t="str">
        <x:v>official_deprecation_registry</x:v>
      </x:c>
      <x:c r="N341" s="52" t="str">
        <x:v>complete</x:v>
      </x:c>
      <x:c r="O341" s="52" t="str">
        <x:v>high</x:v>
      </x:c>
      <x:c r="P341" s="60" t="n">
        <x:v>4</x:v>
      </x:c>
      <x:c r="Q341" s="52" t="str">
        <x:v>api | deprecation | realtime-api</x:v>
      </x:c>
    </x:row>
    <x:row r="342" ht="38" customHeight="1">
      <x:c r="A342" s="57" t="n">
        <x:v>45818</x:v>
      </x:c>
      <x:c r="B342" s="52" t="str">
        <x:v>model-release-notes</x:v>
      </x:c>
      <x:c r="C342" s="52" t="str">
        <x:v>Model Release Notes</x:v>
      </x:c>
      <x:c r="D342" s="52" t="str">
        <x:v>models_reasoning</x:v>
      </x:c>
      <x:c r="E342" s="52" t="str">
        <x:v>o3-pro</x:v>
      </x:c>
      <x:c r="F342" s="52" t="str">
        <x:v>model_release</x:v>
      </x:c>
      <x:c r="G342" s="52" t="str">
        <x:v>active</x:v>
      </x:c>
      <x:c r="H342" s="63" t="str">
        <x:v>Launching OpenAI o3-pro—available now for Pro users in ChatGPT and in our API</x:v>
      </x:c>
      <x:c r="I342" s="63" t="str">
        <x:v>模型發布：o3-pro</x:v>
      </x:c>
      <x:c r="J342" s="63" t="str">
        <x:v>Like o1-pro, o3-pro is a version of our most intelligent model, o3, designed to think longer and provide the most reliable responses. Since the launch of o1-pro, users have favored this model for domains such as math, science, and coding—areas where o3-pro continues to excel, as shown in academic evaluations. Like o3, o3-pro has access to tools that make ChatGPT useful—it can search the web, analyze files, reason about visual inputs,…</x:v>
      </x:c>
      <x:c r="K342" s="63" t="str">
        <x:v>OpenAI 於 2025-06-10 為 o3-pro 發布模型；此節點依官方發布記錄整理，完整能力、適用方案與限制請見來源。</x:v>
      </x:c>
      <x:c r="L342" s="52" t="str">
        <x:v>https://help.openai.com/en/articles/9624314-model-release-notes</x:v>
      </x:c>
      <x:c r="M342" s="52" t="str">
        <x:v>help_center_release_notes</x:v>
      </x:c>
      <x:c r="N342" s="52" t="str">
        <x:v>parsed</x:v>
      </x:c>
      <x:c r="O342" s="52" t="str">
        <x:v>high</x:v>
      </x:c>
      <x:c r="P342" s="60" t="n">
        <x:v>0</x:v>
      </x:c>
      <x:c r="Q342" s="52" t="str"/>
    </x:row>
    <x:row r="343" ht="38" customHeight="1">
      <x:c r="A343" s="57" t="n">
        <x:v>45818</x:v>
      </x:c>
      <x:c r="B343" s="52" t="str">
        <x:v>api-changelog</x:v>
      </x:c>
      <x:c r="C343" s="52" t="str">
        <x:v>OpenAI API Changelog</x:v>
      </x:c>
      <x:c r="D343" s="52" t="str">
        <x:v>models_reasoning</x:v>
      </x:c>
      <x:c r="E343" s="52" t="str">
        <x:v>o3-pro</x:v>
      </x:c>
      <x:c r="F343" s="52" t="str">
        <x:v>model_release</x:v>
      </x:c>
      <x:c r="G343" s="52" t="str">
        <x:v>active</x:v>
      </x:c>
      <x:c r="H343" s="63" t="str">
        <x:v>Released o3-pro</x:v>
      </x:c>
      <x:c r="I343" s="63" t="str">
        <x:v>發布o3-pro</x:v>
      </x:c>
      <x:c r="J343" s="63" t="str">
        <x:v>Released o3-pro, a version of the o3 reasoning model that uses more compute to answer hard problems with better reasoning and consistency. Prices for the o3 model have also been reduced for all API requests, including batch and flex processing.</x:v>
      </x:c>
      <x:c r="K343" s="63" t="str">
        <x:v>OpenAI 於 2025-06-10 為 o3-pro 發布模型；此節點依官方發布記錄整理，完整能力、適用方案與限制請見來源。</x:v>
      </x:c>
      <x:c r="L343" s="52" t="str">
        <x:v>https://platform.openai.com/docs/changelog</x:v>
      </x:c>
      <x:c r="M343" s="52" t="str">
        <x:v>developer_changelog</x:v>
      </x:c>
      <x:c r="N343" s="52" t="str">
        <x:v>parsed</x:v>
      </x:c>
      <x:c r="O343" s="52" t="str">
        <x:v>high</x:v>
      </x:c>
      <x:c r="P343" s="60" t="n">
        <x:v>0</x:v>
      </x:c>
      <x:c r="Q343" s="52" t="str"/>
    </x:row>
    <x:row r="344" ht="38" customHeight="1">
      <x:c r="A344" s="57" t="n">
        <x:v>45818</x:v>
      </x:c>
      <x:c r="B344" s="52" t="str">
        <x:v>lane-openai-api-changelog</x:v>
      </x:c>
      <x:c r="C344" s="52" t="str">
        <x:v>OpenAI API Changelog</x:v>
      </x:c>
      <x:c r="D344" s="52" t="str">
        <x:v>models_reasoning</x:v>
      </x:c>
      <x:c r="E344" s="52" t="str">
        <x:v>Model Platform</x:v>
      </x:c>
      <x:c r="F344" s="52" t="str">
        <x:v>model_release</x:v>
      </x:c>
      <x:c r="G344" s="52" t="str">
        <x:v>active</x:v>
      </x:c>
      <x:c r="H344" s="63" t="str">
        <x:v>Released o3-pro</x:v>
      </x:c>
      <x:c r="I344" s="63" t="str">
        <x:v>API 推出 o3‑pro</x:v>
      </x:c>
      <x:c r="J344" s="63" t="str">
        <x:v>Released o3-pro , a version of the o3 reasoning model that uses more compute to answer hard problems with better reasoning and consistency. Prices for the o3 model have also been reduced for all API requests, including batch and flex processing.</x:v>
      </x:c>
      <x:c r="K344" s="63" t="str">
        <x:v>API 推出 o3‑pro。OpenAI 將此列為 2025-06-10 的功能；重點涉及定價與用量，模型、端點與參數名稱依官方英文保留。</x:v>
      </x:c>
      <x:c r="L344" s="52" t="str">
        <x:v>https://developers.openai.com/api/docs/changelog</x:v>
      </x:c>
      <x:c r="M344" s="52" t="str">
        <x:v>official_changelog</x:v>
      </x:c>
      <x:c r="N344" s="52" t="str">
        <x:v>complete</x:v>
      </x:c>
      <x:c r="O344" s="52" t="str">
        <x:v>high</x:v>
      </x:c>
      <x:c r="P344" s="60" t="n">
        <x:v>3</x:v>
      </x:c>
      <x:c r="Q344" s="52" t="str">
        <x:v>api | feature | models</x:v>
      </x:c>
    </x:row>
    <x:row r="345" ht="38" customHeight="1">
      <x:c r="A345" s="57" t="n">
        <x:v>45818</x:v>
      </x:c>
      <x:c r="B345" s="52" t="str">
        <x:v>chatgpt-release-notes</x:v>
      </x:c>
      <x:c r="C345" s="52" t="str">
        <x:v>ChatGPT — Release Notes</x:v>
      </x:c>
      <x:c r="D345" s="52" t="str">
        <x:v>models_reasoning</x:v>
      </x:c>
      <x:c r="E345" s="52" t="str">
        <x:v>OpenAI o-series</x:v>
      </x:c>
      <x:c r="F345" s="52" t="str">
        <x:v>model_release</x:v>
      </x:c>
      <x:c r="G345" s="52" t="str">
        <x:v>active</x:v>
      </x:c>
      <x:c r="H345" s="63" t="str">
        <x:v>Today, we're launching OpenAI o3-pro—available now for Pro users in ChatGPT and in our API.</x:v>
      </x:c>
      <x:c r="I345" s="63" t="str">
        <x:v>今天，我們推出 OpenAI o3-pro—即日起於 ChatGPT 和 API 中開放給 Pro 使用者。</x:v>
      </x:c>
      <x:c r="J345" s="63" t="str">
        <x:v>Like o1-pro, o3-pro is a version of our most intelligent model, o3, designed to think longer and provide the most reliable responses. Since the launch of o1-pro, users have favored this model for domains such as math, science, and coding—areas where o3-pro continues to excel, as shown in academic evaluations. Like o3, o3-pro has access to tools that make ChatGPT useful—it can search the web, analyze files, reason about visual inputs,…</x:v>
      </x:c>
      <x:c r="K345" s="63" t="str">
        <x:v>如同 o1-pro，o3-pro 是我們最聰明模型 o3 的一個版本，旨在進行更長時間的思考並提供最可靠的回應。自 o1-pro 推出以來，使用者在數學、科學和程式設計等領域偏好此模型，而在學術評估中顯示，o3-pro 在這些領域持續表現優異……</x:v>
      </x:c>
      <x:c r="L345" s="52" t="str">
        <x:v>https://help.openai.com/en/articles/6825453-chatgpt-release-notes</x:v>
      </x:c>
      <x:c r="M345" s="52" t="str">
        <x:v>help_center_release_notes</x:v>
      </x:c>
      <x:c r="N345" s="52" t="str">
        <x:v>complete</x:v>
      </x:c>
      <x:c r="O345" s="52" t="str">
        <x:v>high</x:v>
      </x:c>
      <x:c r="P345" s="60" t="n">
        <x:v>4</x:v>
      </x:c>
      <x:c r="Q345" s="52" t="str">
        <x:v>2025 | model_release | models-reasoning | openai-o-series</x:v>
      </x:c>
    </x:row>
    <x:row r="346" ht="38" customHeight="1">
      <x:c r="A346" s="57" t="n">
        <x:v>45820</x:v>
      </x:c>
      <x:c r="B346" s="52" t="str">
        <x:v>chatgpt-release-notes</x:v>
      </x:c>
      <x:c r="C346" s="52" t="str">
        <x:v>ChatGPT — Release Notes</x:v>
      </x:c>
      <x:c r="D346" s="52" t="str">
        <x:v>memory_knowledge</x:v>
      </x:c>
      <x:c r="E346" s="52" t="str">
        <x:v>Deep Research</x:v>
      </x:c>
      <x:c r="F346" s="52" t="str">
        <x:v>feature</x:v>
      </x:c>
      <x:c r="G346" s="52" t="str">
        <x:v>active</x:v>
      </x:c>
      <x:c r="H346" s="63" t="str">
        <x:v>Adding More Capabilities to Projects</x:v>
      </x:c>
      <x:c r="I346" s="63" t="str">
        <x:v>為 Projects 增加更多功能</x:v>
      </x:c>
      <x:c r="J346" s="63" t="str">
        <x:v>Starting today, we’re adding several updates to projects in ChatGPT to help you do more focused work. These updates are available for Plus, Pro, and Team users. Deep research and voice mode support Improvements to memory to reference past chats in a project Sharing chats from projects Starting a new project directly from a chat Upload files and access model selector on mobile Learn more about projects. Memory improvements are availab…</x:v>
      </x:c>
      <x:c r="K346" s="63" t="str">
        <x:v>即日起，我們為 ChatGPT 中的 Projects 增加多項更新，協助您進行更專注的工作。這些更新適用於 Plus、Pro 和 Team 使用者……</x:v>
      </x:c>
      <x:c r="L346" s="52" t="str">
        <x:v>https://help.openai.com/en/articles/6825453-chatgpt-release-notes</x:v>
      </x:c>
      <x:c r="M346" s="52" t="str">
        <x:v>help_center_release_notes</x:v>
      </x:c>
      <x:c r="N346" s="52" t="str">
        <x:v>complete</x:v>
      </x:c>
      <x:c r="O346" s="52" t="str">
        <x:v>high</x:v>
      </x:c>
      <x:c r="P346" s="60" t="n">
        <x:v>3</x:v>
      </x:c>
      <x:c r="Q346" s="52" t="str">
        <x:v>2025 | feature | memory-knowledge | projects</x:v>
      </x:c>
    </x:row>
    <x:row r="347" ht="38" customHeight="1">
      <x:c r="A347" s="57" t="n">
        <x:v>45820</x:v>
      </x:c>
      <x:c r="B347" s="52" t="str">
        <x:v>chatgpt-release-notes</x:v>
      </x:c>
      <x:c r="C347" s="52" t="str">
        <x:v>ChatGPT — Release Notes</x:v>
      </x:c>
      <x:c r="D347" s="52" t="str">
        <x:v>developer_platform</x:v>
      </x:c>
      <x:c r="E347" s="52" t="str">
        <x:v>Custom GPTs</x:v>
      </x:c>
      <x:c r="F347" s="52" t="str">
        <x:v>feature</x:v>
      </x:c>
      <x:c r="G347" s="52" t="str">
        <x:v>active</x:v>
      </x:c>
      <x:c r="H347" s="63" t="str">
        <x:v>Expanded Model Support for Custom GPTs</x:v>
      </x:c>
      <x:c r="I347" s="63" t="str">
        <x:v>擴大 Custom GPTs 的模型支援</x:v>
      </x:c>
      <x:c r="J347" s="63" t="str">
        <x:v>Creators can now choose from the full set of ChatGPT models (GPT-4o, o3, o4-mini and more) when building Custom GPTs—making it easier to fine-tune performance for different tasks, industries, and workflows. Creators can also set a recommended model to guide users. Key details: GPTs without Custom Actions can use the model picker to select from all models available to the user. GPTs with Custom Actions currently support GPT-4o and 4.1…</x:v>
      </x:c>
      <x:c r="K347" s="63" t="str">
        <x:v>創作者在建立 Custom GPTs 時，現在可以從完整的 ChatGPT 模型集合（GPT-4o、o3、o4-mini 等）中進行選擇，這讓調整針對不同任務、產業和工作流程的效能變得更加容易。創作者亦可設定推薦模型以引導使用者……</x:v>
      </x:c>
      <x:c r="L347" s="52" t="str">
        <x:v>https://help.openai.com/en/articles/6825453-chatgpt-release-notes</x:v>
      </x:c>
      <x:c r="M347" s="52" t="str">
        <x:v>help_center_release_notes</x:v>
      </x:c>
      <x:c r="N347" s="52" t="str">
        <x:v>complete</x:v>
      </x:c>
      <x:c r="O347" s="52" t="str">
        <x:v>high</x:v>
      </x:c>
      <x:c r="P347" s="60" t="n">
        <x:v>3</x:v>
      </x:c>
      <x:c r="Q347" s="52" t="str">
        <x:v>2025 | custom-gpts | developer-platform | feature</x:v>
      </x:c>
    </x:row>
    <x:row r="348" ht="38" customHeight="1">
      <x:c r="A348" s="57" t="n">
        <x:v>45821</x:v>
      </x:c>
      <x:c r="B348" s="52" t="str">
        <x:v>codex-changelog</x:v>
      </x:c>
      <x:c r="C348" s="52" t="str">
        <x:v>Codex Changelog</x:v>
      </x:c>
      <x:c r="D348" s="52" t="str">
        <x:v>agents_research</x:v>
      </x:c>
      <x:c r="E348" s="52" t="str">
        <x:v>Codex</x:v>
      </x:c>
      <x:c r="F348" s="52" t="str">
        <x:v>platform</x:v>
      </x:c>
      <x:c r="G348" s="52" t="str">
        <x:v>active</x:v>
      </x:c>
      <x:c r="H348" s="63" t="str">
        <x:v>Best of N</x:v>
      </x:c>
      <x:c r="I348" s="63" t="str">
        <x:v>Best of N 更新</x:v>
      </x:c>
      <x:c r="J348" s="63" t="str">
        <x:v>Codex can now generate multiple responses simultaneously for a single task, helping you quickly explore possible solutions to pick the best approach. Fixes &amp; improvements Added some keyboard shortcuts and a page to explore them. Open it by pressing ⌘-/ on macOS and Ctrl+/ on other platforms. Added a “branch” query parameter in addition to the existing “environment”, “prompt” and “tab=archived” parameters. Added a loading indicator wh…</x:v>
      </x:c>
      <x:c r="K348" s="63" t="str">
        <x:v>Codex Changelog 在 2025-06-13 記錄了Codex 編碼代理、代理與工具調用、可靠性與效能修正相關更新；完整版本與修正內容見官方英文摘要。</x:v>
      </x:c>
      <x:c r="L348" s="52" t="str">
        <x:v>https://developers.openai.com/codex/changelog/</x:v>
      </x:c>
      <x:c r="M348" s="52" t="str">
        <x:v>developer_changelog</x:v>
      </x:c>
      <x:c r="N348" s="52" t="str">
        <x:v>complete</x:v>
      </x:c>
      <x:c r="O348" s="52" t="str">
        <x:v>high</x:v>
      </x:c>
      <x:c r="P348" s="60" t="n">
        <x:v>1</x:v>
      </x:c>
      <x:c r="Q348" s="52" t="str">
        <x:v>codex | release-notes</x:v>
      </x:c>
    </x:row>
    <x:row r="349" ht="38" customHeight="1">
      <x:c r="A349" s="57" t="n">
        <x:v>45821</x:v>
      </x:c>
      <x:c r="B349" s="52" t="str">
        <x:v>chatgpt-release-notes</x:v>
      </x:c>
      <x:c r="C349" s="52" t="str">
        <x:v>ChatGPT — Release Notes</x:v>
      </x:c>
      <x:c r="D349" s="52" t="str">
        <x:v>search_commerce</x:v>
      </x:c>
      <x:c r="E349" s="52" t="str">
        <x:v>ChatGPT Search</x:v>
      </x:c>
      <x:c r="F349" s="52" t="str">
        <x:v>feature</x:v>
      </x:c>
      <x:c r="G349" s="52" t="str">
        <x:v>active</x:v>
      </x:c>
      <x:c r="H349" s="63" t="str">
        <x:v>Improvements to the ChatGPT search response quality</x:v>
      </x:c>
      <x:c r="I349" s="63" t="str">
        <x:v>提升 ChatGPT 搜尋回應品質</x:v>
      </x:c>
      <x:c r="J349" s="63" t="str">
        <x:v>We’ve upgraded ChatGPT search for all users to provide even more comprehensive, up-to-date responses. In testing, we found users preferred these search improvements over our previous search experience. Smarter responses that are more intelligent, are better at understanding what you’re asking, and provide more comprehensive answers. Handles longer conversational contexts, allowing better intelligence in longer conversations. More rob…</x:v>
      </x:c>
      <x:c r="K349" s="63" t="str">
        <x:v>我們已升級所有使用者的 ChatGPT 搜尋功能，以提供更全面、即時的回應。在測試中，我們發現使用者更偏好這些搜尋改進，勝過先前的搜尋體驗。回應更聰明、更能理解您的提問，並提供更全面的答案……</x:v>
      </x:c>
      <x:c r="L349" s="52" t="str">
        <x:v>https://help.openai.com/en/articles/6825453-chatgpt-release-notes</x:v>
      </x:c>
      <x:c r="M349" s="52" t="str">
        <x:v>help_center_release_notes</x:v>
      </x:c>
      <x:c r="N349" s="52" t="str">
        <x:v>complete</x:v>
      </x:c>
      <x:c r="O349" s="52" t="str">
        <x:v>high</x:v>
      </x:c>
      <x:c r="P349" s="60" t="n">
        <x:v>3</x:v>
      </x:c>
      <x:c r="Q349" s="52" t="str">
        <x:v>2025 | chatgpt-search | feature | search-commerce</x:v>
      </x:c>
    </x:row>
    <x:row r="350" ht="38" customHeight="1">
      <x:c r="A350" s="57" t="n">
        <x:v>45821</x:v>
      </x:c>
      <x:c r="B350" s="52" t="str">
        <x:v>api-changelog</x:v>
      </x:c>
      <x:c r="C350" s="52" t="str">
        <x:v>OpenAI API Changelog</x:v>
      </x:c>
      <x:c r="D350" s="52" t="str">
        <x:v>multimodal</x:v>
      </x:c>
      <x:c r="E350" s="52" t="str">
        <x:v>ChatGPT Images</x:v>
      </x:c>
      <x:c r="F350" s="52" t="str">
        <x:v>availability</x:v>
      </x:c>
      <x:c r="G350" s="52" t="str">
        <x:v>active</x:v>
      </x:c>
      <x:c r="H350" s="63" t="str">
        <x:v>New reusable prompts are now available in the dashboard and Responses API.</x:v>
      </x:c>
      <x:c r="I350" s="63" t="str">
        <x:v>開放使用：ChatGPT Images</x:v>
      </x:c>
      <x:c r="J350" s="63" t="str">
        <x:v>New reusable prompts are now available in the dashboard and Responses API. Via API, you can now reference templates created in the dashboard via the prompt parameter (with a prompt id, optional version) and supply dynamic variables that can include strings, images, or file inputs. Reusable prompts are not available in Chat Completions. Learn more.</x:v>
      </x:c>
      <x:c r="K350" s="63" t="str">
        <x:v>OpenAI 於 2025-06-13 為 ChatGPT Images 擴大開放範圍；此節點依官方發布記錄整理，完整能力、適用方案與限制請見來源。</x:v>
      </x:c>
      <x:c r="L350" s="52" t="str">
        <x:v>https://platform.openai.com/docs/changelog</x:v>
      </x:c>
      <x:c r="M350" s="52" t="str">
        <x:v>developer_changelog</x:v>
      </x:c>
      <x:c r="N350" s="52" t="str">
        <x:v>parsed</x:v>
      </x:c>
      <x:c r="O350" s="52" t="str">
        <x:v>high</x:v>
      </x:c>
      <x:c r="P350" s="60" t="n">
        <x:v>0</x:v>
      </x:c>
      <x:c r="Q350" s="52" t="str"/>
    </x:row>
    <x:row r="351" ht="38" customHeight="1">
      <x:c r="A351" s="57" t="n">
        <x:v>45821</x:v>
      </x:c>
      <x:c r="B351" s="52" t="str">
        <x:v>lane-openai-api-changelog</x:v>
      </x:c>
      <x:c r="C351" s="52" t="str">
        <x:v>OpenAI API Changelog</x:v>
      </x:c>
      <x:c r="D351" s="52" t="str">
        <x:v>agents_research</x:v>
      </x:c>
      <x:c r="E351" s="52" t="str">
        <x:v>Responses API</x:v>
      </x:c>
      <x:c r="F351" s="52" t="str">
        <x:v>availability</x:v>
      </x:c>
      <x:c r="G351" s="52" t="str">
        <x:v>active</x:v>
      </x:c>
      <x:c r="H351" s="63" t="str">
        <x:v>New reusable prompts are now available in the dashboard and Responses API.</x:v>
      </x:c>
      <x:c r="I351" s="63" t="str">
        <x:v>開放使用：Responses API</x:v>
      </x:c>
      <x:c r="J351" s="63" t="str">
        <x:v>New reusable prompts are now available in the dashboard and Responses API . Via API, you can now reference templates created in the dashboard via the prompt parameter (with a prompt id , optional version ) and supply dynamic variables that can include strings, images, or file inputs. Reusable prompts are not available in Chat Completions. Learn more .</x:v>
      </x:c>
      <x:c r="K351" s="63" t="str">
        <x:v>API 更新：全新 reusable prompts are now available in dashboard and Responses API。OpenAI 將此列為 2025-06-13 的功能；重點涉及代理與工具調用、圖像與影片，模型、端點與參數名稱依官方英文保留。</x:v>
      </x:c>
      <x:c r="L351" s="52" t="str">
        <x:v>https://developers.openai.com/api/docs/changelog</x:v>
      </x:c>
      <x:c r="M351" s="52" t="str">
        <x:v>official_changelog</x:v>
      </x:c>
      <x:c r="N351" s="52" t="str">
        <x:v>complete</x:v>
      </x:c>
      <x:c r="O351" s="52" t="str">
        <x:v>high</x:v>
      </x:c>
      <x:c r="P351" s="60" t="n">
        <x:v>2</x:v>
      </x:c>
      <x:c r="Q351" s="52" t="str">
        <x:v>agents | feature | responses-api</x:v>
      </x:c>
    </x:row>
    <x:row r="352" ht="38" customHeight="1">
      <x:c r="A352" s="57" t="n">
        <x:v>45824</x:v>
      </x:c>
      <x:c r="B352" s="52" t="str">
        <x:v>chatgpt-release-notes</x:v>
      </x:c>
      <x:c r="C352" s="52" t="str">
        <x:v>ChatGPT — Release Notes</x:v>
      </x:c>
      <x:c r="D352" s="52" t="str">
        <x:v>enterprise_vertical</x:v>
      </x:c>
      <x:c r="E352" s="52" t="str">
        <x:v>Custom GPTs</x:v>
      </x:c>
      <x:c r="F352" s="52" t="str">
        <x:v>model_release</x:v>
      </x:c>
      <x:c r="G352" s="52" t="str">
        <x:v>active</x:v>
      </x:c>
      <x:c r="H352" s="63" t="str">
        <x:v>Expanded Model Support for Custom GPTs</x:v>
      </x:c>
      <x:c r="I352" s="63" t="str">
        <x:v>模型發布：Expanded Model Support for Custom GPTs</x:v>
      </x:c>
      <x:c r="J352" s="63" t="str">
        <x:v>Enterprise and Edu users can also now choose from the full set of ChatGPT models (GPT-4o, o3, o4-mini and more) when building Custom GPTs. This was launched to Plus, Pro and Team users earlier this month. Key details: GPTs without Custom Actions can use the model picker to select from all models available to the user. GPTs with Custom Actions currently support GPT-4o and 4.1 Available on web for users on all paid plans (Plus, Pro Tea…</x:v>
      </x:c>
      <x:c r="K352" s="63" t="str">
        <x:v>Enterprise 和 Edu 使用者現在在建立 Custom GPTs 時，也能從完整的 ChatGPT 模型集合（GPT-4o、o3、o4-mini 等）中進行選擇。此功能已於本月初對 Plus、Pro 和 Team 使用者推出。關鍵細節：沒有 Custom Actions 的 GPTs 可以使用模型選擇器，從使用者可用的所有模型中進行選擇……</x:v>
      </x:c>
      <x:c r="L352" s="52" t="str">
        <x:v>https://help.openai.com/en/articles/6825453-chatgpt-release-notes</x:v>
      </x:c>
      <x:c r="M352" s="52" t="str">
        <x:v>help_center_release_notes</x:v>
      </x:c>
      <x:c r="N352" s="52" t="str">
        <x:v>complete</x:v>
      </x:c>
      <x:c r="O352" s="52" t="str">
        <x:v>high</x:v>
      </x:c>
      <x:c r="P352" s="60" t="n">
        <x:v>3</x:v>
      </x:c>
      <x:c r="Q352" s="52" t="str">
        <x:v>2025 | custom-gpts | developer-platform | feature</x:v>
      </x:c>
    </x:row>
    <x:row r="353" ht="38" customHeight="1">
      <x:c r="A353" s="57" t="n">
        <x:v>45826</x:v>
      </x:c>
      <x:c r="B353" s="52" t="str">
        <x:v>chatgpt-release-notes</x:v>
      </x:c>
      <x:c r="C353" s="52" t="str">
        <x:v>ChatGPT — Release Notes</x:v>
      </x:c>
      <x:c r="D353" s="52" t="str">
        <x:v>multimodal</x:v>
      </x:c>
      <x:c r="E353" s="52" t="str">
        <x:v>ChatGPT Voice</x:v>
      </x:c>
      <x:c r="F353" s="52" t="str">
        <x:v>launch</x:v>
      </x:c>
      <x:c r="G353" s="52" t="str">
        <x:v>active</x:v>
      </x:c>
      <x:c r="H353" s="63" t="str">
        <x:v>ChatGPT record mode</x:v>
      </x:c>
      <x:c r="I353" s="63" t="str">
        <x:v>ChatGPT 錄音模式</x:v>
      </x:c>
      <x:c r="J353" s="63" t="str">
        <x:v>Capture meetings, brainstorms, or voice notes. Launching today for Pro, Enterprise, and Edu users. Previously launched for Team users on June 4, 2025. ChatGPT will transcribe, summarize, and turn them into helpful outputs like follow-ups, plans, or even code. Available on the macOS desktop app only. Learn more about ChatGPT Record.</x:v>
      </x:c>
      <x:c r="K353" s="63" t="str">
        <x:v>捕捉會議、腦力激盪或語音筆記。即日起對 Pro、Enterprise 和 Edu 使用者推出。先前已於 2025 年 6 月 4 日對 Team 使用者推出。ChatGPT 將對其進行轉錄、摘要，並將其轉化為有用的產出，例如後續行動、計畫，甚至是程式碼。僅適用於 macOS 桌面應用程式。深入了解 ChatGPT Record。</x:v>
      </x:c>
      <x:c r="L353" s="52" t="str">
        <x:v>https://help.openai.com/en/articles/6825453-chatgpt-release-notes</x:v>
      </x:c>
      <x:c r="M353" s="52" t="str">
        <x:v>help_center_release_notes</x:v>
      </x:c>
      <x:c r="N353" s="52" t="str">
        <x:v>complete</x:v>
      </x:c>
      <x:c r="O353" s="52" t="str">
        <x:v>high</x:v>
      </x:c>
      <x:c r="P353" s="60" t="n">
        <x:v>4</x:v>
      </x:c>
      <x:c r="Q353" s="52" t="str">
        <x:v>2025 | chatgpt | launch | multimodal</x:v>
      </x:c>
    </x:row>
    <x:row r="354" ht="38" customHeight="1">
      <x:c r="A354" s="57" t="n">
        <x:v>45832</x:v>
      </x:c>
      <x:c r="B354" s="52" t="str">
        <x:v>chatgpt-release-notes</x:v>
      </x:c>
      <x:c r="C354" s="52" t="str">
        <x:v>ChatGPT — Release Notes</x:v>
      </x:c>
      <x:c r="D354" s="52" t="str">
        <x:v>search_commerce</x:v>
      </x:c>
      <x:c r="E354" s="52" t="str">
        <x:v>ChatGPT Search</x:v>
      </x:c>
      <x:c r="F354" s="52" t="str">
        <x:v>integration</x:v>
      </x:c>
      <x:c r="G354" s="52" t="str">
        <x:v>active</x:v>
      </x:c>
      <x:c r="H354" s="63" t="str">
        <x:v>Chat search connectors (Pro)</x:v>
      </x:c>
      <x:c r="I354" s="63" t="str">
        <x:v>聊天搜尋連接器 (Pro)</x:v>
      </x:c>
      <x:c r="J354" s="63" t="str">
        <x:v>Pro users are now able to use chat search connectors (in addition to deep research connectors) for the following integrations: Dropbox, Box, Google Drive (synced and non-synced), Microsoft OneDrive (Business), Microsoft SharePoint. Note this feature is currently limited to users located outside of the EEA, Switzerland, and the UK. Learn more about Connectors.</x:v>
      </x:c>
      <x:c r="K354" s="63" t="str">
        <x:v>Pro 使用者現在可以使用聊天搜尋連接器（除深度研究連接器外）進行以下整合：Dropbox、Box、Google Drive（同步與非同步）、Microsoft OneDrive (Business)、Microsoft SharePoint。請注意，此功能目前僅限於位於歐洲經濟區 (EEA)、瑞士和英國以外的使用者使用……</x:v>
      </x:c>
      <x:c r="L354" s="52" t="str">
        <x:v>https://help.openai.com/en/articles/6825453-chatgpt-release-notes</x:v>
      </x:c>
      <x:c r="M354" s="52" t="str">
        <x:v>help_center_release_notes</x:v>
      </x:c>
      <x:c r="N354" s="52" t="str">
        <x:v>complete</x:v>
      </x:c>
      <x:c r="O354" s="52" t="str">
        <x:v>high</x:v>
      </x:c>
      <x:c r="P354" s="60" t="n">
        <x:v>3</x:v>
      </x:c>
      <x:c r="Q354" s="52" t="str">
        <x:v>2025 | chatgpt-search | integration | search-commerce</x:v>
      </x:c>
    </x:row>
    <x:row r="355" ht="38" customHeight="1">
      <x:c r="A355" s="57" t="n">
        <x:v>45832</x:v>
      </x:c>
      <x:c r="B355" s="52" t="str">
        <x:v>chatgpt-release-notes</x:v>
      </x:c>
      <x:c r="C355" s="52" t="str">
        <x:v>ChatGPT — Release Notes</x:v>
      </x:c>
      <x:c r="D355" s="52" t="str">
        <x:v>memory_knowledge</x:v>
      </x:c>
      <x:c r="E355" s="52" t="str">
        <x:v>ChatGPT Projects</x:v>
      </x:c>
      <x:c r="F355" s="52" t="str">
        <x:v>pricing_quota</x:v>
      </x:c>
      <x:c r="G355" s="52" t="str">
        <x:v>active</x:v>
      </x:c>
      <x:c r="H355" s="63" t="str">
        <x:v>Project file limit increased (Pro)</x:v>
      </x:c>
      <x:c r="I355" s="63" t="str">
        <x:v>Project 檔案限制增加 (Pro)</x:v>
      </x:c>
      <x:c r="J355" s="63" t="str">
        <x:v>Projects can now support 40 uploaded files, up from 20, for Pro users.</x:v>
      </x:c>
      <x:c r="K355" s="63" t="str">
        <x:v>OpenAI 於 2025-06-24 為 ChatGPT Projects 新增功能；此節點依官方發布記錄整理，完整能力、適用方案與限制請見來源。</x:v>
      </x:c>
      <x:c r="L355" s="52" t="str">
        <x:v>https://help.openai.com/en/articles/6825453-chatgpt-release-notes</x:v>
      </x:c>
      <x:c r="M355" s="52" t="str">
        <x:v>help_center_release_notes</x:v>
      </x:c>
      <x:c r="N355" s="52" t="str">
        <x:v>complete</x:v>
      </x:c>
      <x:c r="O355" s="52" t="str">
        <x:v>high</x:v>
      </x:c>
      <x:c r="P355" s="60" t="n">
        <x:v>3</x:v>
      </x:c>
      <x:c r="Q355" s="52" t="str">
        <x:v>2025 | memory-knowledge | pricing_quota | projects</x:v>
      </x:c>
    </x:row>
    <x:row r="356" ht="38" customHeight="1">
      <x:c r="A356" s="57" t="n">
        <x:v>45832</x:v>
      </x:c>
      <x:c r="B356" s="52" t="str">
        <x:v>lane-openai-api-changelog</x:v>
      </x:c>
      <x:c r="C356" s="52" t="str">
        <x:v>OpenAI API Changelog</x:v>
      </x:c>
      <x:c r="D356" s="52" t="str">
        <x:v>models_reasoning</x:v>
      </x:c>
      <x:c r="E356" s="52" t="str">
        <x:v>Model Platform</x:v>
      </x:c>
      <x:c r="F356" s="52" t="str">
        <x:v>model_release</x:v>
      </x:c>
      <x:c r="G356" s="52" t="str">
        <x:v>active</x:v>
      </x:c>
      <x:c r="H356" s="63" t="str">
        <x:v>Released o3-deep-research and o4-mini-deep-research</x:v>
      </x:c>
      <x:c r="I356" s="63" t="str">
        <x:v>API 推出 o3 與 o4‑mini deep research 模型</x:v>
      </x:c>
      <x:c r="J356" s="63" t="str">
        <x:v>Released o3-deep-research and o4-mini-deep-research , deep research variants of our o-series reasoning models optimized for deep analysis and research tasks. Learn more in the deep research guide . Added support for async event handling with webhooks . Reduced and simplified pricing for the web search tool. Added support for the web search tool .</x:v>
      </x:c>
      <x:c r="K356" s="63" t="str">
        <x:v>API 推出 o3 與 o4‑mini deep research 模型。OpenAI 將此列為 2025-06-24 的功能；重點涉及代理與工具調用，模型、端點與參數名稱依官方英文保留。</x:v>
      </x:c>
      <x:c r="L356" s="52" t="str">
        <x:v>https://developers.openai.com/api/docs/changelog</x:v>
      </x:c>
      <x:c r="M356" s="52" t="str">
        <x:v>official_changelog</x:v>
      </x:c>
      <x:c r="N356" s="52" t="str">
        <x:v>complete</x:v>
      </x:c>
      <x:c r="O356" s="52" t="str">
        <x:v>high</x:v>
      </x:c>
      <x:c r="P356" s="60" t="n">
        <x:v>3</x:v>
      </x:c>
      <x:c r="Q356" s="52" t="str">
        <x:v>api | feature | models</x:v>
      </x:c>
    </x:row>
    <x:row r="357" ht="38" customHeight="1">
      <x:c r="A357" s="57" t="n">
        <x:v>45835</x:v>
      </x:c>
      <x:c r="B357" s="52" t="str">
        <x:v>api-changelog</x:v>
      </x:c>
      <x:c r="C357" s="52" t="str">
        <x:v>OpenAI API Changelog</x:v>
      </x:c>
      <x:c r="D357" s="52" t="str">
        <x:v>developer_platform</x:v>
      </x:c>
      <x:c r="E357" s="52" t="str">
        <x:v>OpenAI API</x:v>
      </x:c>
      <x:c r="F357" s="52" t="str">
        <x:v>launch</x:v>
      </x:c>
      <x:c r="G357" s="52" t="str">
        <x:v>active</x:v>
      </x:c>
      <x:c r="H357" s="63" t="str">
        <x:v>Launched support for Priority processing.</x:v>
      </x:c>
      <x:c r="I357" s="63" t="str">
        <x:v>推出：Launched support for Priority processing.</x:v>
      </x:c>
      <x:c r="J357" s="63" t="str">
        <x:v>Launched support for Priority processing. Priority processing delivers significantly lower and more consistent latency compared to Standard processing while keeping pay-as-you-go flexibility.</x:v>
      </x:c>
      <x:c r="K357" s="63" t="str">
        <x:v>OpenAI 於 2025-06-27 為 OpenAI API 推出新產品或能力；此節點依官方發布記錄整理，完整能力、適用方案與限制請見來源。</x:v>
      </x:c>
      <x:c r="L357" s="52" t="str">
        <x:v>https://platform.openai.com/docs/changelog</x:v>
      </x:c>
      <x:c r="M357" s="52" t="str">
        <x:v>developer_changelog</x:v>
      </x:c>
      <x:c r="N357" s="52" t="str">
        <x:v>parsed</x:v>
      </x:c>
      <x:c r="O357" s="52" t="str">
        <x:v>high</x:v>
      </x:c>
      <x:c r="P357" s="60" t="n">
        <x:v>0</x:v>
      </x:c>
      <x:c r="Q357" s="52" t="str"/>
    </x:row>
    <x:row r="358" ht="38" customHeight="1">
      <x:c r="A358" s="57" t="n">
        <x:v>45835</x:v>
      </x:c>
      <x:c r="B358" s="52" t="str">
        <x:v>lane-openai-api-changelog</x:v>
      </x:c>
      <x:c r="C358" s="52" t="str">
        <x:v>OpenAI API Changelog</x:v>
      </x:c>
      <x:c r="D358" s="52" t="str">
        <x:v>developer_platform</x:v>
      </x:c>
      <x:c r="E358" s="52" t="str">
        <x:v>OpenAI API Platform</x:v>
      </x:c>
      <x:c r="F358" s="52" t="str">
        <x:v>launch</x:v>
      </x:c>
      <x:c r="G358" s="52" t="str">
        <x:v>active</x:v>
      </x:c>
      <x:c r="H358" s="63" t="str">
        <x:v>Launched support for Priority processing.</x:v>
      </x:c>
      <x:c r="I358" s="63" t="str">
        <x:v>推出：支援 Priority processing .</x:v>
      </x:c>
      <x:c r="J358" s="63" t="str">
        <x:v>Launched support for Priority processing . Priority processing delivers significantly lower and more consistent latency compared to Standard processing while keeping pay-as-you-go flexibility.</x:v>
      </x:c>
      <x:c r="K358" s="63" t="str">
        <x:v>推出：支援 Priority processing。OpenAI 將此列為 2025-06-27 的功能；重點涉及平台功能與可用性，模型、端點與參數名稱依官方英文保留。</x:v>
      </x:c>
      <x:c r="L358" s="52" t="str">
        <x:v>https://developers.openai.com/api/docs/changelog</x:v>
      </x:c>
      <x:c r="M358" s="52" t="str">
        <x:v>official_changelog</x:v>
      </x:c>
      <x:c r="N358" s="52" t="str">
        <x:v>complete</x:v>
      </x:c>
      <x:c r="O358" s="52" t="str">
        <x:v>high</x:v>
      </x:c>
      <x:c r="P358" s="60" t="n">
        <x:v>3</x:v>
      </x:c>
      <x:c r="Q358" s="52" t="str">
        <x:v>api-platform | feature</x:v>
      </x:c>
    </x:row>
    <x:row r="359" ht="38" customHeight="1">
      <x:c r="A359" s="57" t="n">
        <x:v>45854</x:v>
      </x:c>
      <x:c r="B359" s="52" t="str">
        <x:v>chatgpt-release-notes</x:v>
      </x:c>
      <x:c r="C359" s="52" t="str">
        <x:v>ChatGPT — Release Notes</x:v>
      </x:c>
      <x:c r="D359" s="52" t="str">
        <x:v>multimodal</x:v>
      </x:c>
      <x:c r="E359" s="52" t="str">
        <x:v>ChatGPT Plus</x:v>
      </x:c>
      <x:c r="F359" s="52" t="str">
        <x:v>feature</x:v>
      </x:c>
      <x:c r="G359" s="52" t="str">
        <x:v>active</x:v>
      </x:c>
      <x:c r="H359" s="63" t="str">
        <x:v>Record mode in ChatGPT macOS desktop app (Plus)</x:v>
      </x:c>
      <x:c r="I359" s="63" t="str">
        <x:v>ChatGPT macOS 桌面應用程式中的錄音模式 (Plus)</x:v>
      </x:c>
      <x:c r="J359" s="63" t="str">
        <x:v>Record mode is now available to ChatGPT Plus users globally in the macOS desktop app. Record live conversations like team meetings or voice notes, and turn those into an editable summary in canvas. Available on the macOS desktop app only. Learn more about record mode. Note: Record mode originally rolled out to Team users on June 4, and Enterprise &amp; Edu plans on June 18.</x:v>
      </x:c>
      <x:c r="K359" s="63" t="str">
        <x:v>錄音模式即日起全球對 ChatGPT Plus 使用者在 macOS 桌面應用程式中開放。錄製現場對話（如團隊會議或語音筆記），並將其轉化為 canvas 中的可編輯摘要。僅適用於 macOS 桌面應用程式。深入了解錄音模式……</x:v>
      </x:c>
      <x:c r="L359" s="52" t="str">
        <x:v>https://help.openai.com/en/articles/6825453-chatgpt-release-notes</x:v>
      </x:c>
      <x:c r="M359" s="52" t="str">
        <x:v>help_center_release_notes</x:v>
      </x:c>
      <x:c r="N359" s="52" t="str">
        <x:v>complete</x:v>
      </x:c>
      <x:c r="O359" s="52" t="str">
        <x:v>high</x:v>
      </x:c>
      <x:c r="P359" s="60" t="n">
        <x:v>3</x:v>
      </x:c>
      <x:c r="Q359" s="52" t="str">
        <x:v>2025 | chatgpt | feature | multimodal</x:v>
      </x:c>
    </x:row>
    <x:row r="360" ht="38" customHeight="1">
      <x:c r="A360" s="57" t="n">
        <x:v>45855</x:v>
      </x:c>
      <x:c r="B360" s="52" t="str">
        <x:v>chatgpt-agent-release-notes</x:v>
      </x:c>
      <x:c r="C360" s="52" t="str">
        <x:v>ChatGPT agent — Release Notes</x:v>
      </x:c>
      <x:c r="D360" s="52" t="str">
        <x:v>agents_research</x:v>
      </x:c>
      <x:c r="E360" s="52" t="str">
        <x:v>ChatGPT Agent</x:v>
      </x:c>
      <x:c r="F360" s="52" t="str">
        <x:v>launch</x:v>
      </x:c>
      <x:c r="G360" s="52" t="str">
        <x:v>active</x:v>
      </x:c>
      <x:c r="H360" s="63" t="str">
        <x:v>Introducing ChatGPT agent</x:v>
      </x:c>
      <x:c r="I360" s="63" t="str">
        <x:v>推出 ChatGPT Agent</x:v>
      </x:c>
      <x:c r="J360" s="63" t="str">
        <x:v>ChatGPT agent combined research and action in a virtual browser, integrated Operator capabilities, and launched for Pro, Plus, and Team users.</x:v>
      </x:c>
      <x:c r="K360" s="63" t="str">
        <x:v>ChatGPT Agent 把研究與操作整合到虛擬瀏覽器，吸收 Operator 核心能力，並首先向 Pro、Plus 與 Team 使用者開放。</x:v>
      </x:c>
      <x:c r="L360" s="52" t="str">
        <x:v>https://help.openai.com/en/articles/11794368-chatgpt-agent-release-notes</x:v>
      </x:c>
      <x:c r="M360" s="52" t="str">
        <x:v>help_center_release_notes</x:v>
      </x:c>
      <x:c r="N360" s="52" t="str">
        <x:v>parsed</x:v>
      </x:c>
      <x:c r="O360" s="52" t="str">
        <x:v>high</x:v>
      </x:c>
      <x:c r="P360" s="60" t="n">
        <x:v>5</x:v>
      </x:c>
      <x:c r="Q360" s="52" t="str"/>
    </x:row>
    <x:row r="361" ht="38" customHeight="1">
      <x:c r="A361" s="57" t="n">
        <x:v>45855</x:v>
      </x:c>
      <x:c r="B361" s="52" t="str">
        <x:v>lane-introducing-chatgpt-agent</x:v>
      </x:c>
      <x:c r="C361" s="52" t="str">
        <x:v>Introducing ChatGPT agent</x:v>
      </x:c>
      <x:c r="D361" s="52" t="str">
        <x:v>agents_research</x:v>
      </x:c>
      <x:c r="E361" s="52" t="str">
        <x:v>ChatGPT agent</x:v>
      </x:c>
      <x:c r="F361" s="52" t="str">
        <x:v>launch</x:v>
      </x:c>
      <x:c r="G361" s="52" t="str">
        <x:v>active</x:v>
      </x:c>
      <x:c r="H361" s="63" t="str">
        <x:v>Introducing ChatGPT agent</x:v>
      </x:c>
      <x:c r="I361" s="63" t="str">
        <x:v>推出 ChatGPT agent</x:v>
      </x:c>
      <x:c r="J361" s="63" t="str">
        <x:v>OpenAI launched ChatGPT agent for Pro, Plus, and Team, combining web interaction, deep research, connected sources, terminal use, and editable artifacts in a user-supervised virtual computer.</x:v>
      </x:c>
      <x:c r="K361" s="63" t="str">
        <x:v>OpenAI 為 Pro、Plus 和 Team 使用者推出 ChatGPT agent，結合網頁互動、深度研究、已連結來源、終端機使用以及可編輯的產出物，並在使用者監督的虛擬電腦中運作。</x:v>
      </x:c>
      <x:c r="L361" s="52" t="str">
        <x:v>https://openai.com/index/introducing-chatgpt-agent/</x:v>
      </x:c>
      <x:c r="M361" s="52" t="str">
        <x:v>official_launch_post</x:v>
      </x:c>
      <x:c r="N361" s="52" t="str">
        <x:v>complete</x:v>
      </x:c>
      <x:c r="O361" s="52" t="str">
        <x:v>high</x:v>
      </x:c>
      <x:c r="P361" s="60" t="n">
        <x:v>5</x:v>
      </x:c>
      <x:c r="Q361" s="52" t="str">
        <x:v>2025 | agents-research | chatgpt-agent | launch</x:v>
      </x:c>
    </x:row>
    <x:row r="362" ht="38" customHeight="1">
      <x:c r="A362" s="57" t="n">
        <x:v>45855</x:v>
      </x:c>
      <x:c r="B362" s="52" t="str">
        <x:v>chatgpt-agent-release-notes</x:v>
      </x:c>
      <x:c r="C362" s="52" t="str">
        <x:v>ChatGPT agent — Release Notes</x:v>
      </x:c>
      <x:c r="D362" s="52" t="str">
        <x:v>agents_research</x:v>
      </x:c>
      <x:c r="E362" s="52" t="str">
        <x:v>Operator</x:v>
      </x:c>
      <x:c r="F362" s="52" t="str">
        <x:v>deprecation</x:v>
      </x:c>
      <x:c r="G362" s="52" t="str">
        <x:v>deprecated</x:v>
      </x:c>
      <x:c r="H362" s="63" t="str">
        <x:v>Operator standalone experience deprecation announced</x:v>
      </x:c>
      <x:c r="I362" s="63" t="str">
        <x:v>宣佈終止 Operator 獨立體驗</x:v>
      </x:c>
      <x:c r="J362" s="63" t="str">
        <x:v>With Operator functionality integrated into ChatGPT agent, OpenAI announced that the standalone Operator experience at operator.chatgpt.com would be deprecated in the following weeks.</x:v>
      </x:c>
      <x:c r="K362" s="63" t="str">
        <x:v>隨著 Operator 功能整合至 ChatGPT agent，OpenAI 宣佈 operator.chatgpt.com 上的獨立 Operator 體驗將於未來幾週內終止。</x:v>
      </x:c>
      <x:c r="L362" s="52" t="str">
        <x:v>https://help.openai.com/en/articles/11794368-chatgpt-agent-release-notes</x:v>
      </x:c>
      <x:c r="M362" s="52" t="str">
        <x:v>help_center_release_notes</x:v>
      </x:c>
      <x:c r="N362" s="52" t="str">
        <x:v>complete</x:v>
      </x:c>
      <x:c r="O362" s="52" t="str">
        <x:v>high</x:v>
      </x:c>
      <x:c r="P362" s="60" t="n">
        <x:v>3</x:v>
      </x:c>
      <x:c r="Q362" s="52" t="str">
        <x:v>2025 | agents-research | deprecation | operator</x:v>
      </x:c>
    </x:row>
    <x:row r="363" ht="38" customHeight="1">
      <x:c r="A363" s="57" t="n">
        <x:v>45855</x:v>
      </x:c>
      <x:c r="B363" s="52" t="str">
        <x:v>chatgpt-release-notes</x:v>
      </x:c>
      <x:c r="C363" s="52" t="str">
        <x:v>ChatGPT — Release Notes</x:v>
      </x:c>
      <x:c r="D363" s="52" t="str">
        <x:v>multimodal</x:v>
      </x:c>
      <x:c r="E363" s="52" t="str">
        <x:v>ChatGPT Voice</x:v>
      </x:c>
      <x:c r="F363" s="52" t="str">
        <x:v>feature</x:v>
      </x:c>
      <x:c r="G363" s="52" t="str">
        <x:v>active</x:v>
      </x:c>
      <x:c r="H363" s="63" t="str">
        <x:v>Updates to Advanced Voice Mode for Free tier users</x:v>
      </x:c>
      <x:c r="I363" s="63" t="str">
        <x:v>免費版用戶的進階語音模式更新</x:v>
      </x:c>
      <x:c r="J363" s="63" t="str">
        <x:v>The Advanced Voice upgrades we announced on June 7th are now rolling out to ChatGPT free users too. With the same improvements available to paid users, ChatGPT sounds more natural and expressive, and can translate more effectively. Rate limits for free users stay the same.</x:v>
      </x:c>
      <x:c r="K363" s="63" t="str">
        <x:v>我們於 6 月 7 日宣佈的進階語音升級現已向 ChatGPT 免費版用戶開放。透過與付費版用戶相同的改進，ChatGPT 聽起來更自然、更具表現力，且能更有效地進行翻譯。免費版用戶的速率限制保持不變。</x:v>
      </x:c>
      <x:c r="L363" s="52" t="str">
        <x:v>https://help.openai.com/en/articles/6825453-chatgpt-release-notes</x:v>
      </x:c>
      <x:c r="M363" s="52" t="str">
        <x:v>help_center_release_notes</x:v>
      </x:c>
      <x:c r="N363" s="52" t="str">
        <x:v>complete</x:v>
      </x:c>
      <x:c r="O363" s="52" t="str">
        <x:v>high</x:v>
      </x:c>
      <x:c r="P363" s="60" t="n">
        <x:v>3</x:v>
      </x:c>
      <x:c r="Q363" s="52" t="str">
        <x:v>2025 | chatgpt-voice | feature | multimodal</x:v>
      </x:c>
    </x:row>
    <x:row r="364" ht="38" customHeight="1">
      <x:c r="A364" s="57" t="n">
        <x:v>45862</x:v>
      </x:c>
      <x:c r="B364" s="52" t="str">
        <x:v>chatgpt-release-notes</x:v>
      </x:c>
      <x:c r="C364" s="52" t="str">
        <x:v>ChatGPT — Release Notes</x:v>
      </x:c>
      <x:c r="D364" s="52" t="str">
        <x:v>developer_platform</x:v>
      </x:c>
      <x:c r="E364" s="52" t="str">
        <x:v>Apps &amp; Connectors</x:v>
      </x:c>
      <x:c r="F364" s="52" t="str">
        <x:v>integration</x:v>
      </x:c>
      <x:c r="G364" s="52" t="str">
        <x:v>active</x:v>
      </x:c>
      <x:c r="H364" s="63" t="str">
        <x:v>Canva and Notion connectors (Pro)</x:v>
      </x:c>
      <x:c r="I364" s="63" t="str">
        <x:v>Canva 與 Notion 連接器 (Pro)</x:v>
      </x:c>
      <x:c r="J364" s="63" t="str">
        <x:v>Pro users can now connect to Canva and Notion for both chat search and deep research. Note this feature is currently limited to users located outside of the EEA, Switzerland, and the UK. Learn more about connectors.</x:v>
      </x:c>
      <x:c r="K364" s="63" t="str">
        <x:v>Pro 用戶現可連接至 Canva 與 Notion，以進行聊天搜尋與深度研究。請注意，此功能目前僅限位於歐洲經濟區 (EEA)、瑞士及英國以外的用戶使用。瞭解更多關於連接器的資訊。</x:v>
      </x:c>
      <x:c r="L364" s="52" t="str">
        <x:v>https://help.openai.com/en/articles/6825453-chatgpt-release-notes</x:v>
      </x:c>
      <x:c r="M364" s="52" t="str">
        <x:v>help_center_release_notes</x:v>
      </x:c>
      <x:c r="N364" s="52" t="str">
        <x:v>complete</x:v>
      </x:c>
      <x:c r="O364" s="52" t="str">
        <x:v>high</x:v>
      </x:c>
      <x:c r="P364" s="60" t="n">
        <x:v>3</x:v>
      </x:c>
      <x:c r="Q364" s="52" t="str">
        <x:v>2025 | apps-connectors | developer-platform | integration</x:v>
      </x:c>
    </x:row>
    <x:row r="365" ht="38" customHeight="1">
      <x:c r="A365" s="57" t="n">
        <x:v>45862</x:v>
      </x:c>
      <x:c r="B365" s="52" t="str">
        <x:v>chatgpt-release-notes</x:v>
      </x:c>
      <x:c r="C365" s="52" t="str">
        <x:v>ChatGPT — Release Notes</x:v>
      </x:c>
      <x:c r="D365" s="52" t="str">
        <x:v>search_commerce</x:v>
      </x:c>
      <x:c r="E365" s="52" t="str">
        <x:v>ChatGPT Search</x:v>
      </x:c>
      <x:c r="F365" s="52" t="str">
        <x:v>integration</x:v>
      </x:c>
      <x:c r="G365" s="52" t="str">
        <x:v>active</x:v>
      </x:c>
      <x:c r="H365" s="63" t="str">
        <x:v>Chat search for HubSpot and custom connectors (MCP) (Pro)</x:v>
      </x:c>
      <x:c r="I365" s="63" t="str">
        <x:v>HubSpot 與自訂連接器 (MCP) 的聊天搜尋 (Pro)</x:v>
      </x:c>
      <x:c r="J365" s="63" t="str">
        <x:v>Pro users can now utilize chat search with HubSpot and custom connectors (MCP) in addition to deep research. Note this feature is currently limited to users located outside of the EEA, Switzerland, and the UK. Learn more about connectors, as well as how to create a custom connector using MCP.</x:v>
      </x:c>
      <x:c r="K365" s="63" t="str">
        <x:v>Pro 用戶除深度研究外，現亦可將聊天搜尋用於 HubSpot 與自訂連接器 (MCP)。請注意，此功能目前僅限位於歐洲經濟區 (EEA)、瑞士及英國以外的用戶使用。瞭解更多關於連接器，以及如何使用 MCP 建立自訂連接器的資訊。</x:v>
      </x:c>
      <x:c r="L365" s="52" t="str">
        <x:v>https://help.openai.com/en/articles/6825453-chatgpt-release-notes</x:v>
      </x:c>
      <x:c r="M365" s="52" t="str">
        <x:v>help_center_release_notes</x:v>
      </x:c>
      <x:c r="N365" s="52" t="str">
        <x:v>complete</x:v>
      </x:c>
      <x:c r="O365" s="52" t="str">
        <x:v>high</x:v>
      </x:c>
      <x:c r="P365" s="60" t="n">
        <x:v>3</x:v>
      </x:c>
      <x:c r="Q365" s="52" t="str">
        <x:v>2025 | chatgpt-search | integration | search-commerce</x:v>
      </x:c>
    </x:row>
    <x:row r="366" ht="38" customHeight="1">
      <x:c r="A366" s="57" t="n">
        <x:v>45867</x:v>
      </x:c>
      <x:c r="B366" s="52" t="str">
        <x:v>chatgpt-release-notes</x:v>
      </x:c>
      <x:c r="C366" s="52" t="str">
        <x:v>ChatGPT — Release Notes</x:v>
      </x:c>
      <x:c r="D366" s="52" t="str">
        <x:v>enterprise_vertical</x:v>
      </x:c>
      <x:c r="E366" s="52" t="str">
        <x:v>ChatGPT Enterprise &amp; Edu</x:v>
      </x:c>
      <x:c r="F366" s="52" t="str">
        <x:v>launch</x:v>
      </x:c>
      <x:c r="G366" s="52" t="str">
        <x:v>active</x:v>
      </x:c>
      <x:c r="H366" s="63" t="str">
        <x:v>Study Mode</x:v>
      </x:c>
      <x:c r="I366" s="63" t="str">
        <x:v>學習模式</x:v>
      </x:c>
      <x:c r="J366" s="63" t="str">
        <x:v>Study mode is currently available to users in Free, Plus, Pro, and Teams plans globally and will expand to Edu plans in the coming weeks. Study mode works with any model available in ChatGPT on iOS, Android, web, and desktop. Study mode is a new learning experience in ChatGPT designed to help you build a deeper understanding of any topic. When you turn it on, ChatGPT will ask interactive questions to understand your goals and skill l…</x:v>
      </x:c>
      <x:c r="K366" s="63" t="str">
        <x:v>學習模式目前向全球 Free、Plus、Pro 及 Teams 方案的用戶開放，並將於未來幾週內擴展至 Edu 方案。學習模式適用於 ChatGPT 在 iOS、Android、網頁及桌面版上提供的任何模型。學習模式是 ChatGPT 中的一項新學習體驗，旨在協助您對任何主題建立更深刻的理解。</x:v>
      </x:c>
      <x:c r="L366" s="52" t="str">
        <x:v>https://help.openai.com/en/articles/6825453-chatgpt-release-notes</x:v>
      </x:c>
      <x:c r="M366" s="52" t="str">
        <x:v>help_center_release_notes</x:v>
      </x:c>
      <x:c r="N366" s="52" t="str">
        <x:v>complete</x:v>
      </x:c>
      <x:c r="O366" s="52" t="str">
        <x:v>high</x:v>
      </x:c>
      <x:c r="P366" s="60" t="n">
        <x:v>4</x:v>
      </x:c>
      <x:c r="Q366" s="52" t="str">
        <x:v>2025 | chatgpt | enterprise-vertical | launch</x:v>
      </x:c>
    </x:row>
    <x:row r="367" ht="38" customHeight="1">
      <x:c r="A367" s="57" t="n">
        <x:v>45874</x:v>
      </x:c>
      <x:c r="B367" s="52" t="str">
        <x:v>lane-introducing-gpt-oss</x:v>
      </x:c>
      <x:c r="C367" s="52" t="str">
        <x:v>Introducing gpt-oss</x:v>
      </x:c>
      <x:c r="D367" s="52" t="str">
        <x:v>models_reasoning</x:v>
      </x:c>
      <x:c r="E367" s="52" t="str">
        <x:v>gpt-oss</x:v>
      </x:c>
      <x:c r="F367" s="52" t="str">
        <x:v>model_release</x:v>
      </x:c>
      <x:c r="G367" s="52" t="str">
        <x:v>active</x:v>
      </x:c>
      <x:c r="H367" s="63" t="str">
        <x:v>Introducing gpt-oss-120b and gpt-oss-20b</x:v>
      </x:c>
      <x:c r="I367" s="63" t="str">
        <x:v>推出 gpt-oss-120b 與 gpt-oss-20b</x:v>
      </x:c>
      <x:c r="J367" s="63" t="str">
        <x:v>OpenAI released two Apache 2.0 open-weight text reasoning models for teams to run and customize on their own infrastructure or hosting providers.</x:v>
      </x:c>
      <x:c r="K367" s="63" t="str">
        <x:v>OpenAI 推出兩個採用 Apache 2.0 授權的開放權重文字推理模型，供團隊在其自有基礎設施或託管服務供應商上執行並自訂。</x:v>
      </x:c>
      <x:c r="L367" s="52" t="str">
        <x:v>https://openai.com/index/introducing-gpt-oss/</x:v>
      </x:c>
      <x:c r="M367" s="52" t="str">
        <x:v>official_launch_post</x:v>
      </x:c>
      <x:c r="N367" s="52" t="str">
        <x:v>complete</x:v>
      </x:c>
      <x:c r="O367" s="52" t="str">
        <x:v>high</x:v>
      </x:c>
      <x:c r="P367" s="60" t="n">
        <x:v>4</x:v>
      </x:c>
      <x:c r="Q367" s="52" t="str">
        <x:v>2025 | gpt-oss | model_release | models-reasoning</x:v>
      </x:c>
    </x:row>
    <x:row r="368" ht="38" customHeight="1">
      <x:c r="A368" s="57" t="n">
        <x:v>45874</x:v>
      </x:c>
      <x:c r="B368" s="52" t="str">
        <x:v>model-release-notes</x:v>
      </x:c>
      <x:c r="C368" s="52" t="str">
        <x:v>Model Release Notes</x:v>
      </x:c>
      <x:c r="D368" s="52" t="str">
        <x:v>models_reasoning</x:v>
      </x:c>
      <x:c r="E368" s="52" t="str">
        <x:v>ChatGPT Business</x:v>
      </x:c>
      <x:c r="F368" s="52" t="str">
        <x:v>model_release</x:v>
      </x:c>
      <x:c r="G368" s="52" t="str">
        <x:v>active</x:v>
      </x:c>
      <x:c r="H368" s="63" t="str">
        <x:v>Introducing two open-weight models: gpt-oss-120b and gpt-oss-20b</x:v>
      </x:c>
      <x:c r="I368" s="63" t="str">
        <x:v>推出two open-weight models: gpt-oss-120b and gpt-oss-20b</x:v>
      </x:c>
      <x:c r="J368" s="63" t="str">
        <x:v>We’re releasing two open-weight reasoning models, gpt-oss-120b and gpt-oss-20b. Designed for teams that want to run and customize models on their own infrastructure or with hosting providers, these text-only models support common developer patterns like function calling and structured outputs. For more information, please visit our open models and help center.</x:v>
      </x:c>
      <x:c r="K368" s="63" t="str">
        <x:v>OpenAI 於 2025-08-05 為 ChatGPT Business 發布模型；此節點依官方發布記錄整理，完整能力、適用方案與限制請見來源。</x:v>
      </x:c>
      <x:c r="L368" s="52" t="str">
        <x:v>https://help.openai.com/en/articles/9624314-model-release-notes</x:v>
      </x:c>
      <x:c r="M368" s="52" t="str">
        <x:v>help_center_release_notes</x:v>
      </x:c>
      <x:c r="N368" s="52" t="str">
        <x:v>parsed</x:v>
      </x:c>
      <x:c r="O368" s="52" t="str">
        <x:v>high</x:v>
      </x:c>
      <x:c r="P368" s="60" t="n">
        <x:v>0</x:v>
      </x:c>
      <x:c r="Q368" s="52" t="str"/>
    </x:row>
    <x:row r="369" ht="38" customHeight="1">
      <x:c r="A369" s="57" t="n">
        <x:v>45876</x:v>
      </x:c>
      <x:c r="B369" s="52" t="str">
        <x:v>chatgpt-release-notes</x:v>
      </x:c>
      <x:c r="C369" s="52" t="str">
        <x:v>ChatGPT — Release Notes</x:v>
      </x:c>
      <x:c r="D369" s="52" t="str">
        <x:v>chatgpt_core</x:v>
      </x:c>
      <x:c r="E369" s="52" t="str">
        <x:v>ChatGPT Voice</x:v>
      </x:c>
      <x:c r="F369" s="52" t="str">
        <x:v>feature</x:v>
      </x:c>
      <x:c r="G369" s="52" t="str">
        <x:v>active</x:v>
      </x:c>
      <x:c r="H369" s="63" t="str">
        <x:v>Accent Colors</x:v>
      </x:c>
      <x:c r="I369" s="63" t="str">
        <x:v>強調色</x:v>
      </x:c>
      <x:c r="J369" s="63" t="str">
        <x:v>You can now set an accent color that applies to elements in ChatGPT, including your conversation bubbles, the Voice button, and highlighted text. On web: Click your profile icon at the bottom left, select Settings, go to the General tab, and choose an option from the Accent color drop-down. On mobile (iOS and Android): Tap your profile icon at the bottom, go to Personalization, then select Color Scheme to pick your accent color.</x:v>
      </x:c>
      <x:c r="K369" s="63" t="str">
        <x:v>您現在可以設定適用於 ChatGPT 中各項元素的強調色，包括對話氣泡、語音按鈕及反白文字。在網頁版上：點擊左下角的個人資料圖示，選取「設定」，前往「一般」頁籤，並從「強調色」下拉式選單中選擇選項。</x:v>
      </x:c>
      <x:c r="L369" s="52" t="str">
        <x:v>https://help.openai.com/en/articles/6825453-chatgpt-release-notes</x:v>
      </x:c>
      <x:c r="M369" s="52" t="str">
        <x:v>help_center_release_notes</x:v>
      </x:c>
      <x:c r="N369" s="52" t="str">
        <x:v>complete</x:v>
      </x:c>
      <x:c r="O369" s="52" t="str">
        <x:v>high</x:v>
      </x:c>
      <x:c r="P369" s="60" t="n">
        <x:v>2</x:v>
      </x:c>
      <x:c r="Q369" s="52" t="str">
        <x:v>2025 | chatgpt | chatgpt-core | feature</x:v>
      </x:c>
    </x:row>
    <x:row r="370" ht="38" customHeight="1">
      <x:c r="A370" s="57" t="n">
        <x:v>45876</x:v>
      </x:c>
      <x:c r="B370" s="52" t="str">
        <x:v>chatgpt-release-notes</x:v>
      </x:c>
      <x:c r="C370" s="52" t="str">
        <x:v>ChatGPT — Release Notes</x:v>
      </x:c>
      <x:c r="D370" s="52" t="str">
        <x:v>safety_lifecycle</x:v>
      </x:c>
      <x:c r="E370" s="52" t="str">
        <x:v>ChatGPT Voice</x:v>
      </x:c>
      <x:c r="F370" s="52" t="str">
        <x:v>retirement</x:v>
      </x:c>
      <x:c r="G370" s="52" t="str">
        <x:v>retired</x:v>
      </x:c>
      <x:c r="H370" s="63" t="str">
        <x:v>ChatGPT Voice updates</x:v>
      </x:c>
      <x:c r="I370" s="63" t="str">
        <x:v>退役：ChatGPT Voice updates</x:v>
      </x:c>
      <x:c r="J370" s="63" t="str">
        <x:v>Today we’re rolling out improvements to Voice Mode to make it more accessible and useful for everyone. It also now works with custom GPTs. We’re expanding access with near-unlimited use for Plus users and hours each day for Free users. To simplify the experience, Standard Voice Mode will be retired in 30 days, unifying all users onto our latest voice experience.</x:v>
      </x:c>
      <x:c r="K370" s="63" t="str">
        <x:v>OpenAI 於 2025-08-07 為 ChatGPT Voice 完成退役或停止服務；此節點依官方發布記錄整理，完整能力、適用方案與限制請見來源。</x:v>
      </x:c>
      <x:c r="L370" s="52" t="str">
        <x:v>https://help.openai.com/en/articles/6825453-chatgpt-release-notes</x:v>
      </x:c>
      <x:c r="M370" s="52" t="str">
        <x:v>help_center_release_notes</x:v>
      </x:c>
      <x:c r="N370" s="52" t="str">
        <x:v>parsed</x:v>
      </x:c>
      <x:c r="O370" s="52" t="str">
        <x:v>high</x:v>
      </x:c>
      <x:c r="P370" s="60" t="n">
        <x:v>0</x:v>
      </x:c>
      <x:c r="Q370" s="52" t="str"/>
    </x:row>
    <x:row r="371" ht="38" customHeight="1">
      <x:c r="A371" s="57" t="n">
        <x:v>45876</x:v>
      </x:c>
      <x:c r="B371" s="52" t="str">
        <x:v>chatgpt-release-notes</x:v>
      </x:c>
      <x:c r="C371" s="52" t="str">
        <x:v>ChatGPT — Release Notes</x:v>
      </x:c>
      <x:c r="D371" s="52" t="str">
        <x:v>multimodal</x:v>
      </x:c>
      <x:c r="E371" s="52" t="str">
        <x:v>ChatGPT Voice</x:v>
      </x:c>
      <x:c r="F371" s="52" t="str">
        <x:v>feature</x:v>
      </x:c>
      <x:c r="G371" s="52" t="str">
        <x:v>active</x:v>
      </x:c>
      <x:c r="H371" s="63" t="str">
        <x:v>Expanded ChatGPT Voice access and custom GPT support</x:v>
      </x:c>
      <x:c r="I371" s="63" t="str">
        <x:v>擴展 ChatGPT 語音存取與自訂 GPT 支援</x:v>
      </x:c>
      <x:c r="J371" s="63" t="str">
        <x:v>Voice Mode added custom GPT support, near-unlimited use for Plus, and hours of daily use for Free users.</x:v>
      </x:c>
      <x:c r="K371" s="63" t="str">
        <x:v>語音模式新增自訂 GPT 支援，Plus 用戶可享有近乎無限的使用量，免費版用戶則享有每日數小時的使用量。</x:v>
      </x:c>
      <x:c r="L371" s="52" t="str">
        <x:v>https://help.openai.com/en/articles/6825453-chatgpt-release-notes</x:v>
      </x:c>
      <x:c r="M371" s="52" t="str">
        <x:v>help_center_release_notes</x:v>
      </x:c>
      <x:c r="N371" s="52" t="str">
        <x:v>complete</x:v>
      </x:c>
      <x:c r="O371" s="52" t="str">
        <x:v>high</x:v>
      </x:c>
      <x:c r="P371" s="60" t="n">
        <x:v>3</x:v>
      </x:c>
      <x:c r="Q371" s="52" t="str">
        <x:v>2025 | chatgpt-voice | feature | multimodal</x:v>
      </x:c>
    </x:row>
    <x:row r="372" ht="38" customHeight="1">
      <x:c r="A372" s="57" t="n">
        <x:v>45876</x:v>
      </x:c>
      <x:c r="B372" s="52" t="str">
        <x:v>chatgpt-release-notes</x:v>
      </x:c>
      <x:c r="C372" s="52" t="str">
        <x:v>ChatGPT — Release Notes</x:v>
      </x:c>
      <x:c r="D372" s="52" t="str">
        <x:v>models_reasoning</x:v>
      </x:c>
      <x:c r="E372" s="52" t="str">
        <x:v>GPT-5</x:v>
      </x:c>
      <x:c r="F372" s="52" t="str">
        <x:v>model_release</x:v>
      </x:c>
      <x:c r="G372" s="52" t="str">
        <x:v>active</x:v>
      </x:c>
      <x:c r="H372" s="63" t="str">
        <x:v>GPT-5</x:v>
      </x:c>
      <x:c r="I372" s="63" t="str">
        <x:v>模型發布：GPT-5</x:v>
      </x:c>
      <x:c r="J372" s="63" t="str">
        <x:v>GPT-5 is slowly rolling out to all users on ChatGPT Plus, Pro, Team, and Free plans worldwide across web, mobile, and desktop. GPT-5 will be available to ChatGPT Enterprise and Edu plans soon. GPT-5 in ChatGPT is our next flagship model and the new default for all logged-in users. It simplifies ChatGPT to a single auto-switching system that brings together the best of our previous models into a smart, fast model. GPT-5 is available t…</x:v>
      </x:c>
      <x:c r="K372" s="63" t="str">
        <x:v>GPT-5 正逐步向全球網頁、行動裝置及桌面版 ChatGPT Plus、Pro、Team 及 Free 方案的所有用戶推出。GPT-5 將於近期向 ChatGPT Enterprise 及 Edu 方案提供。ChatGPT 中的 GPT-5 是我們的新一代旗艦模型，也是所有已登入用戶的新預設模型。</x:v>
      </x:c>
      <x:c r="L372" s="52" t="str">
        <x:v>https://help.openai.com/en/articles/6825453-chatgpt-release-notes</x:v>
      </x:c>
      <x:c r="M372" s="52" t="str">
        <x:v>help_center_release_notes</x:v>
      </x:c>
      <x:c r="N372" s="52" t="str">
        <x:v>complete</x:v>
      </x:c>
      <x:c r="O372" s="52" t="str">
        <x:v>high</x:v>
      </x:c>
      <x:c r="P372" s="60" t="n">
        <x:v>5</x:v>
      </x:c>
      <x:c r="Q372" s="52" t="str">
        <x:v>2025 | gpt-5 | model_release | models-reasoning</x:v>
      </x:c>
    </x:row>
    <x:row r="373" ht="38" customHeight="1">
      <x:c r="A373" s="57" t="n">
        <x:v>45876</x:v>
      </x:c>
      <x:c r="B373" s="52" t="str">
        <x:v>chatgpt-release-notes</x:v>
      </x:c>
      <x:c r="C373" s="52" t="str">
        <x:v>ChatGPT — Release Notes</x:v>
      </x:c>
      <x:c r="D373" s="52" t="str">
        <x:v>chatgpt_core</x:v>
      </x:c>
      <x:c r="E373" s="52" t="str">
        <x:v>ChatGPT</x:v>
      </x:c>
      <x:c r="F373" s="52" t="str">
        <x:v>feature</x:v>
      </x:c>
      <x:c r="G373" s="52" t="str">
        <x:v>active</x:v>
      </x:c>
      <x:c r="H373" s="63" t="str">
        <x:v>Personalities</x:v>
      </x:c>
      <x:c r="I373" s="63" t="str">
        <x:v>個性</x:v>
      </x:c>
      <x:c r="J373" s="63" t="str">
        <x:v>You can now choose from four distinct personalities or use the Default personality in your Customize ChatGPT settings. Default is the standard ChatGPT style: clear, neutral, and adaptable. The other personalities each have their own style and tone, described below. Cynic – Sarcastic and dry, delivers blunt help with wit. Often teases, but provides direct, practical answers when it matters. Robot – Precise, efficient, and emotionless,…</x:v>
      </x:c>
      <x:c r="K373" s="63" t="str">
        <x:v>您現在可以在「自訂 ChatGPT」設定中，從四種不同的個性中選擇，或使用「預設」個性。「預設」為標準的 ChatGPT 風格：清晰、中立且具適應性。其他個性各有其風格與語氣，說明如下。Cynic (憤世嫉俗) – 諷刺且冷漠，以機智提供直率的協助。</x:v>
      </x:c>
      <x:c r="L373" s="52" t="str">
        <x:v>https://help.openai.com/en/articles/6825453-chatgpt-release-notes</x:v>
      </x:c>
      <x:c r="M373" s="52" t="str">
        <x:v>help_center_release_notes</x:v>
      </x:c>
      <x:c r="N373" s="52" t="str">
        <x:v>complete</x:v>
      </x:c>
      <x:c r="O373" s="52" t="str">
        <x:v>high</x:v>
      </x:c>
      <x:c r="P373" s="60" t="n">
        <x:v>3</x:v>
      </x:c>
      <x:c r="Q373" s="52" t="str">
        <x:v>2025 | chatgpt | chatgpt-core | feature</x:v>
      </x:c>
    </x:row>
    <x:row r="374" ht="38" customHeight="1">
      <x:c r="A374" s="57" t="n">
        <x:v>45876</x:v>
      </x:c>
      <x:c r="B374" s="52" t="str">
        <x:v>api-changelog</x:v>
      </x:c>
      <x:c r="C374" s="52" t="str">
        <x:v>OpenAI API Changelog</x:v>
      </x:c>
      <x:c r="D374" s="52" t="str">
        <x:v>models_reasoning</x:v>
      </x:c>
      <x:c r="E374" s="52" t="str">
        <x:v>GPT-5</x:v>
      </x:c>
      <x:c r="F374" s="52" t="str">
        <x:v>model_release</x:v>
      </x:c>
      <x:c r="G374" s="52" t="str">
        <x:v>active</x:v>
      </x:c>
      <x:c r="H374" s="63" t="str">
        <x:v>Released GPT-5 family of models in the API</x:v>
      </x:c>
      <x:c r="I374" s="63" t="str">
        <x:v>模型發布：GPT-5</x:v>
      </x:c>
      <x:c r="J374" s="63" t="str">
        <x:v>v1/chat/completions Released GPT-5 family of models in the API, including gpt-5, gpt-5-mini, and gpt-5-nano.</x:v>
      </x:c>
      <x:c r="K374" s="63" t="str">
        <x:v>OpenAI 於 2025-08-07 為 GPT-5 發布模型；此節點依官方發布記錄整理，完整能力、適用方案與限制請見來源。</x:v>
      </x:c>
      <x:c r="L374" s="52" t="str">
        <x:v>https://platform.openai.com/docs/changelog</x:v>
      </x:c>
      <x:c r="M374" s="52" t="str">
        <x:v>developer_changelog</x:v>
      </x:c>
      <x:c r="N374" s="52" t="str">
        <x:v>parsed</x:v>
      </x:c>
      <x:c r="O374" s="52" t="str">
        <x:v>high</x:v>
      </x:c>
      <x:c r="P374" s="60" t="n">
        <x:v>0</x:v>
      </x:c>
      <x:c r="Q374" s="52" t="str"/>
    </x:row>
    <x:row r="375" ht="38" customHeight="1">
      <x:c r="A375" s="57" t="n">
        <x:v>45876</x:v>
      </x:c>
      <x:c r="B375" s="52" t="str">
        <x:v>lane-openai-api-changelog</x:v>
      </x:c>
      <x:c r="C375" s="52" t="str">
        <x:v>OpenAI API Changelog</x:v>
      </x:c>
      <x:c r="D375" s="52" t="str">
        <x:v>models_reasoning</x:v>
      </x:c>
      <x:c r="E375" s="52" t="str">
        <x:v>Model Platform</x:v>
      </x:c>
      <x:c r="F375" s="52" t="str">
        <x:v>model_release</x:v>
      </x:c>
      <x:c r="G375" s="52" t="str">
        <x:v>active</x:v>
      </x:c>
      <x:c r="H375" s="63" t="str">
        <x:v>Released GPT-5 family of models in the API</x:v>
      </x:c>
      <x:c r="I375" s="63" t="str">
        <x:v>API 推出 GPT‑5、GPT‑5 mini 與 GPT‑5 nano</x:v>
      </x:c>
      <x:c r="J375" s="63" t="str">
        <x:v>Released GPT-5 family of models in the API, including gpt-5 , gpt-5-mini , and gpt-5-nano . Introduced the minimal reasoning effort value to optimize for fast responses in GPT-5 models (which support reasoning). Introduced custom tool call type, which allows for freeform inputs to and outputs from the model when tool calling.</x:v>
      </x:c>
      <x:c r="K375" s="63" t="str">
        <x:v>API 推出 GPT‑5、GPT‑5 mini 與 GPT‑5 nano。OpenAI 將此列為 2025-08-07 的功能；重點涉及代理與工具調用，模型、端點與參數名稱依官方英文保留。</x:v>
      </x:c>
      <x:c r="L375" s="52" t="str">
        <x:v>https://developers.openai.com/api/docs/changelog</x:v>
      </x:c>
      <x:c r="M375" s="52" t="str">
        <x:v>official_changelog</x:v>
      </x:c>
      <x:c r="N375" s="52" t="str">
        <x:v>complete</x:v>
      </x:c>
      <x:c r="O375" s="52" t="str">
        <x:v>high</x:v>
      </x:c>
      <x:c r="P375" s="60" t="n">
        <x:v>5</x:v>
      </x:c>
      <x:c r="Q375" s="52" t="str">
        <x:v>api | feature | models</x:v>
      </x:c>
    </x:row>
    <x:row r="376" ht="38" customHeight="1">
      <x:c r="A376" s="57" t="n">
        <x:v>45876</x:v>
      </x:c>
      <x:c r="B376" s="52" t="str">
        <x:v>chatgpt-release-notes</x:v>
      </x:c>
      <x:c r="C376" s="52" t="str">
        <x:v>ChatGPT — Release Notes</x:v>
      </x:c>
      <x:c r="D376" s="52" t="str">
        <x:v>multimodal</x:v>
      </x:c>
      <x:c r="E376" s="52" t="str">
        <x:v>ChatGPT Voice</x:v>
      </x:c>
      <x:c r="F376" s="52" t="str">
        <x:v>deprecation</x:v>
      </x:c>
      <x:c r="G376" s="52" t="str">
        <x:v>deprecated</x:v>
      </x:c>
      <x:c r="H376" s="63" t="str">
        <x:v>Standard Voice Mode retirement announced</x:v>
      </x:c>
      <x:c r="I376" s="63" t="str">
        <x:v>宣佈淘汰標準語音模式</x:v>
      </x:c>
      <x:c r="J376" s="63" t="str">
        <x:v>OpenAI announced that Standard Voice Mode would be retired in 30 days, moving users to the newer unified Voice experience.</x:v>
      </x:c>
      <x:c r="K376" s="63" t="str">
        <x:v>OpenAI 宣佈標準語音模式將於 30 天后淘汰，並將使用者遷移至較新的統一語音體驗。</x:v>
      </x:c>
      <x:c r="L376" s="52" t="str">
        <x:v>https://help.openai.com/en/articles/6825453-chatgpt-release-notes</x:v>
      </x:c>
      <x:c r="M376" s="52" t="str">
        <x:v>help_center_release_notes</x:v>
      </x:c>
      <x:c r="N376" s="52" t="str">
        <x:v>complete</x:v>
      </x:c>
      <x:c r="O376" s="52" t="str">
        <x:v>high</x:v>
      </x:c>
      <x:c r="P376" s="60" t="n">
        <x:v>3</x:v>
      </x:c>
      <x:c r="Q376" s="52" t="str">
        <x:v>2025 | chatgpt-voice | deprecation | multimodal</x:v>
      </x:c>
    </x:row>
    <x:row r="377" ht="38" customHeight="1">
      <x:c r="A377" s="57" t="n">
        <x:v>45877</x:v>
      </x:c>
      <x:c r="B377" s="52" t="str">
        <x:v>chatgpt-agent-release-notes</x:v>
      </x:c>
      <x:c r="C377" s="52" t="str">
        <x:v>ChatGPT agent — Release Notes</x:v>
      </x:c>
      <x:c r="D377" s="52" t="str">
        <x:v>enterprise_vertical</x:v>
      </x:c>
      <x:c r="E377" s="52" t="str">
        <x:v>ChatGPT Agent</x:v>
      </x:c>
      <x:c r="F377" s="52" t="str">
        <x:v>availability</x:v>
      </x:c>
      <x:c r="G377" s="52" t="str">
        <x:v>active</x:v>
      </x:c>
      <x:c r="H377" s="63" t="str">
        <x:v>ChatGPT agent available for Enterprise and Edu</x:v>
      </x:c>
      <x:c r="I377" s="63" t="str">
        <x:v>ChatGPT Agent 開放 Enterprise 與 Edu</x:v>
      </x:c>
      <x:c r="J377" s="63" t="str">
        <x:v>ChatGPT agent availability expanded to Enterprise and Edu plans.</x:v>
      </x:c>
      <x:c r="K377" s="63" t="str">
        <x:v>ChatGPT Agent 的使用範圍擴大至 Enterprise 與 Edu 方案。</x:v>
      </x:c>
      <x:c r="L377" s="52" t="str">
        <x:v>https://help.openai.com/en/articles/11794368-chatgpt-agent-release-notes</x:v>
      </x:c>
      <x:c r="M377" s="52" t="str">
        <x:v>help_center_release_notes</x:v>
      </x:c>
      <x:c r="N377" s="52" t="str">
        <x:v>parsed</x:v>
      </x:c>
      <x:c r="O377" s="52" t="str">
        <x:v>high</x:v>
      </x:c>
      <x:c r="P377" s="60" t="n">
        <x:v>4</x:v>
      </x:c>
      <x:c r="Q377" s="52" t="str"/>
    </x:row>
    <x:row r="378" ht="38" customHeight="1">
      <x:c r="A378" s="57" t="n">
        <x:v>45877</x:v>
      </x:c>
      <x:c r="B378" s="52" t="str">
        <x:v>chatgpt-agent-release-notes</x:v>
      </x:c>
      <x:c r="C378" s="52" t="str">
        <x:v>ChatGPT agent — Release Notes</x:v>
      </x:c>
      <x:c r="D378" s="52" t="str">
        <x:v>agents_research</x:v>
      </x:c>
      <x:c r="E378" s="52" t="str">
        <x:v>ChatGPT agent</x:v>
      </x:c>
      <x:c r="F378" s="52" t="str">
        <x:v>availability</x:v>
      </x:c>
      <x:c r="G378" s="52" t="str">
        <x:v>active</x:v>
      </x:c>
      <x:c r="H378" s="63" t="str">
        <x:v>ChatGPT agent expands to Enterprise and Edu</x:v>
      </x:c>
      <x:c r="I378" s="63" t="str">
        <x:v>ChatGPT 代理服務擴展至企業版與教育版</x:v>
      </x:c>
      <x:c r="J378" s="63" t="str">
        <x:v>ChatGPT agent became available for Enterprise and Edu plans.</x:v>
      </x:c>
      <x:c r="K378" s="63" t="str">
        <x:v>ChatGPT 代理服務已適用於企業版與教育版方案。</x:v>
      </x:c>
      <x:c r="L378" s="52" t="str">
        <x:v>https://help.openai.com/en/articles/11794368-chatgpt-agent-release-notes</x:v>
      </x:c>
      <x:c r="M378" s="52" t="str">
        <x:v>help_center_release_notes</x:v>
      </x:c>
      <x:c r="N378" s="52" t="str">
        <x:v>complete</x:v>
      </x:c>
      <x:c r="O378" s="52" t="str">
        <x:v>high</x:v>
      </x:c>
      <x:c r="P378" s="60" t="n">
        <x:v>3</x:v>
      </x:c>
      <x:c r="Q378" s="52" t="str">
        <x:v>2025 | agents-research | availability | chatgpt-agent</x:v>
      </x:c>
    </x:row>
    <x:row r="379" ht="38" customHeight="1">
      <x:c r="A379" s="57" t="n">
        <x:v>45877</x:v>
      </x:c>
      <x:c r="B379" s="52" t="str">
        <x:v>chatgpt-release-notes</x:v>
      </x:c>
      <x:c r="C379" s="52" t="str">
        <x:v>ChatGPT — Release Notes</x:v>
      </x:c>
      <x:c r="D379" s="52" t="str">
        <x:v>multimodal</x:v>
      </x:c>
      <x:c r="E379" s="52" t="str">
        <x:v>ChatGPT Images</x:v>
      </x:c>
      <x:c r="F379" s="52" t="str">
        <x:v>feature</x:v>
      </x:c>
      <x:c r="G379" s="52" t="str">
        <x:v>active</x:v>
      </x:c>
      <x:c r="H379" s="63" t="str">
        <x:v>Image generation update to ChatGPT Free</x:v>
      </x:c>
      <x:c r="I379" s="63" t="str">
        <x:v>ChatGPT 免費版影像生成更新</x:v>
      </x:c>
      <x:c r="J379" s="63" t="str">
        <x:v>We're rolling out a small update to image generation for ChatGPT Free tier users that makes its performance more efficient.</x:v>
      </x:c>
      <x:c r="K379" s="63" t="str">
        <x:v>OpenAI 於 2025-08-08 為 ChatGPT Images 擴大開放範圍；此節點依官方發布記錄整理，完整能力、適用方案與限制請見來源。</x:v>
      </x:c>
      <x:c r="L379" s="52" t="str">
        <x:v>https://help.openai.com/en/articles/6825453-chatgpt-release-notes</x:v>
      </x:c>
      <x:c r="M379" s="52" t="str">
        <x:v>help_center_release_notes</x:v>
      </x:c>
      <x:c r="N379" s="52" t="str">
        <x:v>complete</x:v>
      </x:c>
      <x:c r="O379" s="52" t="str">
        <x:v>high</x:v>
      </x:c>
      <x:c r="P379" s="60" t="n">
        <x:v>3</x:v>
      </x:c>
      <x:c r="Q379" s="52" t="str">
        <x:v>2025 | chatgpt-images | feature | multimodal</x:v>
      </x:c>
    </x:row>
    <x:row r="380" ht="38" customHeight="1">
      <x:c r="A380" s="57" t="n">
        <x:v>45880</x:v>
      </x:c>
      <x:c r="B380" s="52" t="str">
        <x:v>chatgpt-release-notes</x:v>
      </x:c>
      <x:c r="C380" s="52" t="str">
        <x:v>ChatGPT — Release Notes</x:v>
      </x:c>
      <x:c r="D380" s="52" t="str">
        <x:v>developer_platform</x:v>
      </x:c>
      <x:c r="E380" s="52" t="str">
        <x:v>Apps &amp; Connectors</x:v>
      </x:c>
      <x:c r="F380" s="52" t="str">
        <x:v>integration</x:v>
      </x:c>
      <x:c r="G380" s="52" t="str">
        <x:v>active</x:v>
      </x:c>
      <x:c r="H380" s="63" t="str">
        <x:v>Additional connectors for Plus and Pro</x:v>
      </x:c>
      <x:c r="I380" s="63" t="str">
        <x:v>Plus 與 Pro 方案新增連接器</x:v>
      </x:c>
      <x:c r="J380" s="63" t="str">
        <x:v>Now connect even more tools in ChatGPT for useful, relevant responses in chat. The following connectors are now available to search by chat in addition to deep research. Plus: Box, Canva, Dropbox, HubSpot, Notion, Microsoft SharePoint, and Microsoft Teams Pro: Microsoft Teams and Github Rollout begins today, and all eligible accounts will have access in the coming days. To enable, visit Settings → Connectors→ Connect on the applicati…</x:v>
      </x:c>
      <x:c r="K380" s="63" t="str">
        <x:v>OpenAI 於 2025-08-11 為 Deep Research 擴大開放範圍；此節點依官方發布記錄整理，完整能力、適用方案與限制請見來源。</x:v>
      </x:c>
      <x:c r="L380" s="52" t="str">
        <x:v>https://help.openai.com/en/articles/6825453-chatgpt-release-notes</x:v>
      </x:c>
      <x:c r="M380" s="52" t="str">
        <x:v>help_center_release_notes</x:v>
      </x:c>
      <x:c r="N380" s="52" t="str">
        <x:v>complete</x:v>
      </x:c>
      <x:c r="O380" s="52" t="str">
        <x:v>high</x:v>
      </x:c>
      <x:c r="P380" s="60" t="n">
        <x:v>3</x:v>
      </x:c>
      <x:c r="Q380" s="52" t="str">
        <x:v>2025 | apps-connectors | developer-platform | integration</x:v>
      </x:c>
    </x:row>
    <x:row r="381" ht="38" customHeight="1">
      <x:c r="A381" s="57" t="n">
        <x:v>45881</x:v>
      </x:c>
      <x:c r="B381" s="52" t="str">
        <x:v>chatgpt-release-notes</x:v>
      </x:c>
      <x:c r="C381" s="52" t="str">
        <x:v>ChatGPT — Release Notes</x:v>
      </x:c>
      <x:c r="D381" s="52" t="str">
        <x:v>developer_platform</x:v>
      </x:c>
      <x:c r="E381" s="52" t="str">
        <x:v>Apps &amp; Connectors</x:v>
      </x:c>
      <x:c r="F381" s="52" t="str">
        <x:v>integration</x:v>
      </x:c>
      <x:c r="G381" s="52" t="str">
        <x:v>active</x:v>
      </x:c>
      <x:c r="H381" s="63" t="str">
        <x:v>Gmail, Google Calendar, and Google Contacts Connectors in ChatGPT (Pro)</x:v>
      </x:c>
      <x:c r="I381" s="63" t="str">
        <x:v>ChatGPT (Pro) 中的 Gmail、Google 日曆與 Google 聯絡人連接器</x:v>
      </x:c>
      <x:c r="J381" s="63" t="str">
        <x:v>Gmail, Google Calendar, and Google Contacts are now available to connect and use in chat. Once you enable them, ChatGPT will automatically reference them when relevant, making it faster and easier to bring information from these tools into your conversations without having to manually select them each time. This capability is part of GPT-5 and will begin rolling out to Pro users globally this week, followed by Plus, Team, Enterprise,…</x:v>
      </x:c>
      <x:c r="K381" s="63" t="str">
        <x:v>Gmail、Google 日曆與 Google 聯絡人現在可供連接並在對話中使用。啟用後，ChatGPT 將在相關時自動參考這些工具，讓您能更快速且輕鬆地將資訊帶入對話中，無需每次手動選取……</x:v>
      </x:c>
      <x:c r="L381" s="52" t="str">
        <x:v>https://help.openai.com/en/articles/6825453-chatgpt-release-notes</x:v>
      </x:c>
      <x:c r="M381" s="52" t="str">
        <x:v>help_center_release_notes</x:v>
      </x:c>
      <x:c r="N381" s="52" t="str">
        <x:v>complete</x:v>
      </x:c>
      <x:c r="O381" s="52" t="str">
        <x:v>high</x:v>
      </x:c>
      <x:c r="P381" s="60" t="n">
        <x:v>3</x:v>
      </x:c>
      <x:c r="Q381" s="52" t="str">
        <x:v>2025 | apps-connectors | developer-platform | integration</x:v>
      </x:c>
    </x:row>
    <x:row r="382" ht="38" customHeight="1">
      <x:c r="A382" s="57" t="n">
        <x:v>45881</x:v>
      </x:c>
      <x:c r="B382" s="52" t="str">
        <x:v>chatgpt-release-notes</x:v>
      </x:c>
      <x:c r="C382" s="52" t="str">
        <x:v>ChatGPT — Release Notes</x:v>
      </x:c>
      <x:c r="D382" s="52" t="str">
        <x:v>models_reasoning</x:v>
      </x:c>
      <x:c r="E382" s="52" t="str">
        <x:v>GPT-5</x:v>
      </x:c>
      <x:c r="F382" s="52" t="str">
        <x:v>model_update</x:v>
      </x:c>
      <x:c r="G382" s="52" t="str">
        <x:v>active</x:v>
      </x:c>
      <x:c r="H382" s="63" t="str">
        <x:v>GPT-5 Updates</x:v>
      </x:c>
      <x:c r="I382" s="63" t="str">
        <x:v>GPT-5 更新</x:v>
      </x:c>
      <x:c r="J382" s="63" t="str">
        <x:v>You can now choose between “Auto”, “Fast”, and “Thinking” for GPT-5. Most users will want Auto, but the additional control will be useful for some people. ChatGPT Plus users now have 3,000 messages/week with GPT-5 Thinking, and then extra capacity on GPT-5 Thinking mini after that limit. The context limit for GPT-5 Thinking is 196k tokens. We may have to update rate limits over time depending on usage. 4o is back in the model picker…</x:v>
      </x:c>
      <x:c r="K382" s="63" t="str">
        <x:v>您現在可以為 GPT-5 選擇「自動」、「快速」或「思考」模式。大多數使用者會選擇「自動」，但額外的控制選項對部分使用者很有用。ChatGPT Plus 使用者現在每週享有 3,000 則 GPT-5 思考模式訊息，超出該限制後，可額外使用 GPT-5 思考 mini 模式。GPT-5 思考模式的上下文限制為 196k token……</x:v>
      </x:c>
      <x:c r="L382" s="52" t="str">
        <x:v>https://help.openai.com/en/articles/6825453-chatgpt-release-notes</x:v>
      </x:c>
      <x:c r="M382" s="52" t="str">
        <x:v>help_center_release_notes</x:v>
      </x:c>
      <x:c r="N382" s="52" t="str">
        <x:v>complete</x:v>
      </x:c>
      <x:c r="O382" s="52" t="str">
        <x:v>high</x:v>
      </x:c>
      <x:c r="P382" s="60" t="n">
        <x:v>3</x:v>
      </x:c>
      <x:c r="Q382" s="52" t="str">
        <x:v>2025 | gpt-5 | model_update | models-reasoning</x:v>
      </x:c>
    </x:row>
    <x:row r="383" ht="38" customHeight="1">
      <x:c r="A383" s="57" t="n">
        <x:v>45882</x:v>
      </x:c>
      <x:c r="B383" s="52" t="str">
        <x:v>chatgpt-release-notes</x:v>
      </x:c>
      <x:c r="C383" s="52" t="str">
        <x:v>ChatGPT — Release Notes</x:v>
      </x:c>
      <x:c r="D383" s="52" t="str">
        <x:v>developer_platform</x:v>
      </x:c>
      <x:c r="E383" s="52" t="str">
        <x:v>Apps &amp; Connectors</x:v>
      </x:c>
      <x:c r="F383" s="52" t="str">
        <x:v>integration</x:v>
      </x:c>
      <x:c r="G383" s="52" t="str">
        <x:v>active</x:v>
      </x:c>
      <x:c r="H383" s="63" t="str">
        <x:v>Gmail, Google Calendar, and Google Contacts Connectors in ChatGPT (Plus)</x:v>
      </x:c>
      <x:c r="I383" s="63" t="str">
        <x:v>ChatGPT (Plus) 中的 Gmail、Google 日曆與 Google 聯絡人連接器</x:v>
      </x:c>
      <x:c r="J383" s="63" t="str">
        <x:v>Gmail, Google Calendar, and Google Contacts Connectors in ChatGPT are now available to Plus users globally. Access will be granted to users throughout today. This was previously made available to Pro users on August 12, 2025. Learn more about connectors.</x:v>
      </x:c>
      <x:c r="K383" s="63" t="str">
        <x:v>ChatGPT 中的 Gmail、Google 日曆與 Google 聯絡人連接器現在已開放給全球 Plus 使用者。使用者將於今日陸續獲得存取權限。此功能先前已於 2025 年 8 月 12 日開放給 Pro 使用者。進一步了解連接器。</x:v>
      </x:c>
      <x:c r="L383" s="52" t="str">
        <x:v>https://help.openai.com/en/articles/6825453-chatgpt-release-notes</x:v>
      </x:c>
      <x:c r="M383" s="52" t="str">
        <x:v>help_center_release_notes</x:v>
      </x:c>
      <x:c r="N383" s="52" t="str">
        <x:v>complete</x:v>
      </x:c>
      <x:c r="O383" s="52" t="str">
        <x:v>high</x:v>
      </x:c>
      <x:c r="P383" s="60" t="n">
        <x:v>3</x:v>
      </x:c>
      <x:c r="Q383" s="52" t="str">
        <x:v>2025 | apps-connectors | developer-platform | integration</x:v>
      </x:c>
    </x:row>
    <x:row r="384" ht="38" customHeight="1">
      <x:c r="A384" s="57" t="n">
        <x:v>45884</x:v>
      </x:c>
      <x:c r="B384" s="52" t="str">
        <x:v>chatgpt-release-notes</x:v>
      </x:c>
      <x:c r="C384" s="52" t="str">
        <x:v>ChatGPT — Release Notes</x:v>
      </x:c>
      <x:c r="D384" s="52" t="str">
        <x:v>models_reasoning</x:v>
      </x:c>
      <x:c r="E384" s="52" t="str">
        <x:v>GPT-5</x:v>
      </x:c>
      <x:c r="F384" s="52" t="str">
        <x:v>model_update</x:v>
      </x:c>
      <x:c r="G384" s="52" t="str">
        <x:v>active</x:v>
      </x:c>
      <x:c r="H384" s="63" t="str">
        <x:v>GPT-5 Updates</x:v>
      </x:c>
      <x:c r="I384" s="63" t="str">
        <x:v>GPT-5 更新</x:v>
      </x:c>
      <x:c r="J384" s="63" t="str">
        <x:v>We’re making GPT-5’s default personality warmer and more familiar. This is in response to user feedback that the initial version of GPT-5 came across as too reserved and professional. The differences in personality should feel subtle but create a noticeably more approachable ChatGPT experience. Warmth here means small acknowledgements that make interactions feel more personable — for example, “Good question,” “Great start,” or briefl…</x:v>
      </x:c>
      <x:c r="K384" s="63" t="str">
        <x:v>我們調整了 GPT-5 的預設個性，使其更溫暖且親切。這是為了回應使用者反饋，指出 GPT-5 的初始版本表現得過於拘謹與專業。個性上的差異應會感到細微，但能創造出顯著更親切的 ChatGPT 體驗……</x:v>
      </x:c>
      <x:c r="L384" s="52" t="str">
        <x:v>https://help.openai.com/en/articles/6825453-chatgpt-release-notes</x:v>
      </x:c>
      <x:c r="M384" s="52" t="str">
        <x:v>help_center_release_notes</x:v>
      </x:c>
      <x:c r="N384" s="52" t="str">
        <x:v>complete</x:v>
      </x:c>
      <x:c r="O384" s="52" t="str">
        <x:v>high</x:v>
      </x:c>
      <x:c r="P384" s="60" t="n">
        <x:v>3</x:v>
      </x:c>
      <x:c r="Q384" s="52" t="str">
        <x:v>2025 | gpt-5 | model_update | models-reasoning</x:v>
      </x:c>
    </x:row>
    <x:row r="385" ht="38" customHeight="1">
      <x:c r="A385" s="57" t="n">
        <x:v>45887</x:v>
      </x:c>
      <x:c r="B385" s="52" t="str">
        <x:v>chatgpt-release-notes</x:v>
      </x:c>
      <x:c r="C385" s="52" t="str">
        <x:v>ChatGPT — Release Notes</x:v>
      </x:c>
      <x:c r="D385" s="52" t="str">
        <x:v>chatgpt_core</x:v>
      </x:c>
      <x:c r="E385" s="52" t="str">
        <x:v>ChatGPT Go</x:v>
      </x:c>
      <x:c r="F385" s="52" t="str">
        <x:v>launch</x:v>
      </x:c>
      <x:c r="G385" s="52" t="str">
        <x:v>active</x:v>
      </x:c>
      <x:c r="H385" s="63" t="str">
        <x:v>Introducing ChatGPT Go</x:v>
      </x:c>
      <x:c r="I385" s="63" t="str">
        <x:v>推出 ChatGPT Go</x:v>
      </x:c>
      <x:c r="J385" s="63" t="str">
        <x:v>We’re launching ChatGPT Go, a new low-cost subscription plan. This will initially be available for users in India only. For ₹399/month (GST included), ChatGPT Go provides everything included in the Free plan, and: More messages, larger file uploads, and expanded image generation Access to advanced data analysis Longer memory for more personalized responses Available on web, mobile (iOS &amp; Android), and desktop (macOS &amp; Windows). ChatG…</x:v>
      </x:c>
      <x:c r="K385" s="63" t="str">
        <x:v>我們推出了一項新的低成本訂閱方案 ChatGPT Go。此方案初期僅開放給印度使用者。ChatGPT Go 每月收費 ₹399（含 GST），提供免費版方案中的所有功能，並包含：更多訊息、更大的檔案上傳限制、更廣泛的影像生成功能、進階數據分析存取權，以及更長的記憶空間以提供更個人化的回應……</x:v>
      </x:c>
      <x:c r="L385" s="52" t="str">
        <x:v>https://help.openai.com/en/articles/6825453-chatgpt-release-notes</x:v>
      </x:c>
      <x:c r="M385" s="52" t="str">
        <x:v>help_center_release_notes</x:v>
      </x:c>
      <x:c r="N385" s="52" t="str">
        <x:v>complete</x:v>
      </x:c>
      <x:c r="O385" s="52" t="str">
        <x:v>high</x:v>
      </x:c>
      <x:c r="P385" s="60" t="n">
        <x:v>4</x:v>
      </x:c>
      <x:c r="Q385" s="52" t="str">
        <x:v>2025 | chatgpt-core | chatgpt-go | launch</x:v>
      </x:c>
    </x:row>
    <x:row r="386" ht="38" customHeight="1">
      <x:c r="A386" s="57" t="n">
        <x:v>45889</x:v>
      </x:c>
      <x:c r="B386" s="52" t="str">
        <x:v>api-deprecations</x:v>
      </x:c>
      <x:c r="C386" s="52" t="str">
        <x:v>OpenAI API Deprecations</x:v>
      </x:c>
      <x:c r="D386" s="52" t="str">
        <x:v>safety_lifecycle</x:v>
      </x:c>
      <x:c r="E386" s="52" t="str">
        <x:v>Responses API</x:v>
      </x:c>
      <x:c r="F386" s="52" t="str">
        <x:v>deprecation</x:v>
      </x:c>
      <x:c r="G386" s="52" t="str">
        <x:v>deprecated</x:v>
      </x:c>
      <x:c r="H386" s="63" t="str">
        <x:v>Assistants API</x:v>
      </x:c>
      <x:c r="I386" s="63" t="str">
        <x:v>淘汰通知：Assistants API</x:v>
      </x:c>
      <x:c r="J386" s="63" t="str">
        <x:v>On August 26th, 2025, we notified developers using the Assistants API of its deprecation and removal from the API one year later, on August 26, 2026. When we released the Responses API in March 2025, we announced plans to bring all Assistants API features to the easier to use Responses API, with a sunset date in 2026.</x:v>
      </x:c>
      <x:c r="K386" s="63" t="str">
        <x:v>OpenAI 於 2025-08-20 為 Responses API 公布淘汰計畫；此節點依官方發布記錄整理，完整能力、適用方案與限制請見來源。</x:v>
      </x:c>
      <x:c r="L386" s="52" t="str">
        <x:v>https://platform.openai.com/docs/deprecations</x:v>
      </x:c>
      <x:c r="M386" s="52" t="str">
        <x:v>developer_deprecations</x:v>
      </x:c>
      <x:c r="N386" s="52" t="str">
        <x:v>parsed</x:v>
      </x:c>
      <x:c r="O386" s="52" t="str">
        <x:v>high</x:v>
      </x:c>
      <x:c r="P386" s="60" t="n">
        <x:v>0</x:v>
      </x:c>
      <x:c r="Q386" s="52" t="str"/>
    </x:row>
    <x:row r="387" ht="38" customHeight="1">
      <x:c r="A387" s="57" t="n">
        <x:v>45889</x:v>
      </x:c>
      <x:c r="B387" s="52" t="str">
        <x:v>lane-openai-api-deprecations</x:v>
      </x:c>
      <x:c r="C387" s="52" t="str">
        <x:v>OpenAI API Deprecations</x:v>
      </x:c>
      <x:c r="D387" s="52" t="str">
        <x:v>safety_lifecycle</x:v>
      </x:c>
      <x:c r="E387" s="52" t="str">
        <x:v>Assistants API</x:v>
      </x:c>
      <x:c r="F387" s="52" t="str">
        <x:v>deprecation</x:v>
      </x:c>
      <x:c r="G387" s="52" t="str">
        <x:v>deprecated</x:v>
      </x:c>
      <x:c r="H387" s="63" t="str">
        <x:v>Assistants API deprecation</x:v>
      </x:c>
      <x:c r="I387" s="63" t="str">
        <x:v>Assistants API 棄用公告</x:v>
      </x:c>
      <x:c r="J387" s="63" t="str">
        <x:v>On August 26th, 2025, we notified developers using the Assistants API of its deprecation and removal from the API one year later, on August 26, 2026. When we released the Responses API in March 2025 , we announced plans to bring all Assistants API features to the easier to use Responses API, with a sunset date in 2026. See the Assistants to Conversations migration guide to learn more about how to migrate your current integration to t…</x:v>
      </x:c>
      <x:c r="K387" s="63" t="str">
        <x:v>OpenAI 於 2025-08-20 公告 Assistants API 的棄用或下線時程，並列出替代方案與遷移方向。</x:v>
      </x:c>
      <x:c r="L387" s="52" t="str">
        <x:v>https://developers.openai.com/api/docs/deprecations#2025-08-20-assistants-api</x:v>
      </x:c>
      <x:c r="M387" s="52" t="str">
        <x:v>official_deprecation_registry</x:v>
      </x:c>
      <x:c r="N387" s="52" t="str">
        <x:v>complete</x:v>
      </x:c>
      <x:c r="O387" s="52" t="str">
        <x:v>high</x:v>
      </x:c>
      <x:c r="P387" s="60" t="n">
        <x:v>5</x:v>
      </x:c>
      <x:c r="Q387" s="52" t="str">
        <x:v>api | assistants-api | deprecation</x:v>
      </x:c>
    </x:row>
    <x:row r="388" ht="38" customHeight="1">
      <x:c r="A388" s="57" t="n">
        <x:v>45889</x:v>
      </x:c>
      <x:c r="B388" s="52" t="str">
        <x:v>api-changelog</x:v>
      </x:c>
      <x:c r="C388" s="52" t="str">
        <x:v>OpenAI API Changelog</x:v>
      </x:c>
      <x:c r="D388" s="52" t="str">
        <x:v>developer_platform</x:v>
      </x:c>
      <x:c r="E388" s="52" t="str">
        <x:v>Responses API</x:v>
      </x:c>
      <x:c r="F388" s="52" t="str">
        <x:v>launch</x:v>
      </x:c>
      <x:c r="G388" s="52" t="str">
        <x:v>active</x:v>
      </x:c>
      <x:c r="H388" s="63" t="str">
        <x:v>Released the Conversations API</x:v>
      </x:c>
      <x:c r="I388" s="63" t="str">
        <x:v>發布the Conversations API</x:v>
      </x:c>
      <x:c r="J388" s="63" t="str">
        <x:v>Released the Conversations API, which allows you to create and manage long-running conversations with the Responses API. See the migration guide to see a side-by-side comparison and learn how to migrate from an Assistants API integration to Responses and Conversations.</x:v>
      </x:c>
      <x:c r="K388" s="63" t="str">
        <x:v>OpenAI 於 2025-08-20 為 Responses API 推出新產品或能力；此節點依官方發布記錄整理，完整能力、適用方案與限制請見來源。</x:v>
      </x:c>
      <x:c r="L388" s="52" t="str">
        <x:v>https://platform.openai.com/docs/changelog</x:v>
      </x:c>
      <x:c r="M388" s="52" t="str">
        <x:v>developer_changelog</x:v>
      </x:c>
      <x:c r="N388" s="52" t="str">
        <x:v>parsed</x:v>
      </x:c>
      <x:c r="O388" s="52" t="str">
        <x:v>high</x:v>
      </x:c>
      <x:c r="P388" s="60" t="n">
        <x:v>0</x:v>
      </x:c>
      <x:c r="Q388" s="52" t="str"/>
    </x:row>
    <x:row r="389" ht="38" customHeight="1">
      <x:c r="A389" s="57" t="n">
        <x:v>45889</x:v>
      </x:c>
      <x:c r="B389" s="52" t="str">
        <x:v>lane-openai-api-changelog</x:v>
      </x:c>
      <x:c r="C389" s="52" t="str">
        <x:v>OpenAI API Changelog</x:v>
      </x:c>
      <x:c r="D389" s="52" t="str">
        <x:v>agents_research</x:v>
      </x:c>
      <x:c r="E389" s="52" t="str">
        <x:v>Responses API</x:v>
      </x:c>
      <x:c r="F389" s="52" t="str">
        <x:v>launch</x:v>
      </x:c>
      <x:c r="G389" s="52" t="str">
        <x:v>active</x:v>
      </x:c>
      <x:c r="H389" s="63" t="str">
        <x:v>Released the Conversations API</x:v>
      </x:c>
      <x:c r="I389" s="63" t="str">
        <x:v>推出 Conversations API</x:v>
      </x:c>
      <x:c r="J389" s="63" t="str">
        <x:v>Released the Conversations API, which allows you to create and manage long-running conversations with the Responses API. See the migration guide to see a side-by-side comparison and learn how to migrate from an Assistants API integration to Responses and Conversations.</x:v>
      </x:c>
      <x:c r="K389" s="63" t="str">
        <x:v>推出 Conversations API。OpenAI 將此列為 2025-08-20 的功能；重點涉及代理與工具調用，模型、端點與參數名稱依官方英文保留。</x:v>
      </x:c>
      <x:c r="L389" s="52" t="str">
        <x:v>https://developers.openai.com/api/docs/changelog</x:v>
      </x:c>
      <x:c r="M389" s="52" t="str">
        <x:v>official_changelog</x:v>
      </x:c>
      <x:c r="N389" s="52" t="str">
        <x:v>complete</x:v>
      </x:c>
      <x:c r="O389" s="52" t="str">
        <x:v>high</x:v>
      </x:c>
      <x:c r="P389" s="60" t="n">
        <x:v>5</x:v>
      </x:c>
      <x:c r="Q389" s="52" t="str">
        <x:v>agents | feature | responses-api</x:v>
      </x:c>
    </x:row>
    <x:row r="390" ht="38" customHeight="1">
      <x:c r="A390" s="57" t="n">
        <x:v>45890</x:v>
      </x:c>
      <x:c r="B390" s="52" t="str">
        <x:v>api-changelog</x:v>
      </x:c>
      <x:c r="C390" s="52" t="str">
        <x:v>OpenAI API Changelog</x:v>
      </x:c>
      <x:c r="D390" s="52" t="str">
        <x:v>models_reasoning</x:v>
      </x:c>
      <x:c r="E390" s="52" t="str">
        <x:v>Responses API</x:v>
      </x:c>
      <x:c r="F390" s="52" t="str">
        <x:v>platform</x:v>
      </x:c>
      <x:c r="G390" s="52" t="str">
        <x:v>active</x:v>
      </x:c>
      <x:c r="H390" s="63" t="str">
        <x:v>Added support for connectors to the Responses API.</x:v>
      </x:c>
      <x:c r="I390" s="63" t="str">
        <x:v>平台更新：Responses API</x:v>
      </x:c>
      <x:c r="J390" s="63" t="str">
        <x:v>Added support for connectors to the Responses API. Connectors are OpenAI-maintained MCP wrappers for popular services like Google apps, Dropbox, and more that can be used to give model read access to data stored in those services.</x:v>
      </x:c>
      <x:c r="K390" s="63" t="str">
        <x:v>OpenAI 於 2025-08-21 為 Responses API 更新開發者平台；此節點依官方發布記錄整理，完整能力、適用方案與限制請見來源。</x:v>
      </x:c>
      <x:c r="L390" s="52" t="str">
        <x:v>https://platform.openai.com/docs/changelog</x:v>
      </x:c>
      <x:c r="M390" s="52" t="str">
        <x:v>developer_changelog</x:v>
      </x:c>
      <x:c r="N390" s="52" t="str">
        <x:v>parsed</x:v>
      </x:c>
      <x:c r="O390" s="52" t="str">
        <x:v>high</x:v>
      </x:c>
      <x:c r="P390" s="60" t="n">
        <x:v>0</x:v>
      </x:c>
      <x:c r="Q390" s="52" t="str"/>
    </x:row>
    <x:row r="391" ht="38" customHeight="1">
      <x:c r="A391" s="57" t="n">
        <x:v>45890</x:v>
      </x:c>
      <x:c r="B391" s="52" t="str">
        <x:v>lane-openai-api-changelog</x:v>
      </x:c>
      <x:c r="C391" s="52" t="str">
        <x:v>OpenAI API Changelog</x:v>
      </x:c>
      <x:c r="D391" s="52" t="str">
        <x:v>agents_research</x:v>
      </x:c>
      <x:c r="E391" s="52" t="str">
        <x:v>Responses API</x:v>
      </x:c>
      <x:c r="F391" s="52" t="str">
        <x:v>platform</x:v>
      </x:c>
      <x:c r="G391" s="52" t="str">
        <x:v>active</x:v>
      </x:c>
      <x:c r="H391" s="63" t="str">
        <x:v>Added support for connectors to the Responses API.</x:v>
      </x:c>
      <x:c r="I391" s="63" t="str">
        <x:v>新增：支援 connectors to Responses API.</x:v>
      </x:c>
      <x:c r="J391" s="63" t="str">
        <x:v>Added support for connectors to the Responses API. Connectors are OpenAI-maintained MCP wrappers for popular services like Google apps, Dropbox, and more that can be used to give model read access to data stored in those services.</x:v>
      </x:c>
      <x:c r="K391" s="63" t="str">
        <x:v>新增：支援 connectors to Responses API。OpenAI 將此列為 2025-08-21 的功能；重點涉及代理與工具調用，模型、端點與參數名稱依官方英文保留。</x:v>
      </x:c>
      <x:c r="L391" s="52" t="str">
        <x:v>https://developers.openai.com/api/docs/changelog</x:v>
      </x:c>
      <x:c r="M391" s="52" t="str">
        <x:v>official_changelog</x:v>
      </x:c>
      <x:c r="N391" s="52" t="str">
        <x:v>complete</x:v>
      </x:c>
      <x:c r="O391" s="52" t="str">
        <x:v>high</x:v>
      </x:c>
      <x:c r="P391" s="60" t="n">
        <x:v>3</x:v>
      </x:c>
      <x:c r="Q391" s="52" t="str">
        <x:v>agents | feature | responses-api</x:v>
      </x:c>
    </x:row>
    <x:row r="392" ht="38" customHeight="1">
      <x:c r="A392" s="57" t="n">
        <x:v>45890</x:v>
      </x:c>
      <x:c r="B392" s="52" t="str">
        <x:v>codex-changelog</x:v>
      </x:c>
      <x:c r="C392" s="52" t="str">
        <x:v>Codex Changelog</x:v>
      </x:c>
      <x:c r="D392" s="52" t="str">
        <x:v>agents_research</x:v>
      </x:c>
      <x:c r="E392" s="52" t="str">
        <x:v>Codex</x:v>
      </x:c>
      <x:c r="F392" s="52" t="str">
        <x:v>model_update</x:v>
      </x:c>
      <x:c r="G392" s="52" t="str">
        <x:v>active</x:v>
      </x:c>
      <x:c r="H392" s="63" t="str">
        <x:v>Mid August update</x:v>
      </x:c>
      <x:c r="I392" s="63" t="str">
        <x:v>模型更新：Mid August update</x:v>
      </x:c>
      <x:c r="J392" s="63" t="str">
        <x:v>You can now attach images to your prompts in Codex web. This is great for asking Codex to implement frontend changes or follow up on whiteboarding sessions. Codex now caches containers to start new tasks and followups 90% faster, dropping the median start time from 48 seconds to 5 seconds. You can optionally configure a maintenance script to update the environment from its cached state to prepare for new tasks. See the docs for more.</x:v>
      </x:c>
      <x:c r="K392" s="63" t="str">
        <x:v>Codex Changelog 在 2025-08-21 記錄了Codex 編碼代理、圖像與影片相關更新；完整版本與修正內容見官方英文摘要。</x:v>
      </x:c>
      <x:c r="L392" s="52" t="str">
        <x:v>https://developers.openai.com/codex/changelog/</x:v>
      </x:c>
      <x:c r="M392" s="52" t="str">
        <x:v>developer_changelog</x:v>
      </x:c>
      <x:c r="N392" s="52" t="str">
        <x:v>complete</x:v>
      </x:c>
      <x:c r="O392" s="52" t="str">
        <x:v>high</x:v>
      </x:c>
      <x:c r="P392" s="60" t="n">
        <x:v>2</x:v>
      </x:c>
      <x:c r="Q392" s="52" t="str">
        <x:v>codex | release-notes</x:v>
      </x:c>
    </x:row>
    <x:row r="393" ht="38" customHeight="1">
      <x:c r="A393" s="57" t="n">
        <x:v>45891</x:v>
      </x:c>
      <x:c r="B393" s="52" t="str">
        <x:v>chatgpt-release-notes</x:v>
      </x:c>
      <x:c r="C393" s="52" t="str">
        <x:v>ChatGPT — Release Notes</x:v>
      </x:c>
      <x:c r="D393" s="52" t="str">
        <x:v>memory_knowledge</x:v>
      </x:c>
      <x:c r="E393" s="52" t="str">
        <x:v>ChatGPT Memory</x:v>
      </x:c>
      <x:c r="F393" s="52" t="str">
        <x:v>feature</x:v>
      </x:c>
      <x:c r="G393" s="52" t="str">
        <x:v>active</x:v>
      </x:c>
      <x:c r="H393" s="63" t="str">
        <x:v>Project-only memory</x:v>
      </x:c>
      <x:c r="I393" s="63" t="str">
        <x:v>僅限專案記憶</x:v>
      </x:c>
      <x:c r="J393" s="63" t="str">
        <x:v>An improvement to projects is now available. When creating a project, users have the option to enable project-only memory. With project-only memory enabled, ChatGPT can use other conversations in that project for additional context, and won’t use your saved memories from outside the project to shape responses. Additionally, it won’t carry anything from the project into future chats outside of the project.…</x:v>
      </x:c>
      <x:c r="K393" s="63" t="str">
        <x:v>現已提供一項專案改進功能。在建立專案時，使用者可選擇啟用「僅限專案記憶」。啟用此功能後，ChatGPT 可使用該專案中的其他對話作為額外上下文，且不會使用您在專案外儲存的記憶來調整回應……</x:v>
      </x:c>
      <x:c r="L393" s="52" t="str">
        <x:v>https://help.openai.com/en/articles/6825453-chatgpt-release-notes</x:v>
      </x:c>
      <x:c r="M393" s="52" t="str">
        <x:v>help_center_release_notes</x:v>
      </x:c>
      <x:c r="N393" s="52" t="str">
        <x:v>complete</x:v>
      </x:c>
      <x:c r="O393" s="52" t="str">
        <x:v>high</x:v>
      </x:c>
      <x:c r="P393" s="60" t="n">
        <x:v>3</x:v>
      </x:c>
      <x:c r="Q393" s="52" t="str">
        <x:v>2025 | feature | memory | memory-knowledge</x:v>
      </x:c>
    </x:row>
    <x:row r="394" ht="38" customHeight="1">
      <x:c r="A394" s="57" t="n">
        <x:v>45896</x:v>
      </x:c>
      <x:c r="B394" s="52" t="str">
        <x:v>codex-changelog</x:v>
      </x:c>
      <x:c r="C394" s="52" t="str">
        <x:v>Codex Changelog</x:v>
      </x:c>
      <x:c r="D394" s="52" t="str">
        <x:v>agents_research</x:v>
      </x:c>
      <x:c r="E394" s="52" t="str">
        <x:v>Codex</x:v>
      </x:c>
      <x:c r="F394" s="52" t="str">
        <x:v>pricing_quota</x:v>
      </x:c>
      <x:c r="G394" s="52" t="str">
        <x:v>active</x:v>
      </x:c>
      <x:c r="H394" s="63" t="str">
        <x:v>Late August update</x:v>
      </x:c>
      <x:c r="I394" s="63" t="str">
        <x:v>Late August update 更新</x:v>
      </x:c>
      <x:c r="J394" s="63" t="str">
        <x:v>IDE extension (Compatible with VS Code, Cursor, Windsurf) Codex now runs in your IDE with an interactive UI for fast local iteration. Easily switch between modes and reasoning efforts. Sign in with ChatGPT (IDE &amp; CLI) One-click authentication that removes API keys and uses ChatGPT Enterprise credits. Move work between local ↔ cloud Hand off tasks to Codex web from the IDE with the ability to apply changes locally so you can delegate…</x:v>
      </x:c>
      <x:c r="K394" s="63" t="str">
        <x:v>Codex Changelog 在 2025-08-27 記錄了Codex 編碼代理、定價與用量相關更新；完整版本與修正內容見官方英文摘要。</x:v>
      </x:c>
      <x:c r="L394" s="52" t="str">
        <x:v>https://developers.openai.com/codex/changelog/</x:v>
      </x:c>
      <x:c r="M394" s="52" t="str">
        <x:v>developer_changelog</x:v>
      </x:c>
      <x:c r="N394" s="52" t="str">
        <x:v>complete</x:v>
      </x:c>
      <x:c r="O394" s="52" t="str">
        <x:v>high</x:v>
      </x:c>
      <x:c r="P394" s="60" t="n">
        <x:v>5</x:v>
      </x:c>
      <x:c r="Q394" s="52" t="str">
        <x:v>codex | release-notes</x:v>
      </x:c>
    </x:row>
    <x:row r="395" ht="38" customHeight="1">
      <x:c r="A395" s="57" t="n">
        <x:v>45896</x:v>
      </x:c>
      <x:c r="B395" s="52" t="str">
        <x:v>chatgpt-release-notes</x:v>
      </x:c>
      <x:c r="C395" s="52" t="str">
        <x:v>ChatGPT — Release Notes</x:v>
      </x:c>
      <x:c r="D395" s="52" t="str">
        <x:v>clients_surfaces</x:v>
      </x:c>
      <x:c r="E395" s="52" t="str">
        <x:v>Codex</x:v>
      </x:c>
      <x:c r="F395" s="52" t="str">
        <x:v>launch</x:v>
      </x:c>
      <x:c r="G395" s="52" t="str">
        <x:v>active</x:v>
      </x:c>
      <x:c r="H395" s="63" t="str">
        <x:v>Updates to Codex (Plus/Pro)</x:v>
      </x:c>
      <x:c r="I395" s="63" t="str">
        <x:v>更新：Codex (Plus/Pro)</x:v>
      </x:c>
      <x:c r="J395" s="63" t="str">
        <x:v>Starting today, Codex works with you everywhere you build—in your terminal or IDE, on the web, in GitHub, and even from the ChatGPT iOS app. Your ChatGPT account connects it all, so you can work seamlessly between your local environment and Codex’s cloud without losing state. We’re excited to introduce the latest Codex updates:</x:v>
      </x:c>
      <x:c r="K395" s="63" t="str">
        <x:v>即日起，Codex 可在您建構的任何地方運作，包括終端機、IDE、網頁、GitHub，甚至是 ChatGPT iOS App。您的 ChatGPT 帳號將所有服務串聯起來，讓您能在本機環境與 Codex 雲端之間無縫工作，且不會遺失狀態。</x:v>
      </x:c>
      <x:c r="L395" s="52" t="str">
        <x:v>https://help.openai.com/en/articles/6825453-chatgpt-release-notes</x:v>
      </x:c>
      <x:c r="M395" s="52" t="str">
        <x:v>help_center_release_notes</x:v>
      </x:c>
      <x:c r="N395" s="52" t="str">
        <x:v>complete</x:v>
      </x:c>
      <x:c r="O395" s="52" t="str">
        <x:v>high</x:v>
      </x:c>
      <x:c r="P395" s="60" t="n">
        <x:v>3</x:v>
      </x:c>
      <x:c r="Q395" s="52" t="str">
        <x:v>2025 | agents-research | codex | feature</x:v>
      </x:c>
    </x:row>
    <x:row r="396" ht="38" customHeight="1">
      <x:c r="A396" s="57" t="n">
        <x:v>45897</x:v>
      </x:c>
      <x:c r="B396" s="52" t="str">
        <x:v>lane-openai-api-changelog</x:v>
      </x:c>
      <x:c r="C396" s="52" t="str">
        <x:v>OpenAI API Changelog</x:v>
      </x:c>
      <x:c r="D396" s="52" t="str">
        <x:v>multimodal</x:v>
      </x:c>
      <x:c r="E396" s="52" t="str">
        <x:v>Realtime &amp; Audio API</x:v>
      </x:c>
      <x:c r="F396" s="52" t="str">
        <x:v>availability</x:v>
      </x:c>
      <x:c r="G396" s="52" t="str">
        <x:v>general_availability</x:v>
      </x:c>
      <x:c r="H396" s="63" t="str">
        <x:v>The OpenAI Realtime API is now generally available.</x:v>
      </x:c>
      <x:c r="I396" s="63" t="str">
        <x:v>Realtime API 正式 GA</x:v>
      </x:c>
      <x:c r="J396" s="63" t="str">
        <x:v>The OpenAI Realtime API is now generally available. Learn more in our Realtime API guide .</x:v>
      </x:c>
      <x:c r="K396" s="63" t="str">
        <x:v>Realtime API 正式 GA。OpenAI 將此列為 2025-08-28 的功能；重點涉及即時語音與音訊，模型、端點與參數名稱依官方英文保留。</x:v>
      </x:c>
      <x:c r="L396" s="52" t="str">
        <x:v>https://developers.openai.com/api/docs/changelog</x:v>
      </x:c>
      <x:c r="M396" s="52" t="str">
        <x:v>official_changelog</x:v>
      </x:c>
      <x:c r="N396" s="52" t="str">
        <x:v>complete</x:v>
      </x:c>
      <x:c r="O396" s="52" t="str">
        <x:v>high</x:v>
      </x:c>
      <x:c r="P396" s="60" t="n">
        <x:v>4</x:v>
      </x:c>
      <x:c r="Q396" s="52" t="str">
        <x:v>audio | feature | realtime</x:v>
      </x:c>
    </x:row>
    <x:row r="397" ht="38" customHeight="1">
      <x:c r="A397" s="57" t="n">
        <x:v>45898</x:v>
      </x:c>
      <x:c r="B397" s="52" t="str">
        <x:v>lane-chatgpt-business-rename-faq</x:v>
      </x:c>
      <x:c r="C397" s="52" t="str">
        <x:v>ChatGPT Business Rename FAQ</x:v>
      </x:c>
      <x:c r="D397" s="52" t="str">
        <x:v>enterprise_vertical</x:v>
      </x:c>
      <x:c r="E397" s="52" t="str">
        <x:v>ChatGPT Business</x:v>
      </x:c>
      <x:c r="F397" s="52" t="str">
        <x:v>feature</x:v>
      </x:c>
      <x:c r="G397" s="52" t="str">
        <x:v>active</x:v>
      </x:c>
      <x:c r="H397" s="63" t="str">
        <x:v>ChatGPT Team renamed ChatGPT Business</x:v>
      </x:c>
      <x:c r="I397" s="63" t="str">
        <x:v>ChatGPT Team 更名為 ChatGPT Business</x:v>
      </x:c>
      <x:c r="J397" s="63" t="str">
        <x:v>The ChatGPT Team plan was renamed ChatGPT Business; OpenAI said the rename itself did not change features, pricing, limits, or security.</x:v>
      </x:c>
      <x:c r="K397" s="63" t="str">
        <x:v>ChatGPT Team 正式更名為 ChatGPT Business；更名本身不改變功能、價格、額度或安全設定。</x:v>
      </x:c>
      <x:c r="L397" s="52" t="str">
        <x:v>https://help.openai.com/en/articles/12111915-chatgpt-team-is-now-chatgpt-business</x:v>
      </x:c>
      <x:c r="M397" s="52" t="str">
        <x:v>official_help_center</x:v>
      </x:c>
      <x:c r="N397" s="52" t="str">
        <x:v>parsed</x:v>
      </x:c>
      <x:c r="O397" s="52" t="str">
        <x:v>high</x:v>
      </x:c>
      <x:c r="P397" s="60" t="n">
        <x:v>4</x:v>
      </x:c>
      <x:c r="Q397" s="52" t="str">
        <x:v>business | rename</x:v>
      </x:c>
    </x:row>
    <x:row r="398" ht="38" customHeight="1">
      <x:c r="A398" s="57" t="n">
        <x:v>45903</x:v>
      </x:c>
      <x:c r="B398" s="52" t="str">
        <x:v>chatgpt-release-notes</x:v>
      </x:c>
      <x:c r="C398" s="52" t="str">
        <x:v>ChatGPT — Release Notes</x:v>
      </x:c>
      <x:c r="D398" s="52" t="str">
        <x:v>memory_knowledge</x:v>
      </x:c>
      <x:c r="E398" s="52" t="str">
        <x:v>ChatGPT Projects</x:v>
      </x:c>
      <x:c r="F398" s="52" t="str">
        <x:v>availability</x:v>
      </x:c>
      <x:c r="G398" s="52" t="str">
        <x:v>active</x:v>
      </x:c>
      <x:c r="H398" s="63" t="str">
        <x:v>Projects Now Available on ChatGPT Free Tier</x:v>
      </x:c>
      <x:c r="I398" s="63" t="str">
        <x:v>「專案」功能現已開放給 ChatGPT 免費版使用</x:v>
      </x:c>
      <x:c r="J398" s="63" t="str">
        <x:v>Projects bring your chats and files into one place, helping you stay focused and get things done. They’re now available on our Free tier, with up to 5 file uploads per project. We’ve also updated file uploads on paid tiers: Plus, Go, and Edu support up to 25 files per project. Pro, Business, and Enterprise support up to 40 files per project. New customization options are available for all plans, including colors and icons, to help ke…</x:v>
      </x:c>
      <x:c r="K398" s="63" t="str">
        <x:v>「專案」將您的對話與檔案集中於一處，助您保持專注並完成任務。此功能現已開放給免費版使用者，每個專案最多可上傳 5 個檔案。我們亦更新了付費版的檔案上傳限制：Plus、Go 與 Edu 方案每個專案支援最多 25 個檔案；Pro、Business 與 Enterprise 方案每個專案支援最多 40 個檔案。</x:v>
      </x:c>
      <x:c r="L398" s="52" t="str">
        <x:v>https://help.openai.com/en/articles/6825453-chatgpt-release-notes</x:v>
      </x:c>
      <x:c r="M398" s="52" t="str">
        <x:v>help_center_release_notes</x:v>
      </x:c>
      <x:c r="N398" s="52" t="str">
        <x:v>complete</x:v>
      </x:c>
      <x:c r="O398" s="52" t="str">
        <x:v>high</x:v>
      </x:c>
      <x:c r="P398" s="60" t="n">
        <x:v>3</x:v>
      </x:c>
      <x:c r="Q398" s="52" t="str">
        <x:v>2025 | availability | memory-knowledge | projects</x:v>
      </x:c>
    </x:row>
    <x:row r="399" ht="38" customHeight="1">
      <x:c r="A399" s="57" t="n">
        <x:v>45904</x:v>
      </x:c>
      <x:c r="B399" s="52" t="str">
        <x:v>chatgpt-release-notes</x:v>
      </x:c>
      <x:c r="C399" s="52" t="str">
        <x:v>ChatGPT — Release Notes</x:v>
      </x:c>
      <x:c r="D399" s="52" t="str">
        <x:v>chatgpt_core</x:v>
      </x:c>
      <x:c r="E399" s="52" t="str">
        <x:v>ChatGPT</x:v>
      </x:c>
      <x:c r="F399" s="52" t="str">
        <x:v>feature</x:v>
      </x:c>
      <x:c r="G399" s="52" t="str">
        <x:v>active</x:v>
      </x:c>
      <x:c r="H399" s="63" t="str">
        <x:v>Branch conversations on web</x:v>
      </x:c>
      <x:c r="I399" s="63" t="str">
        <x:v>網頁版對話分支功能</x:v>
      </x:c>
      <x:c r="J399" s="63" t="str">
        <x:v>You can now branch conversations in ChatGPT, making it easier to explore different directions without losing your original thread. Hover over a message, click More actions (⋯), and select Branch in new chat to start a separate conversation from that point. This feature is available today for all logged-in users on web.</x:v>
      </x:c>
      <x:c r="K399" s="63" t="str">
        <x:v>您現在可以在 ChatGPT 中建立對話分支，更輕鬆地探索不同方向，而不會遺失原始對話串。請將游標移至訊息上，點擊「更多動作」(⋯)，然後選擇「在新的對話中開啟分支」，即可從該點開始進行獨立的對話。此功能今日起開放給所有已登入的網頁版使用者。</x:v>
      </x:c>
      <x:c r="L399" s="52" t="str">
        <x:v>https://help.openai.com/en/articles/6825453-chatgpt-release-notes</x:v>
      </x:c>
      <x:c r="M399" s="52" t="str">
        <x:v>help_center_release_notes</x:v>
      </x:c>
      <x:c r="N399" s="52" t="str">
        <x:v>complete</x:v>
      </x:c>
      <x:c r="O399" s="52" t="str">
        <x:v>high</x:v>
      </x:c>
      <x:c r="P399" s="60" t="n">
        <x:v>3</x:v>
      </x:c>
      <x:c r="Q399" s="52" t="str">
        <x:v>2025 | chatgpt | chatgpt-core | feature</x:v>
      </x:c>
    </x:row>
    <x:row r="400" ht="38" customHeight="1">
      <x:c r="A400" s="57" t="n">
        <x:v>45904</x:v>
      </x:c>
      <x:c r="B400" s="52" t="str">
        <x:v>enterprise-edu-release-notes</x:v>
      </x:c>
      <x:c r="C400" s="52" t="str">
        <x:v>ChatGPT Enterprise &amp; Edu — Release Notes</x:v>
      </x:c>
      <x:c r="D400" s="52" t="str">
        <x:v>safety_lifecycle</x:v>
      </x:c>
      <x:c r="E400" s="52" t="str">
        <x:v>ChatGPT Enterprise</x:v>
      </x:c>
      <x:c r="F400" s="52" t="str">
        <x:v>feature</x:v>
      </x:c>
      <x:c r="G400" s="52" t="str">
        <x:v>active</x:v>
      </x:c>
      <x:c r="H400" s="63" t="str">
        <x:v>Website blocking for ChatGPT agent</x:v>
      </x:c>
      <x:c r="I400" s="63" t="str">
        <x:v>ChatGPT agent 網站封鎖</x:v>
      </x:c>
      <x:c r="J400" s="63" t="str">
        <x:v>Enterprise and Edu workspace owners could request blocks for websites or whole domains used by ChatGPT agent browsing and actions.</x:v>
      </x:c>
      <x:c r="K400" s="63" t="str">
        <x:v>Enterprise 與 Edu 工作區可要求封鎖 ChatGPT agent 瀏覽與操作的網站或整個網域。</x:v>
      </x:c>
      <x:c r="L400" s="52" t="str">
        <x:v>https://help.openai.com/en/articles/10128477-chatgpt-enterprise-edu-release-notes</x:v>
      </x:c>
      <x:c r="M400" s="52" t="str">
        <x:v>help_center_release_notes</x:v>
      </x:c>
      <x:c r="N400" s="52" t="str">
        <x:v>parsed</x:v>
      </x:c>
      <x:c r="O400" s="52" t="str">
        <x:v>high</x:v>
      </x:c>
      <x:c r="P400" s="60" t="n">
        <x:v>4</x:v>
      </x:c>
      <x:c r="Q400" s="52" t="str">
        <x:v>agent | enterprise | security</x:v>
      </x:c>
    </x:row>
    <x:row r="401" ht="38" customHeight="1">
      <x:c r="A401" s="57" t="n">
        <x:v>45909</x:v>
      </x:c>
      <x:c r="B401" s="52" t="str">
        <x:v>chatgpt-release-notes</x:v>
      </x:c>
      <x:c r="C401" s="52" t="str">
        <x:v>ChatGPT — Release Notes</x:v>
      </x:c>
      <x:c r="D401" s="52" t="str">
        <x:v>safety_lifecycle</x:v>
      </x:c>
      <x:c r="E401" s="52" t="str">
        <x:v>ChatGPT Voice</x:v>
      </x:c>
      <x:c r="F401" s="52" t="str">
        <x:v>retirement</x:v>
      </x:c>
      <x:c r="G401" s="52" t="str">
        <x:v>retired</x:v>
      </x:c>
      <x:c r="H401" s="63" t="str">
        <x:v>ChatGPT Voice Update</x:v>
      </x:c>
      <x:c r="I401" s="63" t="str">
        <x:v>退役：ChatGPT Voice Update</x:v>
      </x:c>
      <x:c r="J401" s="63" t="str">
        <x:v>Last month we announced that everyone now has access to Advanced Voice Mode, with usage expanded from minutes per day to hours for Free users, and near-unlimited use for Plus. We also shared that Standard Voice Mode would be retired following a 30-day sunset period. We’ve heard feedback that Standard Voice is special to some folks, and we want to make sure the transition feels right. To that end, we’re keeping Standard Voice availabl…</x:v>
      </x:c>
      <x:c r="K401" s="63" t="str">
        <x:v>上個月我們宣佈所有人皆可使用「進階語音模式」，使用量限制從每天幾分鐘擴展至免費使用者每天幾小時，Plus 使用者則為近乎無限。我們同時宣告「標準語音模式」在 30 天的停用過渡期後將正式退役。</x:v>
      </x:c>
      <x:c r="L401" s="52" t="str">
        <x:v>https://help.openai.com/en/articles/6825453-chatgpt-release-notes</x:v>
      </x:c>
      <x:c r="M401" s="52" t="str">
        <x:v>help_center_release_notes</x:v>
      </x:c>
      <x:c r="N401" s="52" t="str">
        <x:v>complete</x:v>
      </x:c>
      <x:c r="O401" s="52" t="str">
        <x:v>high</x:v>
      </x:c>
      <x:c r="P401" s="60" t="n">
        <x:v>3</x:v>
      </x:c>
      <x:c r="Q401" s="52" t="str">
        <x:v>2025 | chatgpt-voice | feature | multimodal</x:v>
      </x:c>
    </x:row>
    <x:row r="402" ht="38" customHeight="1">
      <x:c r="A402" s="57" t="n">
        <x:v>45912</x:v>
      </x:c>
      <x:c r="B402" s="52" t="str">
        <x:v>model-release-notes</x:v>
      </x:c>
      <x:c r="C402" s="52" t="str">
        <x:v>Model Release Notes</x:v>
      </x:c>
      <x:c r="D402" s="52" t="str">
        <x:v>models_reasoning</x:v>
      </x:c>
      <x:c r="E402" s="52" t="str">
        <x:v>ChatGPT</x:v>
      </x:c>
      <x:c r="F402" s="52" t="str">
        <x:v>safety</x:v>
      </x:c>
      <x:c r="G402" s="52" t="str">
        <x:v>active</x:v>
      </x:c>
      <x:c r="H402" s="63" t="str">
        <x:v>Updating the OpenAI Model Spec</x:v>
      </x:c>
      <x:c r="I402" s="63" t="str">
        <x:v>安全更新：Updating the OpenAI Model Spec</x:v>
      </x:c>
      <x:c r="J402" s="63" t="str">
        <x:v>We’ve made a few updates to the Model Spec, a living document that outlines intended behavior for OpenAI’s models, to better reflect how our systems are evolving. The changes focus on strengthening clarity and guardrails as our models move beyond chat into more agentic use cases, refining authority levels and priorities, expanding guidance on personalities and safety, and incorporating public feedback.</x:v>
      </x:c>
      <x:c r="K402" s="63" t="str">
        <x:v>OpenAI 於 2025-09-12 為 ChatGPT 更新安全與治理機制；此節點依官方發布記錄整理，完整能力、適用方案與限制請見來源。</x:v>
      </x:c>
      <x:c r="L402" s="52" t="str">
        <x:v>https://help.openai.com/en/articles/9624314-model-release-notes</x:v>
      </x:c>
      <x:c r="M402" s="52" t="str">
        <x:v>help_center_release_notes</x:v>
      </x:c>
      <x:c r="N402" s="52" t="str">
        <x:v>parsed</x:v>
      </x:c>
      <x:c r="O402" s="52" t="str">
        <x:v>high</x:v>
      </x:c>
      <x:c r="P402" s="60" t="n">
        <x:v>0</x:v>
      </x:c>
      <x:c r="Q402" s="52" t="str"/>
    </x:row>
    <x:row r="403" ht="38" customHeight="1">
      <x:c r="A403" s="57" t="n">
        <x:v>45915</x:v>
      </x:c>
      <x:c r="B403" s="52" t="str">
        <x:v>api-deprecations</x:v>
      </x:c>
      <x:c r="C403" s="52" t="str">
        <x:v>OpenAI API Deprecations</x:v>
      </x:c>
      <x:c r="D403" s="52" t="str">
        <x:v>safety_lifecycle</x:v>
      </x:c>
      <x:c r="E403" s="52" t="str">
        <x:v>GPT-4o</x:v>
      </x:c>
      <x:c r="F403" s="52" t="str">
        <x:v>deprecation</x:v>
      </x:c>
      <x:c r="G403" s="52" t="str">
        <x:v>deprecated</x:v>
      </x:c>
      <x:c r="H403" s="63" t="str">
        <x:v>gpt-4o-realtime-preview models</x:v>
      </x:c>
      <x:c r="I403" s="63" t="str">
        <x:v>淘汰通知：gpt-4o-realtime-preview models</x:v>
      </x:c>
      <x:c r="J403" s="63" t="str">
        <x:v>In September, 2025, we notified developers using gpt-4o-realtime-preview models of their deprecation and removal from the API in six months. Past deprecations are listed below, with the most recent announcements at the top.</x:v>
      </x:c>
      <x:c r="K403" s="63" t="str">
        <x:v>OpenAI 於 2025-09-15 為 GPT-4o 公布淘汰計畫；此節點依官方發布記錄整理，完整能力、適用方案與限制請見來源。</x:v>
      </x:c>
      <x:c r="L403" s="52" t="str">
        <x:v>https://platform.openai.com/docs/deprecations</x:v>
      </x:c>
      <x:c r="M403" s="52" t="str">
        <x:v>developer_deprecations</x:v>
      </x:c>
      <x:c r="N403" s="52" t="str">
        <x:v>parsed</x:v>
      </x:c>
      <x:c r="O403" s="52" t="str">
        <x:v>high</x:v>
      </x:c>
      <x:c r="P403" s="60" t="n">
        <x:v>0</x:v>
      </x:c>
      <x:c r="Q403" s="52" t="str"/>
    </x:row>
    <x:row r="404" ht="38" customHeight="1">
      <x:c r="A404" s="57" t="n">
        <x:v>45915</x:v>
      </x:c>
      <x:c r="B404" s="52" t="str">
        <x:v>lane-openai-api-deprecations</x:v>
      </x:c>
      <x:c r="C404" s="52" t="str">
        <x:v>OpenAI API Deprecations</x:v>
      </x:c>
      <x:c r="D404" s="52" t="str">
        <x:v>safety_lifecycle</x:v>
      </x:c>
      <x:c r="E404" s="52" t="str">
        <x:v>Realtime API</x:v>
      </x:c>
      <x:c r="F404" s="52" t="str">
        <x:v>deprecation</x:v>
      </x:c>
      <x:c r="G404" s="52" t="str">
        <x:v>deprecated</x:v>
      </x:c>
      <x:c r="H404" s="63" t="str">
        <x:v>gpt-4o-realtime-preview models deprecation</x:v>
      </x:c>
      <x:c r="I404" s="63" t="str">
        <x:v>gpt-4o-realtime-preview models 棄用公告</x:v>
      </x:c>
      <x:c r="J404" s="63" t="str">
        <x:v>In September, 2025, we notified developers using gpt-4o-realtime-preview models of their deprecation and removal from the API in six months. Schedule/replacements: 2026-05-07 gpt-4o-realtime-preview gpt-realtime-1.5; 2026-05-07 gpt-4o-realtime-preview-2025-06-03 gpt-realtime-1.5; 2026-05-07 gpt-4o-realtime-preview-2024-12-17 gpt-realtime-1.5; 2026-05-07 gpt-4o-mini-realtime-preview gpt-realtime-mini; 2026-05-07 gpt-4o-audio-preview g…</x:v>
      </x:c>
      <x:c r="K404" s="63" t="str">
        <x:v>OpenAI 於 2025-09-15 公告 gpt-4o-realtime-preview models 的棄用或下線時程，並列出替代方案與遷移方向。</x:v>
      </x:c>
      <x:c r="L404" s="52" t="str">
        <x:v>https://developers.openai.com/api/docs/deprecations#2025-09-15-gpt-4o-realtime-preview-models</x:v>
      </x:c>
      <x:c r="M404" s="52" t="str">
        <x:v>official_deprecation_registry</x:v>
      </x:c>
      <x:c r="N404" s="52" t="str">
        <x:v>complete</x:v>
      </x:c>
      <x:c r="O404" s="52" t="str">
        <x:v>high</x:v>
      </x:c>
      <x:c r="P404" s="60" t="n">
        <x:v>4</x:v>
      </x:c>
      <x:c r="Q404" s="52" t="str">
        <x:v>api | deprecation | realtime-api</x:v>
      </x:c>
    </x:row>
    <x:row r="405" ht="38" customHeight="1">
      <x:c r="A405" s="57" t="n">
        <x:v>45915</x:v>
      </x:c>
      <x:c r="B405" s="52" t="str">
        <x:v>model-release-notes</x:v>
      </x:c>
      <x:c r="C405" s="52" t="str">
        <x:v>Model Release Notes</x:v>
      </x:c>
      <x:c r="D405" s="52" t="str">
        <x:v>models_reasoning</x:v>
      </x:c>
      <x:c r="E405" s="52" t="str">
        <x:v>GPT-5</x:v>
      </x:c>
      <x:c r="F405" s="52" t="str">
        <x:v>model_release</x:v>
      </x:c>
      <x:c r="G405" s="52" t="str">
        <x:v>active</x:v>
      </x:c>
      <x:c r="H405" s="63" t="str">
        <x:v>Introducing GPT-5-codex</x:v>
      </x:c>
      <x:c r="I405" s="63" t="str">
        <x:v>推出GPT-5-codex</x:v>
      </x:c>
      <x:c r="J405" s="63" t="str">
        <x:v>We’re adding GPT-5-codex, a GPT-5 variant optimized for agentic coding in Codex. It’s available everywhere you use Codex: default for cloud tasks and code review, and selectable for local workflows via the Codex CLI and IDE extension. Use GPT-5-codex for coding-focused work in Codex, or Codex-like environments; use GPT-5 for general, non-coding tasks. In day-to-day use, GPT-5-codex supports fast interactive edits and can run independ…</x:v>
      </x:c>
      <x:c r="K405" s="63" t="str">
        <x:v>OpenAI 於 2025-09-15 為 GPT-5 發布模型；此節點依官方發布記錄整理，完整能力、適用方案與限制請見來源。</x:v>
      </x:c>
      <x:c r="L405" s="52" t="str">
        <x:v>https://help.openai.com/en/articles/9624314-model-release-notes</x:v>
      </x:c>
      <x:c r="M405" s="52" t="str">
        <x:v>help_center_release_notes</x:v>
      </x:c>
      <x:c r="N405" s="52" t="str">
        <x:v>parsed</x:v>
      </x:c>
      <x:c r="O405" s="52" t="str">
        <x:v>high</x:v>
      </x:c>
      <x:c r="P405" s="60" t="n">
        <x:v>0</x:v>
      </x:c>
      <x:c r="Q405" s="52" t="str"/>
    </x:row>
    <x:row r="406" ht="38" customHeight="1">
      <x:c r="A406" s="57" t="n">
        <x:v>45915</x:v>
      </x:c>
      <x:c r="B406" s="52" t="str">
        <x:v>codex-changelog</x:v>
      </x:c>
      <x:c r="C406" s="52" t="str">
        <x:v>Codex Changelog</x:v>
      </x:c>
      <x:c r="D406" s="52" t="str">
        <x:v>agents_research</x:v>
      </x:c>
      <x:c r="E406" s="52" t="str">
        <x:v>Codex</x:v>
      </x:c>
      <x:c r="F406" s="52" t="str">
        <x:v>launch</x:v>
      </x:c>
      <x:c r="G406" s="52" t="str">
        <x:v>active</x:v>
      </x:c>
      <x:c r="H406" s="63" t="str">
        <x:v>Introducing GPT-5-Codex</x:v>
      </x:c>
      <x:c r="I406" s="63" t="str">
        <x:v>推出 GPT-5-Codex</x:v>
      </x:c>
      <x:c r="J406" s="63" t="str">
        <x:v>New model: GPT-5-Codex GPT-5-Codex is a version of GPT-5 further optimized for agentic coding in Codex. It’s available in the IDE extension and CLI when you sign in with your ChatGPT account. It also powers the cloud agent and Code Review in GitHub. To learn more about GPT-5-Codex and how it performs compared to GPT-5 on software engineering tasks, see our announcement blog post . Image outputs When working in the cloud on front-end…</x:v>
      </x:c>
      <x:c r="K406" s="63" t="str">
        <x:v>Codex Changelog 在 2025-09-15 記錄了Codex 編碼代理、代理與工具調用、圖像與影片相關更新；完整版本與修正內容見官方英文摘要。</x:v>
      </x:c>
      <x:c r="L406" s="52" t="str">
        <x:v>https://developers.openai.com/codex/changelog/</x:v>
      </x:c>
      <x:c r="M406" s="52" t="str">
        <x:v>developer_changelog</x:v>
      </x:c>
      <x:c r="N406" s="52" t="str">
        <x:v>complete</x:v>
      </x:c>
      <x:c r="O406" s="52" t="str">
        <x:v>high</x:v>
      </x:c>
      <x:c r="P406" s="60" t="n">
        <x:v>3</x:v>
      </x:c>
      <x:c r="Q406" s="52" t="str">
        <x:v>codex | release-notes</x:v>
      </x:c>
    </x:row>
    <x:row r="407" ht="38" customHeight="1">
      <x:c r="A407" s="57" t="n">
        <x:v>45915</x:v>
      </x:c>
      <x:c r="B407" s="52" t="str">
        <x:v>chatgpt-release-notes</x:v>
      </x:c>
      <x:c r="C407" s="52" t="str">
        <x:v>ChatGPT — Release Notes</x:v>
      </x:c>
      <x:c r="D407" s="52" t="str">
        <x:v>chatgpt_core</x:v>
      </x:c>
      <x:c r="E407" s="52" t="str">
        <x:v>ChatGPT Memory</x:v>
      </x:c>
      <x:c r="F407" s="52" t="str">
        <x:v>feature</x:v>
      </x:c>
      <x:c r="G407" s="52" t="str">
        <x:v>active</x:v>
      </x:c>
      <x:c r="H407" s="63" t="str">
        <x:v>Personalization settings are now in Settings</x:v>
      </x:c>
      <x:c r="I407" s="63" t="str">
        <x:v>個人化設定現已移至「設定」中</x:v>
      </x:c>
      <x:c r="J407" s="63" t="str">
        <x:v>Personalization no longer opens in a separate modal. You can manage personalization, choose a ChatGPT personality, add custom instructions, and update Memory directly in Settings → Personalization.</x:v>
      </x:c>
      <x:c r="K407" s="63" t="str">
        <x:v>OpenAI 於 2025-09-15 為 ChatGPT Memory 更新模型或體驗；此節點依官方發布記錄整理，完整能力、適用方案與限制請見來源。</x:v>
      </x:c>
      <x:c r="L407" s="52" t="str">
        <x:v>https://help.openai.com/en/articles/6825453-chatgpt-release-notes</x:v>
      </x:c>
      <x:c r="M407" s="52" t="str">
        <x:v>help_center_release_notes</x:v>
      </x:c>
      <x:c r="N407" s="52" t="str">
        <x:v>complete</x:v>
      </x:c>
      <x:c r="O407" s="52" t="str">
        <x:v>high</x:v>
      </x:c>
      <x:c r="P407" s="60" t="n">
        <x:v>3</x:v>
      </x:c>
      <x:c r="Q407" s="52" t="str">
        <x:v>2025 | chatgpt | chatgpt-core | feature</x:v>
      </x:c>
    </x:row>
    <x:row r="408" ht="38" customHeight="1">
      <x:c r="A408" s="57" t="n">
        <x:v>45915</x:v>
      </x:c>
      <x:c r="B408" s="52" t="str">
        <x:v>api-deprecations</x:v>
      </x:c>
      <x:c r="C408" s="52" t="str">
        <x:v>OpenAI API Deprecations</x:v>
      </x:c>
      <x:c r="D408" s="52" t="str">
        <x:v>safety_lifecycle</x:v>
      </x:c>
      <x:c r="E408" s="52" t="str">
        <x:v>Realtime API</x:v>
      </x:c>
      <x:c r="F408" s="52" t="str">
        <x:v>deprecation</x:v>
      </x:c>
      <x:c r="G408" s="52" t="str">
        <x:v>deprecated</x:v>
      </x:c>
      <x:c r="H408" s="63" t="str">
        <x:v>Realtime API Beta</x:v>
      </x:c>
      <x:c r="I408" s="63" t="str">
        <x:v>淘汰通知：Realtime API Beta</x:v>
      </x:c>
      <x:c r="J408" s="63" t="str">
        <x:v>The Realtime API Beta was deprecated and removed from the API on May 12, 2026. There are a few key differences between the interfaces in the Realtime beta API and the released GA API. See the migration guide for the current GA interface and related Realtime docs.</x:v>
      </x:c>
      <x:c r="K408" s="63" t="str">
        <x:v>OpenAI 於 2025-09-15 為 Realtime API 公布淘汰計畫；此節點依官方發布記錄整理，完整能力、適用方案與限制請見來源。</x:v>
      </x:c>
      <x:c r="L408" s="52" t="str">
        <x:v>https://platform.openai.com/docs/deprecations</x:v>
      </x:c>
      <x:c r="M408" s="52" t="str">
        <x:v>developer_deprecations</x:v>
      </x:c>
      <x:c r="N408" s="52" t="str">
        <x:v>parsed</x:v>
      </x:c>
      <x:c r="O408" s="52" t="str">
        <x:v>high</x:v>
      </x:c>
      <x:c r="P408" s="60" t="n">
        <x:v>0</x:v>
      </x:c>
      <x:c r="Q408" s="52" t="str"/>
    </x:row>
    <x:row r="409" ht="38" customHeight="1">
      <x:c r="A409" s="57" t="n">
        <x:v>45915</x:v>
      </x:c>
      <x:c r="B409" s="52" t="str">
        <x:v>lane-openai-api-deprecations</x:v>
      </x:c>
      <x:c r="C409" s="52" t="str">
        <x:v>OpenAI API Deprecations</x:v>
      </x:c>
      <x:c r="D409" s="52" t="str">
        <x:v>safety_lifecycle</x:v>
      </x:c>
      <x:c r="E409" s="52" t="str">
        <x:v>Realtime API</x:v>
      </x:c>
      <x:c r="F409" s="52" t="str">
        <x:v>deprecation</x:v>
      </x:c>
      <x:c r="G409" s="52" t="str">
        <x:v>deprecated</x:v>
      </x:c>
      <x:c r="H409" s="63" t="str">
        <x:v>Realtime API Beta deprecation</x:v>
      </x:c>
      <x:c r="I409" s="63" t="str">
        <x:v>Realtime API Beta 棄用公告</x:v>
      </x:c>
      <x:c r="J409" s="63" t="str">
        <x:v>The Realtime API Beta was deprecated and removed from the API on May 12, 2026. There are a few key differences between the interfaces in the Realtime beta API and the released GA API. See the migration guide for the current GA interface and related Realtime docs. Schedule/replacements: 2026‑05‑12 OpenAI-Beta: realtime=v1 Realtime API</x:v>
      </x:c>
      <x:c r="K409" s="63" t="str">
        <x:v>OpenAI 於 2025-09-15 公告 Realtime API Beta 的棄用或下線時程，並列出替代方案與遷移方向。</x:v>
      </x:c>
      <x:c r="L409" s="52" t="str">
        <x:v>https://developers.openai.com/api/docs/deprecations#2025-09-15-realtime-api-beta</x:v>
      </x:c>
      <x:c r="M409" s="52" t="str">
        <x:v>official_deprecation_registry</x:v>
      </x:c>
      <x:c r="N409" s="52" t="str">
        <x:v>complete</x:v>
      </x:c>
      <x:c r="O409" s="52" t="str">
        <x:v>high</x:v>
      </x:c>
      <x:c r="P409" s="60" t="n">
        <x:v>4</x:v>
      </x:c>
      <x:c r="Q409" s="52" t="str">
        <x:v>api | deprecation | realtime-api</x:v>
      </x:c>
    </x:row>
    <x:row r="410" ht="38" customHeight="1">
      <x:c r="A410" s="57" t="n">
        <x:v>45915</x:v>
      </x:c>
      <x:c r="B410" s="52" t="str">
        <x:v>chatgpt-release-notes</x:v>
      </x:c>
      <x:c r="C410" s="52" t="str">
        <x:v>ChatGPT — Release Notes</x:v>
      </x:c>
      <x:c r="D410" s="52" t="str">
        <x:v>agents_research</x:v>
      </x:c>
      <x:c r="E410" s="52" t="str">
        <x:v>GPT-5-Codex</x:v>
      </x:c>
      <x:c r="F410" s="52" t="str">
        <x:v>model_release</x:v>
      </x:c>
      <x:c r="G410" s="52" t="str">
        <x:v>active</x:v>
      </x:c>
      <x:c r="H410" s="63" t="str">
        <x:v>Updates to Codex (Plus/Pro) - Introducing GPT-5-Codex</x:v>
      </x:c>
      <x:c r="I410" s="63" t="str">
        <x:v>Codex 更新 (Plus/Pro) - 推出 GPT-5-Codex</x:v>
      </x:c>
      <x:c r="J410" s="63" t="str">
        <x:v>We’re adding GPT-5-codex, a GPT-5 variant optimized for agentic coding in Codex. It’s available everywhere you use Codex: default for cloud tasks and code review, and selectable for local workflows via the Codex CLI and IDE extension. Use GPT-5-codex for coding-focused work in Codex, or Codex-like environments; use GPT-5 for general, non-coding tasks. Please review the announcement blog for more information. Note: GPT-5-Codex is not…</x:v>
      </x:c>
      <x:c r="K410" s="63" t="str">
        <x:v>我們加入了 GPT-5-Codex，這是為 Codex 中的代理式程式開發所優化的 GPT-5 變體。它可用於您使用 Codex 的所有地方：雲端任務與程式碼審查的預設選項，並可透過 Codex CLI 與 IDE 擴充功能在本地工作流程中選用。請在 Codex 或類 Codex 環境中使用 GPT-5-Codex 進行程式開發相關工作，並使用 GPT-5 處理一般的非程式設計任務。</x:v>
      </x:c>
      <x:c r="L410" s="52" t="str">
        <x:v>https://help.openai.com/en/articles/6825453-chatgpt-release-notes</x:v>
      </x:c>
      <x:c r="M410" s="52" t="str">
        <x:v>help_center_release_notes</x:v>
      </x:c>
      <x:c r="N410" s="52" t="str">
        <x:v>complete</x:v>
      </x:c>
      <x:c r="O410" s="52" t="str">
        <x:v>high</x:v>
      </x:c>
      <x:c r="P410" s="60" t="n">
        <x:v>4</x:v>
      </x:c>
      <x:c r="Q410" s="52" t="str">
        <x:v>2025 | agents-research | gpt-5-codex | model_release</x:v>
      </x:c>
    </x:row>
    <x:row r="411" ht="38" customHeight="1">
      <x:c r="A411" s="57" t="n">
        <x:v>45916</x:v>
      </x:c>
      <x:c r="B411" s="52" t="str">
        <x:v>chatgpt-release-notes</x:v>
      </x:c>
      <x:c r="C411" s="52" t="str">
        <x:v>ChatGPT — Release Notes</x:v>
      </x:c>
      <x:c r="D411" s="52" t="str">
        <x:v>search_commerce</x:v>
      </x:c>
      <x:c r="E411" s="52" t="str">
        <x:v>ChatGPT Search</x:v>
      </x:c>
      <x:c r="F411" s="52" t="str">
        <x:v>feature</x:v>
      </x:c>
      <x:c r="G411" s="52" t="str">
        <x:v>active</x:v>
      </x:c>
      <x:c r="H411" s="63" t="str">
        <x:v>Improvements to search in ChatGPT</x:v>
      </x:c>
      <x:c r="I411" s="63" t="str">
        <x:v>ChatGPT 搜尋功能改善</x:v>
      </x:c>
      <x:c r="J411" s="63" t="str">
        <x:v>We’ve made further improvements to search in ChatGPT, making results more accurate, reliable, and useful. Factuality: Fewer hallucinations, improving answer quality. Shopping: Search is better at detecting shopping intent, showing products when you want them and keeping results focused when you don’t. Formatting: Answers are better formatted for quick understanding without losing detail or quality.</x:v>
      </x:c>
      <x:c r="K411" s="63" t="str">
        <x:v>我們進一步改善了 ChatGPT 的搜尋功能，使其結果更精準、可靠且實用。事實性：減少幻覺，提升回答品質。購物：搜尋功能更能偵測購物意圖，在您需要時顯示商品，並在不需要時維持結果的聚焦性。</x:v>
      </x:c>
      <x:c r="L411" s="52" t="str">
        <x:v>https://help.openai.com/en/articles/6825453-chatgpt-release-notes</x:v>
      </x:c>
      <x:c r="M411" s="52" t="str">
        <x:v>help_center_release_notes</x:v>
      </x:c>
      <x:c r="N411" s="52" t="str">
        <x:v>complete</x:v>
      </x:c>
      <x:c r="O411" s="52" t="str">
        <x:v>high</x:v>
      </x:c>
      <x:c r="P411" s="60" t="n">
        <x:v>3</x:v>
      </x:c>
      <x:c r="Q411" s="52" t="str">
        <x:v>2025 | chatgpt-search | feature | search-commerce</x:v>
      </x:c>
    </x:row>
    <x:row r="412" ht="38" customHeight="1">
      <x:c r="A412" s="57" t="n">
        <x:v>45917</x:v>
      </x:c>
      <x:c r="B412" s="52" t="str">
        <x:v>chatgpt-release-notes</x:v>
      </x:c>
      <x:c r="C412" s="52" t="str">
        <x:v>ChatGPT — Release Notes</x:v>
      </x:c>
      <x:c r="D412" s="52" t="str">
        <x:v>models_reasoning</x:v>
      </x:c>
      <x:c r="E412" s="52" t="str">
        <x:v>ChatGPT</x:v>
      </x:c>
      <x:c r="F412" s="52" t="str">
        <x:v>feature</x:v>
      </x:c>
      <x:c r="G412" s="52" t="str">
        <x:v>active</x:v>
      </x:c>
      <x:c r="H412" s="63" t="str">
        <x:v>Toggle thinking time in the message composer</x:v>
      </x:c>
      <x:c r="I412" s="63" t="str">
        <x:v>訊息輸入框中的思考時間切換</x:v>
      </x:c>
      <x:c r="J412" s="63" t="str">
        <x:v>We’re giving Plus, Business, and Pro users more control over how long GPT-5 thinks before responding. You can now choose the level of reasoning time, so you can decide whether you want a quicker answer or more in-depth reasoning for your task. When you select GPT-5 with Thinking in ChatGPT, you’ll see a new thinking time toggle in the message composer.…</x:v>
      </x:c>
      <x:c r="K412" s="63" t="str">
        <x:v>我們為 Plus、Business 與 Pro 使用者提供更多對 GPT-5 回應前思考時間的控制權。您現在可選擇推理時間的長度，決定任務需要較快速的回應或是更深入的推理。當您在 ChatGPT 中選擇「GPT-5 with Thinking」時，訊息輸入框中將出現新的思考時間切換開關。</x:v>
      </x:c>
      <x:c r="L412" s="52" t="str">
        <x:v>https://help.openai.com/en/articles/6825453-chatgpt-release-notes</x:v>
      </x:c>
      <x:c r="M412" s="52" t="str">
        <x:v>help_center_release_notes</x:v>
      </x:c>
      <x:c r="N412" s="52" t="str">
        <x:v>complete</x:v>
      </x:c>
      <x:c r="O412" s="52" t="str">
        <x:v>high</x:v>
      </x:c>
      <x:c r="P412" s="60" t="n">
        <x:v>3</x:v>
      </x:c>
      <x:c r="Q412" s="52" t="str">
        <x:v>2025 | chatgpt | feature | models-reasoning</x:v>
      </x:c>
    </x:row>
    <x:row r="413" ht="38" customHeight="1">
      <x:c r="A413" s="57" t="n">
        <x:v>45918</x:v>
      </x:c>
      <x:c r="B413" s="52" t="str">
        <x:v>chatgpt-release-notes</x:v>
      </x:c>
      <x:c r="C413" s="52" t="str">
        <x:v>ChatGPT — Release Notes</x:v>
      </x:c>
      <x:c r="D413" s="52" t="str">
        <x:v>multimodal</x:v>
      </x:c>
      <x:c r="E413" s="52" t="str">
        <x:v>ChatGPT Voice</x:v>
      </x:c>
      <x:c r="F413" s="52" t="str">
        <x:v>feature</x:v>
      </x:c>
      <x:c r="G413" s="52" t="str">
        <x:v>active</x:v>
      </x:c>
      <x:c r="H413" s="63" t="str">
        <x:v>Voice Updates</x:v>
      </x:c>
      <x:c r="I413" s="63" t="str">
        <x:v>語音更新</x:v>
      </x:c>
      <x:c r="J413" s="63" t="str">
        <x:v>We’re improving the quality and latency of responses of the version of Advanced Voice powered by GPT-4o mini.</x:v>
      </x:c>
      <x:c r="K413" s="63" t="str">
        <x:v>OpenAI 於 2025-09-18 為 GPT-4o 更新模型或體驗；此節點依官方發布記錄整理，完整能力、適用方案與限制請見來源。</x:v>
      </x:c>
      <x:c r="L413" s="52" t="str">
        <x:v>https://help.openai.com/en/articles/6825453-chatgpt-release-notes</x:v>
      </x:c>
      <x:c r="M413" s="52" t="str">
        <x:v>help_center_release_notes</x:v>
      </x:c>
      <x:c r="N413" s="52" t="str">
        <x:v>complete</x:v>
      </x:c>
      <x:c r="O413" s="52" t="str">
        <x:v>high</x:v>
      </x:c>
      <x:c r="P413" s="60" t="n">
        <x:v>3</x:v>
      </x:c>
      <x:c r="Q413" s="52" t="str">
        <x:v>2025 | chatgpt-voice | feature | multimodal</x:v>
      </x:c>
    </x:row>
    <x:row r="414" ht="38" customHeight="1">
      <x:c r="A414" s="57" t="n">
        <x:v>45922</x:v>
      </x:c>
      <x:c r="B414" s="52" t="str">
        <x:v>chatgpt-release-notes</x:v>
      </x:c>
      <x:c r="C414" s="52" t="str">
        <x:v>ChatGPT — Release Notes</x:v>
      </x:c>
      <x:c r="D414" s="52" t="str">
        <x:v>chatgpt_core</x:v>
      </x:c>
      <x:c r="E414" s="52" t="str">
        <x:v>ChatGPT Go</x:v>
      </x:c>
      <x:c r="F414" s="52" t="str">
        <x:v>availability</x:v>
      </x:c>
      <x:c r="G414" s="52" t="str">
        <x:v>active</x:v>
      </x:c>
      <x:c r="H414" s="63" t="str">
        <x:v>ChatGPT Go now available in Indonesia</x:v>
      </x:c>
      <x:c r="I414" s="63" t="str">
        <x:v>ChatGPT Go 現已於印尼推出</x:v>
      </x:c>
      <x:c r="J414" s="63" t="str">
        <x:v>We're launching ChatGPT Go, our low cost subscription plan, in Indonesia. For Rp 75.000/month, ChatGPT Go provides everything included in the Free plan, and: More messages, larger file uploads, and expanded image generation Access to advanced data analysis Longer memory for more personalized responses Available on web, mobile (iOS &amp; Android), and desktop (macOS &amp; Windows). Learn more about ChatGPT Go.</x:v>
      </x:c>
      <x:c r="K414" s="63" t="str">
        <x:v>我們在印尼推出了低成本訂閱方案 ChatGPT Go。每月 Rp 75.000，ChatGPT Go 提供免費版的所有功能，外加：更多的訊息量、更大的檔案上傳限制、擴充的影像生成功能、進階數據分析存取權，以及更長的「記憶」以提供更個人化的回應。適用於網頁、行動裝置 (iOS 與 Android) 及桌面端。</x:v>
      </x:c>
      <x:c r="L414" s="52" t="str">
        <x:v>https://help.openai.com/en/articles/6825453-chatgpt-release-notes</x:v>
      </x:c>
      <x:c r="M414" s="52" t="str">
        <x:v>help_center_release_notes</x:v>
      </x:c>
      <x:c r="N414" s="52" t="str">
        <x:v>complete</x:v>
      </x:c>
      <x:c r="O414" s="52" t="str">
        <x:v>high</x:v>
      </x:c>
      <x:c r="P414" s="60" t="n">
        <x:v>3</x:v>
      </x:c>
      <x:c r="Q414" s="52" t="str">
        <x:v>2025 | availability | chatgpt-core | chatgpt-go</x:v>
      </x:c>
    </x:row>
    <x:row r="415" ht="38" customHeight="1">
      <x:c r="A415" s="57" t="n">
        <x:v>45923</x:v>
      </x:c>
      <x:c r="B415" s="52" t="str">
        <x:v>codex-changelog</x:v>
      </x:c>
      <x:c r="C415" s="52" t="str">
        <x:v>Codex Changelog</x:v>
      </x:c>
      <x:c r="D415" s="52" t="str">
        <x:v>agents_research</x:v>
      </x:c>
      <x:c r="E415" s="52" t="str">
        <x:v>Codex</x:v>
      </x:c>
      <x:c r="F415" s="52" t="str">
        <x:v>pricing_quota</x:v>
      </x:c>
      <x:c r="G415" s="52" t="str">
        <x:v>active</x:v>
      </x:c>
      <x:c r="H415" s="63" t="str">
        <x:v>GPT-5-Codex in the API</x:v>
      </x:c>
      <x:c r="I415" s="63" t="str">
        <x:v>方案更新：Codex</x:v>
      </x:c>
      <x:c r="J415" s="63" t="str">
        <x:v>GPT-5-Codex is now available in the Responses API, and you can also use it with your API Key in the Codex CLI. We plan on regularly updating this model snapshot. It is available at the same price as GPT-5. You can learn more about pricing and rate limits for this model on our model page .</x:v>
      </x:c>
      <x:c r="K415" s="63" t="str">
        <x:v>Codex Changelog 在 2025-09-23 記錄了Codex 編碼代理、代理與工具調用、定價與用量相關更新；完整版本與修正內容見官方英文摘要。</x:v>
      </x:c>
      <x:c r="L415" s="52" t="str">
        <x:v>https://developers.openai.com/codex/changelog/</x:v>
      </x:c>
      <x:c r="M415" s="52" t="str">
        <x:v>developer_changelog</x:v>
      </x:c>
      <x:c r="N415" s="52" t="str">
        <x:v>complete</x:v>
      </x:c>
      <x:c r="O415" s="52" t="str">
        <x:v>high</x:v>
      </x:c>
      <x:c r="P415" s="60" t="n">
        <x:v>3</x:v>
      </x:c>
      <x:c r="Q415" s="52" t="str">
        <x:v>codex | release-notes</x:v>
      </x:c>
    </x:row>
    <x:row r="416" ht="38" customHeight="1">
      <x:c r="A416" s="57" t="n">
        <x:v>45923</x:v>
      </x:c>
      <x:c r="B416" s="52" t="str">
        <x:v>model-release-notes</x:v>
      </x:c>
      <x:c r="C416" s="52" t="str">
        <x:v>Model Release Notes</x:v>
      </x:c>
      <x:c r="D416" s="52" t="str">
        <x:v>models_reasoning</x:v>
      </x:c>
      <x:c r="E416" s="52" t="str">
        <x:v>GPT-5</x:v>
      </x:c>
      <x:c r="F416" s="52" t="str">
        <x:v>availability</x:v>
      </x:c>
      <x:c r="G416" s="52" t="str">
        <x:v>active</x:v>
      </x:c>
      <x:c r="H416" s="63" t="str">
        <x:v>GPT-5-codex now available in Responses API</x:v>
      </x:c>
      <x:c r="I416" s="63" t="str">
        <x:v>開放使用：GPT-5-codex now available in Responses API</x:v>
      </x:c>
      <x:c r="J416" s="63" t="str">
        <x:v>We're excited to announce that GPT-5-codex is now available in the Responses API, in addition to codex surfaces. For more information, refer to the GPT-5-codex model page. Note: GPT-5-Codex is not currently supported in ChatGPT.</x:v>
      </x:c>
      <x:c r="K416" s="63" t="str">
        <x:v>OpenAI 於 2025-09-23 為 GPT-5 擴大開放範圍；此節點依官方發布記錄整理，完整能力、適用方案與限制請見來源。</x:v>
      </x:c>
      <x:c r="L416" s="52" t="str">
        <x:v>https://help.openai.com/en/articles/9624314-model-release-notes</x:v>
      </x:c>
      <x:c r="M416" s="52" t="str">
        <x:v>help_center_release_notes</x:v>
      </x:c>
      <x:c r="N416" s="52" t="str">
        <x:v>parsed</x:v>
      </x:c>
      <x:c r="O416" s="52" t="str">
        <x:v>high</x:v>
      </x:c>
      <x:c r="P416" s="60" t="n">
        <x:v>0</x:v>
      </x:c>
      <x:c r="Q416" s="52" t="str"/>
    </x:row>
    <x:row r="417" ht="38" customHeight="1">
      <x:c r="A417" s="57" t="n">
        <x:v>45923</x:v>
      </x:c>
      <x:c r="B417" s="52" t="str">
        <x:v>api-changelog</x:v>
      </x:c>
      <x:c r="C417" s="52" t="str">
        <x:v>OpenAI API Changelog</x:v>
      </x:c>
      <x:c r="D417" s="52" t="str">
        <x:v>agents_research</x:v>
      </x:c>
      <x:c r="E417" s="52" t="str">
        <x:v>GPT-5</x:v>
      </x:c>
      <x:c r="F417" s="52" t="str">
        <x:v>model_release</x:v>
      </x:c>
      <x:c r="G417" s="52" t="str">
        <x:v>active</x:v>
      </x:c>
      <x:c r="H417" s="63" t="str">
        <x:v>Launched special-purpose model gpt-5-codex, built and optimized for use with the Codex CLI.</x:v>
      </x:c>
      <x:c r="I417" s="63" t="str">
        <x:v>模型發布：GPT-5</x:v>
      </x:c>
      <x:c r="J417" s="63" t="str">
        <x:v>Launched special-purpose model gpt-5-codex, built and optimized for use with the Codex CLI.</x:v>
      </x:c>
      <x:c r="K417" s="63" t="str">
        <x:v>OpenAI 於 2025-09-23 為 GPT-5 發布模型；此節點依官方發布記錄整理，完整能力、適用方案與限制請見來源。</x:v>
      </x:c>
      <x:c r="L417" s="52" t="str">
        <x:v>https://platform.openai.com/docs/changelog</x:v>
      </x:c>
      <x:c r="M417" s="52" t="str">
        <x:v>developer_changelog</x:v>
      </x:c>
      <x:c r="N417" s="52" t="str">
        <x:v>parsed</x:v>
      </x:c>
      <x:c r="O417" s="52" t="str">
        <x:v>high</x:v>
      </x:c>
      <x:c r="P417" s="60" t="n">
        <x:v>0</x:v>
      </x:c>
      <x:c r="Q417" s="52" t="str"/>
    </x:row>
    <x:row r="418" ht="38" customHeight="1">
      <x:c r="A418" s="57" t="n">
        <x:v>45923</x:v>
      </x:c>
      <x:c r="B418" s="52" t="str">
        <x:v>lane-openai-api-changelog</x:v>
      </x:c>
      <x:c r="C418" s="52" t="str">
        <x:v>OpenAI API Changelog</x:v>
      </x:c>
      <x:c r="D418" s="52" t="str">
        <x:v>agents_research</x:v>
      </x:c>
      <x:c r="E418" s="52" t="str">
        <x:v>Codex</x:v>
      </x:c>
      <x:c r="F418" s="52" t="str">
        <x:v>model_release</x:v>
      </x:c>
      <x:c r="G418" s="52" t="str">
        <x:v>active</x:v>
      </x:c>
      <x:c r="H418" s="63" t="str">
        <x:v>Launched special-purpose model gpt-5-codex, built and optimized for use with the Codex CLI.</x:v>
      </x:c>
      <x:c r="I418" s="63" t="str">
        <x:v>模型發布：Codex</x:v>
      </x:c>
      <x:c r="J418" s="63" t="str">
        <x:v>Launched special-purpose model gpt-5-codex , built and optimized for use with the Codex CLI .</x:v>
      </x:c>
      <x:c r="K418" s="63" t="str">
        <x:v>推出：special-purpose 模型 gpt-5-codex , built and optimized for use with Codex CLI。OpenAI 將此列為 2025-09-23 的功能；重點涉及Codex 編碼代理，模型、端點與參數名稱依官方英文保留。</x:v>
      </x:c>
      <x:c r="L418" s="52" t="str">
        <x:v>https://developers.openai.com/api/docs/changelog</x:v>
      </x:c>
      <x:c r="M418" s="52" t="str">
        <x:v>official_changelog</x:v>
      </x:c>
      <x:c r="N418" s="52" t="str">
        <x:v>complete</x:v>
      </x:c>
      <x:c r="O418" s="52" t="str">
        <x:v>high</x:v>
      </x:c>
      <x:c r="P418" s="60" t="n">
        <x:v>3</x:v>
      </x:c>
      <x:c r="Q418" s="52" t="str">
        <x:v>codex | coding-agent | feature</x:v>
      </x:c>
    </x:row>
    <x:row r="419" ht="38" customHeight="1">
      <x:c r="A419" s="57" t="n">
        <x:v>45925</x:v>
      </x:c>
      <x:c r="B419" s="52" t="str">
        <x:v>chatgpt-release-notes</x:v>
      </x:c>
      <x:c r="C419" s="52" t="str">
        <x:v>ChatGPT — Release Notes</x:v>
      </x:c>
      <x:c r="D419" s="52" t="str">
        <x:v>agents_research</x:v>
      </x:c>
      <x:c r="E419" s="52" t="str">
        <x:v>ChatGPT Memory</x:v>
      </x:c>
      <x:c r="F419" s="52" t="str">
        <x:v>launch</x:v>
      </x:c>
      <x:c r="G419" s="52" t="str">
        <x:v>active</x:v>
      </x:c>
      <x:c r="H419" s="63" t="str">
        <x:v>Introducing ChatGPT Pulse for Pro users</x:v>
      </x:c>
      <x:c r="I419" s="63" t="str">
        <x:v>推出適用於 Pro 用戶的 ChatGPT Pulse</x:v>
      </x:c>
      <x:c r="J419" s="63" t="str">
        <x:v>We’re launching an early preview of ChatGPT pulse for Pro users on iOS and Android. This is a new experience where ChatGPT can now proactively deliver personalized, focused updates for you once a day. These updates are based on asynchronous research ChatGPT can do on your behalf overnight, synthesizing information from your memory, chat history, and direct feedback to learn what’s most relevant to you. Updates are delivered once a da…</x:v>
      </x:c>
      <x:c r="K419" s="63" t="str">
        <x:v>我們正在 iOS 和 Android 上推出適用於 Pro 用戶的 ChatGPT Pulse 搶先預覽版。這是一項新的體驗，ChatGPT 現在可以每天主動為您提供個人化、精準的更新。…</x:v>
      </x:c>
      <x:c r="L419" s="52" t="str">
        <x:v>https://help.openai.com/en/articles/6825453-chatgpt-release-notes</x:v>
      </x:c>
      <x:c r="M419" s="52" t="str">
        <x:v>help_center_release_notes</x:v>
      </x:c>
      <x:c r="N419" s="52" t="str">
        <x:v>complete</x:v>
      </x:c>
      <x:c r="O419" s="52" t="str">
        <x:v>high</x:v>
      </x:c>
      <x:c r="P419" s="60" t="n">
        <x:v>4</x:v>
      </x:c>
      <x:c r="Q419" s="52" t="str">
        <x:v>2025 | agents-research | chatgpt-pulse | launch</x:v>
      </x:c>
    </x:row>
    <x:row r="420" ht="38" customHeight="1">
      <x:c r="A420" s="57" t="n">
        <x:v>45926</x:v>
      </x:c>
      <x:c r="B420" s="52" t="str">
        <x:v>api-changelog</x:v>
      </x:c>
      <x:c r="C420" s="52" t="str">
        <x:v>OpenAI API Changelog</x:v>
      </x:c>
      <x:c r="D420" s="52" t="str">
        <x:v>multimodal</x:v>
      </x:c>
      <x:c r="E420" s="52" t="str">
        <x:v>Responses API</x:v>
      </x:c>
      <x:c r="F420" s="52" t="str">
        <x:v>platform</x:v>
      </x:c>
      <x:c r="G420" s="52" t="str">
        <x:v>active</x:v>
      </x:c>
      <x:c r="H420" s="63" t="str">
        <x:v>Added support for image and file as a tool call output in Responses API.</x:v>
      </x:c>
      <x:c r="I420" s="63" t="str">
        <x:v>平台更新：Responses API</x:v>
      </x:c>
      <x:c r="J420" s="63" t="str">
        <x:v>Added support for image and file as a tool call output in Responses API.</x:v>
      </x:c>
      <x:c r="K420" s="63" t="str">
        <x:v>OpenAI 於 2025-09-26 為 Responses API 更新開發者平台；此節點依官方發布記錄整理，完整能力、適用方案與限制請見來源。</x:v>
      </x:c>
      <x:c r="L420" s="52" t="str">
        <x:v>https://platform.openai.com/docs/changelog</x:v>
      </x:c>
      <x:c r="M420" s="52" t="str">
        <x:v>developer_changelog</x:v>
      </x:c>
      <x:c r="N420" s="52" t="str">
        <x:v>parsed</x:v>
      </x:c>
      <x:c r="O420" s="52" t="str">
        <x:v>high</x:v>
      </x:c>
      <x:c r="P420" s="60" t="n">
        <x:v>0</x:v>
      </x:c>
      <x:c r="Q420" s="52" t="str"/>
    </x:row>
    <x:row r="421" ht="38" customHeight="1">
      <x:c r="A421" s="57" t="n">
        <x:v>45926</x:v>
      </x:c>
      <x:c r="B421" s="52" t="str">
        <x:v>lane-openai-api-changelog</x:v>
      </x:c>
      <x:c r="C421" s="52" t="str">
        <x:v>OpenAI API Changelog</x:v>
      </x:c>
      <x:c r="D421" s="52" t="str">
        <x:v>agents_research</x:v>
      </x:c>
      <x:c r="E421" s="52" t="str">
        <x:v>Responses API</x:v>
      </x:c>
      <x:c r="F421" s="52" t="str">
        <x:v>platform</x:v>
      </x:c>
      <x:c r="G421" s="52" t="str">
        <x:v>active</x:v>
      </x:c>
      <x:c r="H421" s="63" t="str">
        <x:v>Added support for image and file as a tool call output in Responses API.</x:v>
      </x:c>
      <x:c r="I421" s="63" t="str">
        <x:v>平台更新：Responses API</x:v>
      </x:c>
      <x:c r="J421" s="63" t="str">
        <x:v>Added support for image and file as a tool call output in Responses API.</x:v>
      </x:c>
      <x:c r="K421" s="63" t="str">
        <x:v>新增：支援 image and file as a tool call output in Responses API。OpenAI 將此列為 2025-09-26 的功能；重點涉及代理與工具調用、圖像與影片，模型、端點與參數名稱依官方英文保留。</x:v>
      </x:c>
      <x:c r="L421" s="52" t="str">
        <x:v>https://developers.openai.com/api/docs/changelog</x:v>
      </x:c>
      <x:c r="M421" s="52" t="str">
        <x:v>official_changelog</x:v>
      </x:c>
      <x:c r="N421" s="52" t="str">
        <x:v>complete</x:v>
      </x:c>
      <x:c r="O421" s="52" t="str">
        <x:v>high</x:v>
      </x:c>
      <x:c r="P421" s="60" t="n">
        <x:v>2</x:v>
      </x:c>
      <x:c r="Q421" s="52" t="str">
        <x:v>agents | feature | responses-api</x:v>
      </x:c>
    </x:row>
    <x:row r="422" ht="38" customHeight="1">
      <x:c r="A422" s="57" t="n">
        <x:v>45926</x:v>
      </x:c>
      <x:c r="B422" s="52" t="str">
        <x:v>api-deprecations</x:v>
      </x:c>
      <x:c r="C422" s="52" t="str">
        <x:v>OpenAI API Deprecations</x:v>
      </x:c>
      <x:c r="D422" s="52" t="str">
        <x:v>safety_lifecycle</x:v>
      </x:c>
      <x:c r="E422" s="52" t="str">
        <x:v>OpenAI API</x:v>
      </x:c>
      <x:c r="F422" s="52" t="str">
        <x:v>deprecation</x:v>
      </x:c>
      <x:c r="G422" s="52" t="str">
        <x:v>deprecated</x:v>
      </x:c>
      <x:c r="H422" s="63" t="str">
        <x:v>Legacy GPT model snapshots</x:v>
      </x:c>
      <x:c r="I422" s="63" t="str">
        <x:v>淘汰通知：Legacy GPT model snapshots</x:v>
      </x:c>
      <x:c r="J422" s="63" t="str">
        <x:v>To improve reliability and make it easier for developers to choose the right models, we are deprecating a set of older OpenAI models with declining usage over the next six to twelve months. Access to these models will be shut down on the dates below. For tasks that are especially latency sensitive and don’t require reasoning</x:v>
      </x:c>
      <x:c r="K422" s="63" t="str">
        <x:v>OpenAI 於 2025-09-26 為 OpenAI API 公布淘汰計畫；此節點依官方發布記錄整理，完整能力、適用方案與限制請見來源。</x:v>
      </x:c>
      <x:c r="L422" s="52" t="str">
        <x:v>https://platform.openai.com/docs/deprecations</x:v>
      </x:c>
      <x:c r="M422" s="52" t="str">
        <x:v>developer_deprecations</x:v>
      </x:c>
      <x:c r="N422" s="52" t="str">
        <x:v>parsed</x:v>
      </x:c>
      <x:c r="O422" s="52" t="str">
        <x:v>high</x:v>
      </x:c>
      <x:c r="P422" s="60" t="n">
        <x:v>0</x:v>
      </x:c>
      <x:c r="Q422" s="52" t="str"/>
    </x:row>
    <x:row r="423" ht="38" customHeight="1">
      <x:c r="A423" s="57" t="n">
        <x:v>45926</x:v>
      </x:c>
      <x:c r="B423" s="52" t="str">
        <x:v>lane-openai-api-deprecations</x:v>
      </x:c>
      <x:c r="C423" s="52" t="str">
        <x:v>OpenAI API Deprecations</x:v>
      </x:c>
      <x:c r="D423" s="52" t="str">
        <x:v>safety_lifecycle</x:v>
      </x:c>
      <x:c r="E423" s="52" t="str">
        <x:v>Model Platform</x:v>
      </x:c>
      <x:c r="F423" s="52" t="str">
        <x:v>deprecation</x:v>
      </x:c>
      <x:c r="G423" s="52" t="str">
        <x:v>deprecated</x:v>
      </x:c>
      <x:c r="H423" s="63" t="str">
        <x:v>Legacy GPT model snapshots deprecation</x:v>
      </x:c>
      <x:c r="I423" s="63" t="str">
        <x:v>Legacy GPT model snapshots 棄用公告</x:v>
      </x:c>
      <x:c r="J423" s="63" t="str">
        <x:v>To improve reliability and make it easier for developers to choose the right models, we are deprecating a set of older OpenAI models with declining usage over the next six to twelve months. Access to these models will be shut down on the dates below. For tasks that are especially latency sensitive and don’t require reasoning Schedule/replacements: 2026‑03‑26 gpt-4-0314 gpt-5 or gpt-4.1; 2026‑03‑26 gpt-4-1106-preview gpt-5 or gpt-4.1;…</x:v>
      </x:c>
      <x:c r="K423" s="63" t="str">
        <x:v>OpenAI 於 2025-09-26 公告 Legacy GPT model snapshots 的棄用或下線時程，並列出替代方案與遷移方向。</x:v>
      </x:c>
      <x:c r="L423" s="52" t="str">
        <x:v>https://developers.openai.com/api/docs/deprecations#2025-09-26-legacy-gpt-model-snapshots</x:v>
      </x:c>
      <x:c r="M423" s="52" t="str">
        <x:v>official_deprecation_registry</x:v>
      </x:c>
      <x:c r="N423" s="52" t="str">
        <x:v>complete</x:v>
      </x:c>
      <x:c r="O423" s="52" t="str">
        <x:v>high</x:v>
      </x:c>
      <x:c r="P423" s="60" t="n">
        <x:v>4</x:v>
      </x:c>
      <x:c r="Q423" s="52" t="str">
        <x:v>api | deprecation | model-platform</x:v>
      </x:c>
    </x:row>
    <x:row r="424" ht="38" customHeight="1">
      <x:c r="A424" s="57" t="n">
        <x:v>45929</x:v>
      </x:c>
      <x:c r="B424" s="52" t="str">
        <x:v>chatgpt-release-notes</x:v>
      </x:c>
      <x:c r="C424" s="52" t="str">
        <x:v>ChatGPT — Release Notes</x:v>
      </x:c>
      <x:c r="D424" s="52" t="str">
        <x:v>chatgpt_core</x:v>
      </x:c>
      <x:c r="E424" s="52" t="str">
        <x:v>ChatGPT Plus</x:v>
      </x:c>
      <x:c r="F424" s="52" t="str">
        <x:v>launch</x:v>
      </x:c>
      <x:c r="G424" s="52" t="str">
        <x:v>active</x:v>
      </x:c>
      <x:c r="H424" s="63" t="str">
        <x:v>Introducing Instant Checkout and the Agentic Commerce Protocol</x:v>
      </x:c>
      <x:c r="I424" s="63" t="str">
        <x:v>推出：ChatGPT Plus</x:v>
      </x:c>
      <x:c r="J424" s="63" t="str">
        <x:v>We’re introducing Instant Checkout in ChatGPT and the Agentic Commerce Protocol that powers it, built with Stripe. ChatGPT can help you find anything on the web and now with Instant Checkout, you can seamlessly buy directly from the merchant, right in chat. Starting today, U.S. ChatGPT Plus, Pro, and Free users can buy directly from U.S. Etsy sellers through ChatGPT, with over 1 million Shopify merchants, like Glossier, SKIMS, Spanx…</x:v>
      </x:c>
      <x:c r="K424" s="63" t="str">
        <x:v>OpenAI 於 2025-09-29 為 ChatGPT Plus 推出新產品或能力；此節點依官方發布記錄整理，完整能力、適用方案與限制請見來源。</x:v>
      </x:c>
      <x:c r="L424" s="52" t="str">
        <x:v>https://help.openai.com/en/articles/6825453-chatgpt-release-notes</x:v>
      </x:c>
      <x:c r="M424" s="52" t="str">
        <x:v>help_center_release_notes</x:v>
      </x:c>
      <x:c r="N424" s="52" t="str">
        <x:v>parsed</x:v>
      </x:c>
      <x:c r="O424" s="52" t="str">
        <x:v>high</x:v>
      </x:c>
      <x:c r="P424" s="60" t="n">
        <x:v>0</x:v>
      </x:c>
      <x:c r="Q424" s="52" t="str"/>
    </x:row>
    <x:row r="425" ht="38" customHeight="1">
      <x:c r="A425" s="57" t="n">
        <x:v>45929</x:v>
      </x:c>
      <x:c r="B425" s="52" t="str">
        <x:v>chatgpt-release-notes</x:v>
      </x:c>
      <x:c r="C425" s="52" t="str">
        <x:v>ChatGPT — Release Notes</x:v>
      </x:c>
      <x:c r="D425" s="52" t="str">
        <x:v>search_commerce</x:v>
      </x:c>
      <x:c r="E425" s="52" t="str">
        <x:v>Shopping</x:v>
      </x:c>
      <x:c r="F425" s="52" t="str">
        <x:v>launch</x:v>
      </x:c>
      <x:c r="G425" s="52" t="str">
        <x:v>active</x:v>
      </x:c>
      <x:c r="H425" s="63" t="str">
        <x:v>Introducing Instant Checkout in ChatGPT</x:v>
      </x:c>
      <x:c r="I425" s="63" t="str">
        <x:v>推出 ChatGPT 中的 Instant Checkout</x:v>
      </x:c>
      <x:c r="J425" s="63" t="str">
        <x:v>Instant Checkout began letting U.S. ChatGPT users buy eligible products from participating merchants without leaving the conversation.</x:v>
      </x:c>
      <x:c r="K425" s="63" t="str">
        <x:v>Instant Checkout 開始讓美國的 ChatGPT 用戶無需離開對話即可向參與的商家購買符合條件的產品。</x:v>
      </x:c>
      <x:c r="L425" s="52" t="str">
        <x:v>https://help.openai.com/en/articles/6825453-chatgpt-release-notes</x:v>
      </x:c>
      <x:c r="M425" s="52" t="str">
        <x:v>help_center_release_notes</x:v>
      </x:c>
      <x:c r="N425" s="52" t="str">
        <x:v>complete</x:v>
      </x:c>
      <x:c r="O425" s="52" t="str">
        <x:v>high</x:v>
      </x:c>
      <x:c r="P425" s="60" t="n">
        <x:v>4</x:v>
      </x:c>
      <x:c r="Q425" s="52" t="str">
        <x:v>2025 | launch | search-commerce | shopping</x:v>
      </x:c>
    </x:row>
    <x:row r="426" ht="38" customHeight="1">
      <x:c r="A426" s="57" t="n">
        <x:v>45929</x:v>
      </x:c>
      <x:c r="B426" s="52" t="str">
        <x:v>chatgpt-release-notes</x:v>
      </x:c>
      <x:c r="C426" s="52" t="str">
        <x:v>ChatGPT — Release Notes</x:v>
      </x:c>
      <x:c r="D426" s="52" t="str">
        <x:v>search_commerce</x:v>
      </x:c>
      <x:c r="E426" s="52" t="str">
        <x:v>Shopping</x:v>
      </x:c>
      <x:c r="F426" s="52" t="str">
        <x:v>launch</x:v>
      </x:c>
      <x:c r="G426" s="52" t="str">
        <x:v>active</x:v>
      </x:c>
      <x:c r="H426" s="63" t="str">
        <x:v>Introducing the Agentic Commerce Protocol</x:v>
      </x:c>
      <x:c r="I426" s="63" t="str">
        <x:v>推出 Agentic Commerce Protocol</x:v>
      </x:c>
      <x:c r="J426" s="63" t="str">
        <x:v>OpenAI and Stripe introduced the open Agentic Commerce Protocol as infrastructure for merchants and agents to complete purchases while merchants remain the merchant of record.</x:v>
      </x:c>
      <x:c r="K426" s="63" t="str">
        <x:v>OpenAI 和 Stripe 推出了開放式的 Agentic Commerce Protocol，作為商家和代理進行購買交易的基礎設施，同時商家仍保留為記錄上的賣方。</x:v>
      </x:c>
      <x:c r="L426" s="52" t="str">
        <x:v>https://help.openai.com/en/articles/6825453-chatgpt-release-notes</x:v>
      </x:c>
      <x:c r="M426" s="52" t="str">
        <x:v>help_center_release_notes</x:v>
      </x:c>
      <x:c r="N426" s="52" t="str">
        <x:v>complete</x:v>
      </x:c>
      <x:c r="O426" s="52" t="str">
        <x:v>high</x:v>
      </x:c>
      <x:c r="P426" s="60" t="n">
        <x:v>4</x:v>
      </x:c>
      <x:c r="Q426" s="52" t="str">
        <x:v>2025 | launch | search-commerce | shopping</x:v>
      </x:c>
    </x:row>
    <x:row r="427" ht="38" customHeight="1">
      <x:c r="A427" s="57" t="n">
        <x:v>45929</x:v>
      </x:c>
      <x:c r="B427" s="52" t="str">
        <x:v>chatgpt-release-notes</x:v>
      </x:c>
      <x:c r="C427" s="52" t="str">
        <x:v>ChatGPT — Release Notes</x:v>
      </x:c>
      <x:c r="D427" s="52" t="str">
        <x:v>safety_lifecycle</x:v>
      </x:c>
      <x:c r="E427" s="52" t="str">
        <x:v>ChatGPT Work</x:v>
      </x:c>
      <x:c r="F427" s="52" t="str">
        <x:v>safety</x:v>
      </x:c>
      <x:c r="G427" s="52" t="str">
        <x:v>active</x:v>
      </x:c>
      <x:c r="H427" s="63" t="str">
        <x:v>Parental Controls</x:v>
      </x:c>
      <x:c r="I427" s="63" t="str">
        <x:v>家長控制功能</x:v>
      </x:c>
      <x:c r="J427" s="63" t="str">
        <x:v>We’re rolling out parental controls globally in ChatGPT to help families guide how ChatGPT works in their homes. Available starting on the web today, mobile soon. To set up parental controls, a parent or guardian sends an invite to their teen to connect accounts. After the teen accepts, the parent can manage the teen’s settings from their own account. Teens can also invite a parent to connect. Once a teen is connected to a parent’s a…</x:v>
      </x:c>
      <x:c r="K427" s="63" t="str">
        <x:v>我們正在全球範圍內推出 ChatGPT 家長控制功能，以協助家庭引導 ChatGPT 在家中的運作方式。今日起於網頁版開放，行動版隨後推出。若要設定家長控制，家長或監護人需發送邀請給青少年以連結帳戶。青少年接受後，家長即可從自己的帳戶管理青少年的設定。…</x:v>
      </x:c>
      <x:c r="L427" s="52" t="str">
        <x:v>https://help.openai.com/en/articles/6825453-chatgpt-release-notes</x:v>
      </x:c>
      <x:c r="M427" s="52" t="str">
        <x:v>help_center_release_notes</x:v>
      </x:c>
      <x:c r="N427" s="52" t="str">
        <x:v>complete</x:v>
      </x:c>
      <x:c r="O427" s="52" t="str">
        <x:v>high</x:v>
      </x:c>
      <x:c r="P427" s="60" t="n">
        <x:v>3</x:v>
      </x:c>
      <x:c r="Q427" s="52" t="str">
        <x:v>2025 | chatgpt | safety | safety-lifecycle</x:v>
      </x:c>
    </x:row>
    <x:row r="428" ht="38" customHeight="1">
      <x:c r="A428" s="57" t="n">
        <x:v>45930</x:v>
      </x:c>
      <x:c r="B428" s="52" t="str">
        <x:v>lane-sora-2-is-here</x:v>
      </x:c>
      <x:c r="C428" s="52" t="str">
        <x:v>Sora 2 is here</x:v>
      </x:c>
      <x:c r="D428" s="52" t="str">
        <x:v>multimodal</x:v>
      </x:c>
      <x:c r="E428" s="52" t="str">
        <x:v>Sora</x:v>
      </x:c>
      <x:c r="F428" s="52" t="str">
        <x:v>launch</x:v>
      </x:c>
      <x:c r="G428" s="52" t="str">
        <x:v>active</x:v>
      </x:c>
      <x:c r="H428" s="63" t="str">
        <x:v>Sora 2 and the Sora app launch</x:v>
      </x:c>
      <x:c r="I428" s="63" t="str">
        <x:v>Sora 2 和 Sora 應用程式推出</x:v>
      </x:c>
      <x:c r="J428" s="63" t="str">
        <x:v>OpenAI released Sora 2 with more accurate physics, greater realism and control, synchronized dialogue and sound effects, and an initial U.S. and Canada rollout through a new iOS Sora app and sora.com.</x:v>
      </x:c>
      <x:c r="K428" s="63" t="str">
        <x:v>OpenAI 推出 Sora 2，具有更準確的物理效果、更高的真實感與控制力、同步的對話和音效，並透過全新的 iOS Sora 應用程式和 sora.com 在美國和加拿大進行初步推廣。</x:v>
      </x:c>
      <x:c r="L428" s="52" t="str">
        <x:v>https://openai.com/index/sora-2/</x:v>
      </x:c>
      <x:c r="M428" s="52" t="str">
        <x:v>official_launch_post</x:v>
      </x:c>
      <x:c r="N428" s="52" t="str">
        <x:v>complete</x:v>
      </x:c>
      <x:c r="O428" s="52" t="str">
        <x:v>high</x:v>
      </x:c>
      <x:c r="P428" s="60" t="n">
        <x:v>5</x:v>
      </x:c>
      <x:c r="Q428" s="52" t="str">
        <x:v>2025 | launch | multimodal | sora</x:v>
      </x:c>
    </x:row>
    <x:row r="429" ht="38" customHeight="1">
      <x:c r="A429" s="57" t="n">
        <x:v>45931</x:v>
      </x:c>
      <x:c r="B429" s="52" t="str">
        <x:v>api-changelog</x:v>
      </x:c>
      <x:c r="C429" s="52" t="str">
        <x:v>OpenAI API Changelog</x:v>
      </x:c>
      <x:c r="D429" s="52" t="str">
        <x:v>developer_platform</x:v>
      </x:c>
      <x:c r="E429" s="52" t="str">
        <x:v>OpenAI API</x:v>
      </x:c>
      <x:c r="F429" s="52" t="str">
        <x:v>launch</x:v>
      </x:c>
      <x:c r="G429" s="52" t="str">
        <x:v>active</x:v>
      </x:c>
      <x:c r="H429" s="63" t="str">
        <x:v>Released IP allowlist.</x:v>
      </x:c>
      <x:c r="I429" s="63" t="str">
        <x:v>發布IP allowlist.</x:v>
      </x:c>
      <x:c r="J429" s="63" t="str">
        <x:v>Released IP allowlist. IP allowlisting restricts API access to only the IP addresses or ranges you specify.</x:v>
      </x:c>
      <x:c r="K429" s="63" t="str">
        <x:v>OpenAI 於 2025-10-01 為 OpenAI API 推出新產品或能力；此節點依官方發布記錄整理，完整能力、適用方案與限制請見來源。</x:v>
      </x:c>
      <x:c r="L429" s="52" t="str">
        <x:v>https://platform.openai.com/docs/changelog</x:v>
      </x:c>
      <x:c r="M429" s="52" t="str">
        <x:v>developer_changelog</x:v>
      </x:c>
      <x:c r="N429" s="52" t="str">
        <x:v>parsed</x:v>
      </x:c>
      <x:c r="O429" s="52" t="str">
        <x:v>high</x:v>
      </x:c>
      <x:c r="P429" s="60" t="n">
        <x:v>0</x:v>
      </x:c>
      <x:c r="Q429" s="52" t="str"/>
    </x:row>
    <x:row r="430" ht="38" customHeight="1">
      <x:c r="A430" s="57" t="n">
        <x:v>45931</x:v>
      </x:c>
      <x:c r="B430" s="52" t="str">
        <x:v>lane-openai-api-changelog</x:v>
      </x:c>
      <x:c r="C430" s="52" t="str">
        <x:v>OpenAI API Changelog</x:v>
      </x:c>
      <x:c r="D430" s="52" t="str">
        <x:v>enterprise_vertical</x:v>
      </x:c>
      <x:c r="E430" s="52" t="str">
        <x:v>API Platform Admin</x:v>
      </x:c>
      <x:c r="F430" s="52" t="str">
        <x:v>launch</x:v>
      </x:c>
      <x:c r="G430" s="52" t="str">
        <x:v>active</x:v>
      </x:c>
      <x:c r="H430" s="63" t="str">
        <x:v>Released IP allowlist.</x:v>
      </x:c>
      <x:c r="I430" s="63" t="str">
        <x:v>推出：IP allowlist .</x:v>
      </x:c>
      <x:c r="J430" s="63" t="str">
        <x:v>Released IP allowlist . IP allowlisting restricts API access to only the IP addresses or ranges you specify.</x:v>
      </x:c>
      <x:c r="K430" s="63" t="str">
        <x:v>推出：IP allowlist。OpenAI 將此列為 2025-10-01 的功能；重點涉及企業管理控制，模型、端點與參數名稱依官方英文保留。</x:v>
      </x:c>
      <x:c r="L430" s="52" t="str">
        <x:v>https://developers.openai.com/api/docs/changelog</x:v>
      </x:c>
      <x:c r="M430" s="52" t="str">
        <x:v>official_changelog</x:v>
      </x:c>
      <x:c r="N430" s="52" t="str">
        <x:v>complete</x:v>
      </x:c>
      <x:c r="O430" s="52" t="str">
        <x:v>high</x:v>
      </x:c>
      <x:c r="P430" s="60" t="n">
        <x:v>3</x:v>
      </x:c>
      <x:c r="Q430" s="52" t="str">
        <x:v>admin | enterprise | feature</x:v>
      </x:c>
    </x:row>
    <x:row r="431" ht="38" customHeight="1">
      <x:c r="A431" s="57" t="n">
        <x:v>45933</x:v>
      </x:c>
      <x:c r="B431" s="52" t="str">
        <x:v>model-release-notes</x:v>
      </x:c>
      <x:c r="C431" s="52" t="str">
        <x:v>Model Release Notes</x:v>
      </x:c>
      <x:c r="D431" s="52" t="str">
        <x:v>models_reasoning</x:v>
      </x:c>
      <x:c r="E431" s="52" t="str">
        <x:v>GPT-5</x:v>
      </x:c>
      <x:c r="F431" s="52" t="str">
        <x:v>model_update</x:v>
      </x:c>
      <x:c r="G431" s="52" t="str">
        <x:v>active</x:v>
      </x:c>
      <x:c r="H431" s="63" t="str">
        <x:v>Updating GPT-5</x:v>
      </x:c>
      <x:c r="I431" s="63" t="str">
        <x:v>模型更新：Updating GPT-5</x:v>
      </x:c>
      <x:c r="J431" s="63" t="str">
        <x:v>We’re updating GPT-5 Instant to better recognize and support people in moments of distress. The model is trained to more accurately detect and respond to potential signs of mental and emotional distress. These updates were guided by mental health experts, and help ChatGPT de-escalate conversations and point people to real-world crisis resources when appropriate, while still using language that feels supportive and grounding.</x:v>
      </x:c>
      <x:c r="K431" s="63" t="str">
        <x:v>OpenAI 於 2025-10-03 為 GPT-5 更新模型或體驗；此節點依官方發布記錄整理，完整能力、適用方案與限制請見來源。</x:v>
      </x:c>
      <x:c r="L431" s="52" t="str">
        <x:v>https://help.openai.com/en/articles/9624314-model-release-notes</x:v>
      </x:c>
      <x:c r="M431" s="52" t="str">
        <x:v>help_center_release_notes</x:v>
      </x:c>
      <x:c r="N431" s="52" t="str">
        <x:v>parsed</x:v>
      </x:c>
      <x:c r="O431" s="52" t="str">
        <x:v>high</x:v>
      </x:c>
      <x:c r="P431" s="60" t="n">
        <x:v>0</x:v>
      </x:c>
      <x:c r="Q431" s="52" t="str"/>
    </x:row>
    <x:row r="432" ht="38" customHeight="1">
      <x:c r="A432" s="57" t="n">
        <x:v>45936</x:v>
      </x:c>
      <x:c r="B432" s="52" t="str">
        <x:v>lane-codex-is-now-generally-available</x:v>
      </x:c>
      <x:c r="C432" s="52" t="str">
        <x:v>Codex is now generally available</x:v>
      </x:c>
      <x:c r="D432" s="52" t="str">
        <x:v>agents_research</x:v>
      </x:c>
      <x:c r="E432" s="52" t="str">
        <x:v>Codex</x:v>
      </x:c>
      <x:c r="F432" s="52" t="str">
        <x:v>availability</x:v>
      </x:c>
      <x:c r="G432" s="52" t="str">
        <x:v>general_availability</x:v>
      </x:c>
      <x:c r="H432" s="63" t="str">
        <x:v>Codex cloud agent becomes generally available</x:v>
      </x:c>
      <x:c r="I432" s="63" t="str">
        <x:v>Codex 雲端代理正式推出</x:v>
      </x:c>
      <x:c r="J432" s="63" t="str">
        <x:v>OpenAI moved the Codex cloud agent out of research preview and into general availability, alongside Slack and Codex SDK integrations and expanded admin controls.</x:v>
      </x:c>
      <x:c r="K432" s="63" t="str">
        <x:v>OpenAI 將 Codex 雲端代理從研究預覽版轉為正式版，同時整合了 Slack 和 Codex SDK，並擴展了管理員控制功能。</x:v>
      </x:c>
      <x:c r="L432" s="52" t="str">
        <x:v>https://openai.com/index/codex-now-generally-available/</x:v>
      </x:c>
      <x:c r="M432" s="52" t="str">
        <x:v>official_launch_post</x:v>
      </x:c>
      <x:c r="N432" s="52" t="str">
        <x:v>complete</x:v>
      </x:c>
      <x:c r="O432" s="52" t="str">
        <x:v>high</x:v>
      </x:c>
      <x:c r="P432" s="60" t="n">
        <x:v>3</x:v>
      </x:c>
      <x:c r="Q432" s="52" t="str">
        <x:v>2025 | agents-research | availability | codex</x:v>
      </x:c>
    </x:row>
    <x:row r="433" ht="38" customHeight="1">
      <x:c r="A433" s="57" t="n">
        <x:v>45936</x:v>
      </x:c>
      <x:c r="B433" s="52" t="str">
        <x:v>codex-changelog</x:v>
      </x:c>
      <x:c r="C433" s="52" t="str">
        <x:v>Codex Changelog</x:v>
      </x:c>
      <x:c r="D433" s="52" t="str">
        <x:v>agents_research</x:v>
      </x:c>
      <x:c r="E433" s="52" t="str">
        <x:v>Codex</x:v>
      </x:c>
      <x:c r="F433" s="52" t="str">
        <x:v>availability</x:v>
      </x:c>
      <x:c r="G433" s="52" t="str">
        <x:v>general_availability</x:v>
      </x:c>
      <x:c r="H433" s="63" t="str">
        <x:v>Codex is now GA</x:v>
      </x:c>
      <x:c r="I433" s="63" t="str">
        <x:v>Codex is now GA 更新</x:v>
      </x:c>
      <x:c r="J433" s="63" t="str">
        <x:v>Codex is now generally available with 3 new features — @Codex in Slack, Codex SDK, and new admin tools. @Codex in Slack You can now questions and assign tasks to Codex directly from Slack. See the Slack guide to get started. Codex SDK Integrate the same agent that powers the Codex CLI inside your own tools and workflows with the Codex SDK in Typescript. With the new Codex GitHub Action, you can easily add Codex to CI/CD workflows. Se…</x:v>
      </x:c>
      <x:c r="K433" s="63" t="str">
        <x:v>Codex Changelog 在 2025-10-06 記錄了Codex 編碼代理、代理與工具調用、企業管理控制相關更新；完整版本與修正內容見官方英文摘要。</x:v>
      </x:c>
      <x:c r="L433" s="52" t="str">
        <x:v>https://developers.openai.com/codex/changelog/</x:v>
      </x:c>
      <x:c r="M433" s="52" t="str">
        <x:v>developer_changelog</x:v>
      </x:c>
      <x:c r="N433" s="52" t="str">
        <x:v>complete</x:v>
      </x:c>
      <x:c r="O433" s="52" t="str">
        <x:v>high</x:v>
      </x:c>
      <x:c r="P433" s="60" t="n">
        <x:v>5</x:v>
      </x:c>
      <x:c r="Q433" s="52" t="str">
        <x:v>codex | release-notes</x:v>
      </x:c>
    </x:row>
    <x:row r="434" ht="38" customHeight="1">
      <x:c r="A434" s="57" t="n">
        <x:v>45936</x:v>
      </x:c>
      <x:c r="B434" s="52" t="str">
        <x:v>lane-introducing-apps-in-chatgpt-and-the-new-apps-sdk</x:v>
      </x:c>
      <x:c r="C434" s="52" t="str">
        <x:v>Introducing apps in ChatGPT and the new Apps SDK</x:v>
      </x:c>
      <x:c r="D434" s="52" t="str">
        <x:v>developer_platform</x:v>
      </x:c>
      <x:c r="E434" s="52" t="str">
        <x:v>Apps &amp; Connectors</x:v>
      </x:c>
      <x:c r="F434" s="52" t="str">
        <x:v>launch</x:v>
      </x:c>
      <x:c r="G434" s="52" t="str">
        <x:v>active</x:v>
      </x:c>
      <x:c r="H434" s="63" t="str">
        <x:v>Introducing apps in ChatGPT</x:v>
      </x:c>
      <x:c r="I434" s="63" t="str">
        <x:v>推出 ChatGPT 中的應用程式</x:v>
      </x:c>
      <x:c r="J434" s="63" t="str">
        <x:v>OpenAI launched conversational apps inside ChatGPT with an initial partner set and released the Apps SDK in preview for developers to build interactive in-chat experiences.</x:v>
      </x:c>
      <x:c r="K434" s="63" t="str">
        <x:v>OpenAI 在 ChatGPT 中推出了對話式應用程式，並初步與合作夥伴合作，同時為開發者釋出 Apps SDK 預覽版，以建構互動式的對話體驗。</x:v>
      </x:c>
      <x:c r="L434" s="52" t="str">
        <x:v>https://openai.com/index/introducing-apps-in-chatgpt/</x:v>
      </x:c>
      <x:c r="M434" s="52" t="str">
        <x:v>official_launch_post</x:v>
      </x:c>
      <x:c r="N434" s="52" t="str">
        <x:v>complete</x:v>
      </x:c>
      <x:c r="O434" s="52" t="str">
        <x:v>high</x:v>
      </x:c>
      <x:c r="P434" s="60" t="n">
        <x:v>5</x:v>
      </x:c>
      <x:c r="Q434" s="52" t="str">
        <x:v>2025 | apps-connectors | developer-platform | launch</x:v>
      </x:c>
    </x:row>
    <x:row r="435" ht="38" customHeight="1">
      <x:c r="A435" s="57" t="n">
        <x:v>45936</x:v>
      </x:c>
      <x:c r="B435" s="52" t="str">
        <x:v>lane-openai-api-changelog</x:v>
      </x:c>
      <x:c r="C435" s="52" t="str">
        <x:v>OpenAI API Changelog</x:v>
      </x:c>
      <x:c r="D435" s="52" t="str">
        <x:v>models_reasoning</x:v>
      </x:c>
      <x:c r="E435" s="52" t="str">
        <x:v>Model Platform</x:v>
      </x:c>
      <x:c r="F435" s="52" t="str">
        <x:v>model_release</x:v>
      </x:c>
      <x:c r="G435" s="52" t="str">
        <x:v>active</x:v>
      </x:c>
      <x:c r="H435" s="63" t="str">
        <x:v>Released several new features at OpenAI DevDay</x:v>
      </x:c>
      <x:c r="I435" s="63" t="str">
        <x:v>OpenAI DevDay API 與代理平台更新</x:v>
      </x:c>
      <x:c r="J435" s="63" t="str">
        <x:v>Released several new features at OpenAI DevDay : Released GPT-5 Pro , a version of GPT-5 that uses more compute to think harder and provide consistently better answers. Released GPT-Realtime mini and gpt-audio-mini for more cost-efficient speech to speech performance. Released gpt-image-1-mini for more cost-efficient image generation and editing. Launched v1/videos for rich, detailed, and dynamic video generation and remixing with ou…</x:v>
      </x:c>
      <x:c r="K435" s="63" t="str">
        <x:v>OpenAI DevDay API 與代理平台更新。OpenAI 將此列為 2025-10-06 的功能；重點涉及代理與工具調用、即時語音與音訊、圖像與影片，模型、端點與參數名稱依官方英文保留。</x:v>
      </x:c>
      <x:c r="L435" s="52" t="str">
        <x:v>https://developers.openai.com/api/docs/changelog</x:v>
      </x:c>
      <x:c r="M435" s="52" t="str">
        <x:v>official_changelog</x:v>
      </x:c>
      <x:c r="N435" s="52" t="str">
        <x:v>complete</x:v>
      </x:c>
      <x:c r="O435" s="52" t="str">
        <x:v>high</x:v>
      </x:c>
      <x:c r="P435" s="60" t="n">
        <x:v>4</x:v>
      </x:c>
      <x:c r="Q435" s="52" t="str">
        <x:v>api | feature | models</x:v>
      </x:c>
    </x:row>
    <x:row r="436" ht="38" customHeight="1">
      <x:c r="A436" s="57" t="n">
        <x:v>45936</x:v>
      </x:c>
      <x:c r="B436" s="52" t="str">
        <x:v>chatgpt-release-notes</x:v>
      </x:c>
      <x:c r="C436" s="52" t="str">
        <x:v>ChatGPT — Release Notes</x:v>
      </x:c>
      <x:c r="D436" s="52" t="str">
        <x:v>agents_research</x:v>
      </x:c>
      <x:c r="E436" s="52" t="str">
        <x:v>Codex</x:v>
      </x:c>
      <x:c r="F436" s="52" t="str">
        <x:v>feature</x:v>
      </x:c>
      <x:c r="G436" s="52" t="str">
        <x:v>active</x:v>
      </x:c>
      <x:c r="H436" s="63" t="str">
        <x:v>Updates to Codex</x:v>
      </x:c>
      <x:c r="I436" s="63" t="str">
        <x:v>Codex 更新</x:v>
      </x:c>
      <x:c r="J436" s="63" t="str">
        <x:v>We’re rolling out new Codex capabilities to help teams work and build better: Codex now works in Slack, and supports programmatic control through the Codex SDK. Additionally, we've updated Codex rates. For more information, review our Help Center article on Codex, and the Codex developer documentation.</x:v>
      </x:c>
      <x:c r="K436" s="63" t="str">
        <x:v>我們正在推出新的 Codex 功能，以協助團隊更有效地工作和開發：Codex 現在可在 Slack 中運作，並透過 Codex SDK 支援程式化控制。此外，我們更新了 Codex 費率。欲了解更多資訊，請查看我們說明中心關於 Codex 的文章以及 Codex 開發者文件。</x:v>
      </x:c>
      <x:c r="L436" s="52" t="str">
        <x:v>https://help.openai.com/en/articles/6825453-chatgpt-release-notes</x:v>
      </x:c>
      <x:c r="M436" s="52" t="str">
        <x:v>help_center_release_notes</x:v>
      </x:c>
      <x:c r="N436" s="52" t="str">
        <x:v>complete</x:v>
      </x:c>
      <x:c r="O436" s="52" t="str">
        <x:v>high</x:v>
      </x:c>
      <x:c r="P436" s="60" t="n">
        <x:v>3</x:v>
      </x:c>
      <x:c r="Q436" s="52" t="str">
        <x:v>2025 | agents-research | codex | feature</x:v>
      </x:c>
    </x:row>
    <x:row r="437" ht="38" customHeight="1">
      <x:c r="A437" s="57" t="n">
        <x:v>45938</x:v>
      </x:c>
      <x:c r="B437" s="52" t="str">
        <x:v>chatgpt-release-notes</x:v>
      </x:c>
      <x:c r="C437" s="52" t="str">
        <x:v>ChatGPT — Release Notes</x:v>
      </x:c>
      <x:c r="D437" s="52" t="str">
        <x:v>chatgpt_core</x:v>
      </x:c>
      <x:c r="E437" s="52" t="str">
        <x:v>ChatGPT Images</x:v>
      </x:c>
      <x:c r="F437" s="52" t="str">
        <x:v>availability</x:v>
      </x:c>
      <x:c r="G437" s="52" t="str">
        <x:v>active</x:v>
      </x:c>
      <x:c r="H437" s="63" t="str">
        <x:v>ChatGPT Go expansion</x:v>
      </x:c>
      <x:c r="I437" s="63" t="str">
        <x:v>ChatGPT Go 擴展</x:v>
      </x:c>
      <x:c r="J437" s="63" t="str">
        <x:v>We're excited to announce that ChatGPT Go, our low cost subscription plan, is now available in 16 additional countries. For an affordable price, ChatGPT Go provides everything included in the Free plan, and: More messages, larger file uploads, and expanded image generation Access to advanced data analysis Longer memory for more personalized responses Available on web, mobile (iOS &amp; Android), and desktop (macOS &amp; Windows). Note: In Ca…</x:v>
      </x:c>
      <x:c r="K437" s="63" t="str">
        <x:v>我們宣佈，低成本訂閱方案 ChatGPT Go 現已在另外 16 個國家/地區推出。以實惠的價格，ChatGPT Go 提供免費方案包含的所有功能，以及：更多訊息量、更大的檔案上傳限制、擴展的影像生成、存取進階資料分析、更長的記憶功能以提供更個人化的回應…</x:v>
      </x:c>
      <x:c r="L437" s="52" t="str">
        <x:v>https://help.openai.com/en/articles/6825453-chatgpt-release-notes</x:v>
      </x:c>
      <x:c r="M437" s="52" t="str">
        <x:v>help_center_release_notes</x:v>
      </x:c>
      <x:c r="N437" s="52" t="str">
        <x:v>complete</x:v>
      </x:c>
      <x:c r="O437" s="52" t="str">
        <x:v>high</x:v>
      </x:c>
      <x:c r="P437" s="60" t="n">
        <x:v>3</x:v>
      </x:c>
      <x:c r="Q437" s="52" t="str">
        <x:v>2025 | availability | chatgpt-core | chatgpt-go</x:v>
      </x:c>
    </x:row>
    <x:row r="438" ht="38" customHeight="1">
      <x:c r="A438" s="57" t="n">
        <x:v>45939</x:v>
      </x:c>
      <x:c r="B438" s="52" t="str">
        <x:v>chatgpt-release-notes</x:v>
      </x:c>
      <x:c r="C438" s="52" t="str">
        <x:v>ChatGPT — Release Notes</x:v>
      </x:c>
      <x:c r="D438" s="52" t="str">
        <x:v>developer_platform</x:v>
      </x:c>
      <x:c r="E438" s="52" t="str">
        <x:v>Apps &amp; Connectors</x:v>
      </x:c>
      <x:c r="F438" s="52" t="str">
        <x:v>integration</x:v>
      </x:c>
      <x:c r="G438" s="52" t="str">
        <x:v>active</x:v>
      </x:c>
      <x:c r="H438" s="63" t="str">
        <x:v>Adding Notion &amp; Linear synced connectors</x:v>
      </x:c>
      <x:c r="I438" s="63" t="str">
        <x:v>新增 Notion 和 Linear 同步連接器</x:v>
      </x:c>
      <x:c r="J438" s="63" t="str">
        <x:v>We're adding Notion and Linear as synced connectors (for Pro users), so you can securely bring Notion pages and Linear issues/discussions into Chat for fast answers and summaries. You can enable sync for Notion and Linear from your Connector settings (connect to Notion or Linear if you haven’t already, first). Once synced, ChatGPT will automatically reference the indexed content when relevant. Learn more about synced connectors.</x:v>
      </x:c>
      <x:c r="K438" s="63" t="str">
        <x:v>我們新增了 Notion 和 Linear 作為同步連接器（適用於 Pro 用戶），讓您可以安全地將 Notion 頁面和 Linear 問題/討論匯入對話中，以獲取快速的解答和摘要。您可以從「連接器」設定中啟用 Notion 和 Linear 同步（若尚未連接，請先連接 Notion 或 Linear）。…</x:v>
      </x:c>
      <x:c r="L438" s="52" t="str">
        <x:v>https://help.openai.com/en/articles/6825453-chatgpt-release-notes</x:v>
      </x:c>
      <x:c r="M438" s="52" t="str">
        <x:v>help_center_release_notes</x:v>
      </x:c>
      <x:c r="N438" s="52" t="str">
        <x:v>complete</x:v>
      </x:c>
      <x:c r="O438" s="52" t="str">
        <x:v>high</x:v>
      </x:c>
      <x:c r="P438" s="60" t="n">
        <x:v>3</x:v>
      </x:c>
      <x:c r="Q438" s="52" t="str">
        <x:v>2025 | apps-connectors | developer-platform | integration</x:v>
      </x:c>
    </x:row>
    <x:row r="439" ht="38" customHeight="1">
      <x:c r="A439" s="57" t="n">
        <x:v>45943</x:v>
      </x:c>
      <x:c r="B439" s="52" t="str">
        <x:v>chatgpt-release-notes</x:v>
      </x:c>
      <x:c r="C439" s="52" t="str">
        <x:v>ChatGPT — Release Notes</x:v>
      </x:c>
      <x:c r="D439" s="52" t="str">
        <x:v>developer_platform</x:v>
      </x:c>
      <x:c r="E439" s="52" t="str">
        <x:v>Apps &amp; Connectors</x:v>
      </x:c>
      <x:c r="F439" s="52" t="str">
        <x:v>integration</x:v>
      </x:c>
      <x:c r="G439" s="52" t="str">
        <x:v>active</x:v>
      </x:c>
      <x:c r="H439" s="63" t="str">
        <x:v>Slack connector and app</x:v>
      </x:c>
      <x:c r="I439" s="63" t="str">
        <x:v>Slack 連接器與應用程式</x:v>
      </x:c>
      <x:c r="J439" s="63" t="str">
        <x:v>We’re rolling out two new ways to bring Slack and ChatGPT together: a connector that brings your Slack context into ChatGPT, and a ChatGPT app for Slack – an integration that enables you to chat with ChatGPT from inside Slack. With the ChatGPT app for Slack, you can chat one-on-one with ChatGPT in a dedicated Slack sidebar – a space to ask questions, summarize long threads into action items, draft replies, and search messages and fil…</x:v>
      </x:c>
      <x:c r="K439" s="63" t="str">
        <x:v>我們推出兩種將 Slack 與 ChatGPT 結合的新方式：一個可將您的 Slack 上下文匯入 ChatGPT 的連接器，以及一個 Slack 的 ChatGPT 應用程式——這項整合讓您能在 Slack 內部與 ChatGPT 對話。…</x:v>
      </x:c>
      <x:c r="L439" s="52" t="str">
        <x:v>https://help.openai.com/en/articles/6825453-chatgpt-release-notes</x:v>
      </x:c>
      <x:c r="M439" s="52" t="str">
        <x:v>help_center_release_notes</x:v>
      </x:c>
      <x:c r="N439" s="52" t="str">
        <x:v>complete</x:v>
      </x:c>
      <x:c r="O439" s="52" t="str">
        <x:v>high</x:v>
      </x:c>
      <x:c r="P439" s="60" t="n">
        <x:v>3</x:v>
      </x:c>
      <x:c r="Q439" s="52" t="str">
        <x:v>2025 | apps-connectors | developer-platform | integration</x:v>
      </x:c>
    </x:row>
    <x:row r="440" ht="38" customHeight="1">
      <x:c r="A440" s="57" t="n">
        <x:v>45944</x:v>
      </x:c>
      <x:c r="B440" s="52" t="str">
        <x:v>chatgpt-release-notes</x:v>
      </x:c>
      <x:c r="C440" s="52" t="str">
        <x:v>ChatGPT — Release Notes</x:v>
      </x:c>
      <x:c r="D440" s="52" t="str">
        <x:v>chatgpt_core</x:v>
      </x:c>
      <x:c r="E440" s="52" t="str">
        <x:v>ChatGPT Go</x:v>
      </x:c>
      <x:c r="F440" s="52" t="str">
        <x:v>availability</x:v>
      </x:c>
      <x:c r="G440" s="52" t="str">
        <x:v>active</x:v>
      </x:c>
      <x:c r="H440" s="63" t="str">
        <x:v>ChatGPT Go expansion</x:v>
      </x:c>
      <x:c r="I440" s="63" t="str">
        <x:v>ChatGPT Go 擴展</x:v>
      </x:c>
      <x:c r="J440" s="63" t="str">
        <x:v>We're excited to announce that ChatGPT Go, our low cost subscription plan, is now available in 71 additional countries, bringing total coverage to 89 countries. For an affordable price, ChatGPT Go provides everything included in the Free plan, and: More messages, larger file uploads, and expanded image generation Access to advanced data analysis Longer memory for more personalized responses Available on web, mobile (iOS &amp; Android), a…</x:v>
      </x:c>
      <x:c r="K440" s="63" t="str">
        <x:v>OpenAI 於 2025-10-14 為 ChatGPT 調整方案、額度或計費；此節點依官方發布記錄整理，完整能力、適用方案與限制請見來源。</x:v>
      </x:c>
      <x:c r="L440" s="52" t="str">
        <x:v>https://help.openai.com/en/articles/6825453-chatgpt-release-notes</x:v>
      </x:c>
      <x:c r="M440" s="52" t="str">
        <x:v>help_center_release_notes</x:v>
      </x:c>
      <x:c r="N440" s="52" t="str">
        <x:v>complete</x:v>
      </x:c>
      <x:c r="O440" s="52" t="str">
        <x:v>high</x:v>
      </x:c>
      <x:c r="P440" s="60" t="n">
        <x:v>3</x:v>
      </x:c>
      <x:c r="Q440" s="52" t="str">
        <x:v>2025 | availability | chatgpt-core | chatgpt-go</x:v>
      </x:c>
    </x:row>
    <x:row r="441" ht="38" customHeight="1">
      <x:c r="A441" s="57" t="n">
        <x:v>45945</x:v>
      </x:c>
      <x:c r="B441" s="52" t="str">
        <x:v>chatgpt-release-notes</x:v>
      </x:c>
      <x:c r="C441" s="52" t="str">
        <x:v>ChatGPT — Release Notes</x:v>
      </x:c>
      <x:c r="D441" s="52" t="str">
        <x:v>chatgpt_core</x:v>
      </x:c>
      <x:c r="E441" s="52" t="str">
        <x:v>ChatGPT Search</x:v>
      </x:c>
      <x:c r="F441" s="52" t="str">
        <x:v>feature</x:v>
      </x:c>
      <x:c r="G441" s="52" t="str">
        <x:v>active</x:v>
      </x:c>
      <x:c r="H441" s="63" t="str">
        <x:v>ChatGPT can now automatically manage saved memories so it’s even better at remembering what’s important to you.</x:v>
      </x:c>
      <x:c r="I441" s="63" t="str">
        <x:v>ChatGPT 現在可以自動管理已儲存的記憶，因此它能更有效地記住對您重要的事項。</x:v>
      </x:c>
      <x:c r="J441" s="63" t="str">
        <x:v>ChatGPT now manages saved memories automatically by keeping the most relevant details prioritized and moving less important ones to the background. This helps prevent saved memories from reaching capacity and helps avoid “memory full” state in your ChatGPT account. To decide which memories stay top of mind, ChatGPT considers factors such as how recent a detail is and how often you talk about a topic. You can now also search your save…</x:v>
      </x:c>
      <x:c r="K441" s="63" t="str">
        <x:v>ChatGPT 現在透過將最相關的詳細資訊保持在優先位置並將較不重要的資訊移至背景，來自動管理已儲存的記憶。這有助於防止已儲存的記憶達到容量上限，並避免 ChatGPT 帳戶出現「記憶體已滿」的狀態。…</x:v>
      </x:c>
      <x:c r="L441" s="52" t="str">
        <x:v>https://help.openai.com/en/articles/6825453-chatgpt-release-notes</x:v>
      </x:c>
      <x:c r="M441" s="52" t="str">
        <x:v>help_center_release_notes</x:v>
      </x:c>
      <x:c r="N441" s="52" t="str">
        <x:v>complete</x:v>
      </x:c>
      <x:c r="O441" s="52" t="str">
        <x:v>high</x:v>
      </x:c>
      <x:c r="P441" s="60" t="n">
        <x:v>3</x:v>
      </x:c>
      <x:c r="Q441" s="52" t="str">
        <x:v>2025 | chatgpt-core | feature | memory</x:v>
      </x:c>
    </x:row>
    <x:row r="442" ht="38" customHeight="1">
      <x:c r="A442" s="57" t="n">
        <x:v>45951</x:v>
      </x:c>
      <x:c r="B442" s="52" t="str">
        <x:v>lane-introducing-chatgpt-atlas</x:v>
      </x:c>
      <x:c r="C442" s="52" t="str">
        <x:v>Introducing ChatGPT Atlas</x:v>
      </x:c>
      <x:c r="D442" s="52" t="str">
        <x:v>clients_surfaces</x:v>
      </x:c>
      <x:c r="E442" s="52" t="str">
        <x:v>ChatGPT Atlas</x:v>
      </x:c>
      <x:c r="F442" s="52" t="str">
        <x:v>launch</x:v>
      </x:c>
      <x:c r="G442" s="52" t="str">
        <x:v>active</x:v>
      </x:c>
      <x:c r="H442" s="63" t="str">
        <x:v>Introducing ChatGPT Atlas</x:v>
      </x:c>
      <x:c r="I442" s="63" t="str">
        <x:v>推出 ChatGPT Atlas</x:v>
      </x:c>
      <x:c r="J442" s="63" t="str">
        <x:v>OpenAI launched ChatGPT Atlas, a macOS browser with ChatGPT, optional browser memories, an Ask ChatGPT sidebar, and an agent-mode preview for eligible paid users.</x:v>
      </x:c>
      <x:c r="K442" s="63" t="str">
        <x:v>OpenAI 推出 ChatGPT Atlas，這是一款具備 ChatGPT、選用瀏覽器記憶功能、詢問 ChatGPT 側邊欄以及代理模式預覽功能的 macOS 瀏覽器，適用於符合資格的付費使用者。</x:v>
      </x:c>
      <x:c r="L442" s="52" t="str">
        <x:v>https://openai.com/index/introducing-chatgpt-atlas/</x:v>
      </x:c>
      <x:c r="M442" s="52" t="str">
        <x:v>official_launch_post</x:v>
      </x:c>
      <x:c r="N442" s="52" t="str">
        <x:v>complete</x:v>
      </x:c>
      <x:c r="O442" s="52" t="str">
        <x:v>high</x:v>
      </x:c>
      <x:c r="P442" s="60" t="n">
        <x:v>5</x:v>
      </x:c>
      <x:c r="Q442" s="52" t="str">
        <x:v>2025 | chatgpt-atlas | clients-surfaces | launch | agent | atlas | browser</x:v>
      </x:c>
    </x:row>
    <x:row r="443" ht="38" customHeight="1">
      <x:c r="A443" s="57" t="n">
        <x:v>45952</x:v>
      </x:c>
      <x:c r="B443" s="52" t="str">
        <x:v>codex-changelog</x:v>
      </x:c>
      <x:c r="C443" s="52" t="str">
        <x:v>Codex Changelog</x:v>
      </x:c>
      <x:c r="D443" s="52" t="str">
        <x:v>agents_research</x:v>
      </x:c>
      <x:c r="E443" s="52" t="str">
        <x:v>Codex</x:v>
      </x:c>
      <x:c r="F443" s="52" t="str">
        <x:v>feature</x:v>
      </x:c>
      <x:c r="G443" s="52" t="str">
        <x:v>active</x:v>
      </x:c>
      <x:c r="H443" s="63" t="str">
        <x:v>Tag @Codex on GitHub Issues and PRs</x:v>
      </x:c>
      <x:c r="I443" s="63" t="str">
        <x:v>功能更新：Codex</x:v>
      </x:c>
      <x:c r="J443" s="63" t="str">
        <x:v>You can now tag @codex on a teammate’s pull request to ask clarifying questions, request a follow-up, or ask Codex to make changes. GitHub Issues now also support @codex mentions, so you can kick off tasks from any issue, without leaving your workflow.</x:v>
      </x:c>
      <x:c r="K443" s="63" t="str">
        <x:v>Codex Changelog 在 2025-10-22 記錄了Codex 編碼代理相關更新；完整版本與修正內容見官方英文摘要。</x:v>
      </x:c>
      <x:c r="L443" s="52" t="str">
        <x:v>https://developers.openai.com/codex/changelog/</x:v>
      </x:c>
      <x:c r="M443" s="52" t="str">
        <x:v>developer_changelog</x:v>
      </x:c>
      <x:c r="N443" s="52" t="str">
        <x:v>complete</x:v>
      </x:c>
      <x:c r="O443" s="52" t="str">
        <x:v>high</x:v>
      </x:c>
      <x:c r="P443" s="60" t="n">
        <x:v>2</x:v>
      </x:c>
      <x:c r="Q443" s="52" t="str">
        <x:v>codex | release-notes</x:v>
      </x:c>
    </x:row>
    <x:row r="444" ht="38" customHeight="1">
      <x:c r="A444" s="57" t="n">
        <x:v>45953</x:v>
      </x:c>
      <x:c r="B444" s="52" t="str">
        <x:v>atlas-release-notes</x:v>
      </x:c>
      <x:c r="C444" s="52" t="str">
        <x:v>ChatGPT Atlas — Release Notes</x:v>
      </x:c>
      <x:c r="D444" s="52" t="str">
        <x:v>clients_surfaces</x:v>
      </x:c>
      <x:c r="E444" s="52" t="str">
        <x:v>ChatGPT Atlas</x:v>
      </x:c>
      <x:c r="F444" s="52" t="str">
        <x:v>model_update</x:v>
      </x:c>
      <x:c r="G444" s="52" t="str">
        <x:v>active</x:v>
      </x:c>
      <x:c r="H444" s="63" t="str">
        <x:v>Atlas IME input and history deletion</x:v>
      </x:c>
      <x:c r="I444" s="63" t="str">
        <x:v>Atlas 輸入法與歷史刪除改善</x:v>
      </x:c>
      <x:c r="J444" s="63" t="str">
        <x:v>Atlas fixed Korean and Japanese IME composition and added confirmation before deleting chat history.</x:v>
      </x:c>
      <x:c r="K444" s="63" t="str">
        <x:v>Atlas 修正韓文與日文輸入法組字，並在刪除聊天記錄前加入確認。</x:v>
      </x:c>
      <x:c r="L444" s="52" t="str">
        <x:v>https://help.openai.com/en/articles/12591856-chatgpt-atlas-release-notes</x:v>
      </x:c>
      <x:c r="M444" s="52" t="str">
        <x:v>help_center_release_notes</x:v>
      </x:c>
      <x:c r="N444" s="52" t="str">
        <x:v>parsed</x:v>
      </x:c>
      <x:c r="O444" s="52" t="str">
        <x:v>high</x:v>
      </x:c>
      <x:c r="P444" s="60" t="n">
        <x:v>1</x:v>
      </x:c>
      <x:c r="Q444" s="52" t="str">
        <x:v>atlas | fix</x:v>
      </x:c>
    </x:row>
    <x:row r="445" ht="38" customHeight="1">
      <x:c r="A445" s="57" t="n">
        <x:v>45954</x:v>
      </x:c>
      <x:c r="B445" s="52" t="str">
        <x:v>api-changelog</x:v>
      </x:c>
      <x:c r="C445" s="52" t="str">
        <x:v>OpenAI API Changelog</x:v>
      </x:c>
      <x:c r="D445" s="52" t="str">
        <x:v>enterprise_vertical</x:v>
      </x:c>
      <x:c r="E445" s="52" t="str">
        <x:v>ChatGPT Enterprise &amp; Edu</x:v>
      </x:c>
      <x:c r="F445" s="52" t="str">
        <x:v>launch</x:v>
      </x:c>
      <x:c r="G445" s="52" t="str">
        <x:v>active</x:v>
      </x:c>
      <x:c r="H445" s="63" t="str">
        <x:v>Released Enterprise Key Management (EKM).</x:v>
      </x:c>
      <x:c r="I445" s="63" t="str">
        <x:v>發布Enterprise Key Management (EKM).</x:v>
      </x:c>
      <x:c r="J445" s="63" t="str">
        <x:v>Released Enterprise Key Management (EKM). Enterprise Key Management (EKM) allows you to encrypt your customer content at OpenAI using keys managed by your own external Key Management System (KMS).</x:v>
      </x:c>
      <x:c r="K445" s="63" t="str">
        <x:v>OpenAI 於 2025-10-24 為 ChatGPT Enterprise &amp; Edu 推出新產品或能力；此節點依官方發布記錄整理，完整能力、適用方案與限制請見來源。</x:v>
      </x:c>
      <x:c r="L445" s="52" t="str">
        <x:v>https://platform.openai.com/docs/changelog</x:v>
      </x:c>
      <x:c r="M445" s="52" t="str">
        <x:v>developer_changelog</x:v>
      </x:c>
      <x:c r="N445" s="52" t="str">
        <x:v>parsed</x:v>
      </x:c>
      <x:c r="O445" s="52" t="str">
        <x:v>high</x:v>
      </x:c>
      <x:c r="P445" s="60" t="n">
        <x:v>0</x:v>
      </x:c>
      <x:c r="Q445" s="52" t="str"/>
    </x:row>
    <x:row r="446" ht="38" customHeight="1">
      <x:c r="A446" s="57" t="n">
        <x:v>45954</x:v>
      </x:c>
      <x:c r="B446" s="52" t="str">
        <x:v>lane-openai-api-changelog</x:v>
      </x:c>
      <x:c r="C446" s="52" t="str">
        <x:v>OpenAI API Changelog</x:v>
      </x:c>
      <x:c r="D446" s="52" t="str">
        <x:v>developer_platform</x:v>
      </x:c>
      <x:c r="E446" s="52" t="str">
        <x:v>OpenAI API Platform</x:v>
      </x:c>
      <x:c r="F446" s="52" t="str">
        <x:v>launch</x:v>
      </x:c>
      <x:c r="G446" s="52" t="str">
        <x:v>active</x:v>
      </x:c>
      <x:c r="H446" s="63" t="str">
        <x:v>Released Enterprise Key Management (EKM).</x:v>
      </x:c>
      <x:c r="I446" s="63" t="str">
        <x:v>推出 Enterprise Key Management</x:v>
      </x:c>
      <x:c r="J446" s="63" t="str">
        <x:v>Released Enterprise Key Management (EKM) . Enterprise Key Management (EKM) allows you to encrypt your customer content at OpenAI using keys managed by your own external Key Management System (KMS).</x:v>
      </x:c>
      <x:c r="K446" s="63" t="str">
        <x:v>推出 Enterprise Key Management。OpenAI 將此列為 2025-10-24 的功能；重點涉及平台功能與可用性，模型、端點與參數名稱依官方英文保留。</x:v>
      </x:c>
      <x:c r="L446" s="52" t="str">
        <x:v>https://developers.openai.com/api/docs/changelog</x:v>
      </x:c>
      <x:c r="M446" s="52" t="str">
        <x:v>official_changelog</x:v>
      </x:c>
      <x:c r="N446" s="52" t="str">
        <x:v>complete</x:v>
      </x:c>
      <x:c r="O446" s="52" t="str">
        <x:v>high</x:v>
      </x:c>
      <x:c r="P446" s="60" t="n">
        <x:v>3</x:v>
      </x:c>
      <x:c r="Q446" s="52" t="str">
        <x:v>api-platform | feature</x:v>
      </x:c>
    </x:row>
    <x:row r="447" ht="38" customHeight="1">
      <x:c r="A447" s="57" t="n">
        <x:v>45954</x:v>
      </x:c>
      <x:c r="B447" s="52" t="str">
        <x:v>lane-openai-api-changelog</x:v>
      </x:c>
      <x:c r="C447" s="52" t="str">
        <x:v>OpenAI API Changelog</x:v>
      </x:c>
      <x:c r="D447" s="52" t="str">
        <x:v>enterprise_vertical</x:v>
      </x:c>
      <x:c r="E447" s="52" t="str">
        <x:v>API Platform Admin</x:v>
      </x:c>
      <x:c r="F447" s="52" t="str">
        <x:v>launch</x:v>
      </x:c>
      <x:c r="G447" s="52" t="str">
        <x:v>active</x:v>
      </x:c>
      <x:c r="H447" s="63" t="str">
        <x:v>Released UK data residency.</x:v>
      </x:c>
      <x:c r="I447" s="63" t="str">
        <x:v>推出：UK data residency .</x:v>
      </x:c>
      <x:c r="J447" s="63" t="str">
        <x:v>Released UK data residency .</x:v>
      </x:c>
      <x:c r="K447" s="63" t="str">
        <x:v>推出：UK data residency。OpenAI 將此列為 2025-10-24 的功能；重點涉及企業管理控制，模型、端點與參數名稱依官方英文保留。</x:v>
      </x:c>
      <x:c r="L447" s="52" t="str">
        <x:v>https://developers.openai.com/api/docs/changelog</x:v>
      </x:c>
      <x:c r="M447" s="52" t="str">
        <x:v>official_changelog</x:v>
      </x:c>
      <x:c r="N447" s="52" t="str">
        <x:v>complete</x:v>
      </x:c>
      <x:c r="O447" s="52" t="str">
        <x:v>high</x:v>
      </x:c>
      <x:c r="P447" s="60" t="n">
        <x:v>3</x:v>
      </x:c>
      <x:c r="Q447" s="52" t="str">
        <x:v>admin | enterprise | feature</x:v>
      </x:c>
    </x:row>
    <x:row r="448" ht="38" customHeight="1">
      <x:c r="A448" s="57" t="n">
        <x:v>45957</x:v>
      </x:c>
      <x:c r="B448" s="52" t="str">
        <x:v>model-release-notes</x:v>
      </x:c>
      <x:c r="C448" s="52" t="str">
        <x:v>Model Release Notes</x:v>
      </x:c>
      <x:c r="D448" s="52" t="str">
        <x:v>models_reasoning</x:v>
      </x:c>
      <x:c r="E448" s="52" t="str">
        <x:v>ChatGPT</x:v>
      </x:c>
      <x:c r="F448" s="52" t="str">
        <x:v>safety</x:v>
      </x:c>
      <x:c r="G448" s="52" t="str">
        <x:v>active</x:v>
      </x:c>
      <x:c r="H448" s="63" t="str">
        <x:v>Updates to the OpenAI Model Spec</x:v>
      </x:c>
      <x:c r="I448" s="63" t="str">
        <x:v>更新：the OpenAI Model Spec</x:v>
      </x:c>
      <x:c r="J448" s="63" t="str">
        <x:v>We’ve updated the Model Spec, our living document outlining intended model behavior, to strengthen guidance for supporting people’s well-being and clarify how models handle instructions in complex interactions. Expanded mental health and well-being guidance</x:v>
      </x:c>
      <x:c r="K448" s="63" t="str">
        <x:v>OpenAI 於 2025-10-27 為 ChatGPT 更新安全與治理機制；此節點依官方發布記錄整理，完整能力、適用方案與限制請見來源。</x:v>
      </x:c>
      <x:c r="L448" s="52" t="str">
        <x:v>https://help.openai.com/en/articles/9624314-model-release-notes</x:v>
      </x:c>
      <x:c r="M448" s="52" t="str">
        <x:v>help_center_release_notes</x:v>
      </x:c>
      <x:c r="N448" s="52" t="str">
        <x:v>parsed</x:v>
      </x:c>
      <x:c r="O448" s="52" t="str">
        <x:v>high</x:v>
      </x:c>
      <x:c r="P448" s="60" t="n">
        <x:v>0</x:v>
      </x:c>
      <x:c r="Q448" s="52" t="str"/>
    </x:row>
    <x:row r="449" ht="38" customHeight="1">
      <x:c r="A449" s="57" t="n">
        <x:v>45958</x:v>
      </x:c>
      <x:c r="B449" s="52" t="str">
        <x:v>atlas-release-notes</x:v>
      </x:c>
      <x:c r="C449" s="52" t="str">
        <x:v>ChatGPT Atlas — Release Notes</x:v>
      </x:c>
      <x:c r="D449" s="52" t="str">
        <x:v>clients_surfaces</x:v>
      </x:c>
      <x:c r="E449" s="52" t="str">
        <x:v>ChatGPT Agent</x:v>
      </x:c>
      <x:c r="F449" s="52" t="str">
        <x:v>model_update</x:v>
      </x:c>
      <x:c r="G449" s="52" t="str">
        <x:v>active</x:v>
      </x:c>
      <x:c r="H449" s="63" t="str">
        <x:v>Agent</x:v>
      </x:c>
      <x:c r="I449" s="63" t="str">
        <x:v>模型更新：Agent</x:v>
      </x:c>
      <x:c r="J449" s="63" t="str">
        <x:v>Agent tasks now use an isolated clipboard separate from your clipboard. Improved reliability when pausing and resuming agent mode, and improved browser performance while paused.</x:v>
      </x:c>
      <x:c r="K449" s="63" t="str">
        <x:v>OpenAI 於 2025-10-28 為 ChatGPT Agent 更新模型或體驗；此節點依官方發布記錄整理，完整能力、適用方案與限制請見來源。</x:v>
      </x:c>
      <x:c r="L449" s="52" t="str">
        <x:v>https://help.openai.com/en/articles/12591856-chatgpt-atlas-release-notes</x:v>
      </x:c>
      <x:c r="M449" s="52" t="str">
        <x:v>help_center_release_notes</x:v>
      </x:c>
      <x:c r="N449" s="52" t="str">
        <x:v>parsed</x:v>
      </x:c>
      <x:c r="O449" s="52" t="str">
        <x:v>high</x:v>
      </x:c>
      <x:c r="P449" s="60" t="n">
        <x:v>0</x:v>
      </x:c>
      <x:c r="Q449" s="52" t="str"/>
    </x:row>
    <x:row r="450" ht="38" customHeight="1">
      <x:c r="A450" s="57" t="n">
        <x:v>45958</x:v>
      </x:c>
      <x:c r="B450" s="52" t="str">
        <x:v>atlas-release-notes</x:v>
      </x:c>
      <x:c r="C450" s="52" t="str">
        <x:v>ChatGPT Atlas — Release Notes</x:v>
      </x:c>
      <x:c r="D450" s="52" t="str">
        <x:v>clients_surfaces</x:v>
      </x:c>
      <x:c r="E450" s="52" t="str">
        <x:v>ChatGPT</x:v>
      </x:c>
      <x:c r="F450" s="52" t="str">
        <x:v>model_update</x:v>
      </x:c>
      <x:c r="G450" s="52" t="str">
        <x:v>active</x:v>
      </x:c>
      <x:c r="H450" s="63" t="str">
        <x:v>Ask ChatGPT sidebar</x:v>
      </x:c>
      <x:c r="I450" s="63" t="str">
        <x:v>模型更新：Ask ChatGPT sidebar</x:v>
      </x:c>
      <x:c r="J450" s="63" t="str">
        <x:v>Added a model picker Fixed an issue where the sidebar would not work on pages without a favicon.</x:v>
      </x:c>
      <x:c r="K450" s="63" t="str">
        <x:v>OpenAI 於 2025-10-28 為 ChatGPT 更新模型或體驗；此節點依官方發布記錄整理，完整能力、適用方案與限制請見來源。</x:v>
      </x:c>
      <x:c r="L450" s="52" t="str">
        <x:v>https://help.openai.com/en/articles/12591856-chatgpt-atlas-release-notes</x:v>
      </x:c>
      <x:c r="M450" s="52" t="str">
        <x:v>help_center_release_notes</x:v>
      </x:c>
      <x:c r="N450" s="52" t="str">
        <x:v>parsed</x:v>
      </x:c>
      <x:c r="O450" s="52" t="str">
        <x:v>high</x:v>
      </x:c>
      <x:c r="P450" s="60" t="n">
        <x:v>0</x:v>
      </x:c>
      <x:c r="Q450" s="52" t="str"/>
    </x:row>
    <x:row r="451" ht="38" customHeight="1">
      <x:c r="A451" s="57" t="n">
        <x:v>45958</x:v>
      </x:c>
      <x:c r="B451" s="52" t="str">
        <x:v>atlas-release-notes</x:v>
      </x:c>
      <x:c r="C451" s="52" t="str">
        <x:v>ChatGPT Atlas — Release Notes</x:v>
      </x:c>
      <x:c r="D451" s="52" t="str">
        <x:v>clients_surfaces</x:v>
      </x:c>
      <x:c r="E451" s="52" t="str">
        <x:v>ChatGPT Atlas</x:v>
      </x:c>
      <x:c r="F451" s="52" t="str">
        <x:v>model_update</x:v>
      </x:c>
      <x:c r="G451" s="52" t="str">
        <x:v>active</x:v>
      </x:c>
      <x:c r="H451" s="63" t="str">
        <x:v>Atlas extensions, login, Agent and UI fixes</x:v>
      </x:c>
      <x:c r="I451" s="63" t="str">
        <x:v>Atlas 擴充套件、登入與 Agent 改善</x:v>
      </x:c>
      <x:c r="J451" s="63" t="str">
        <x:v>Atlas improved extension compatibility and login, added a sidebar model picker, isolated the Agent clipboard, and improved pause/resume reliability.</x:v>
      </x:c>
      <x:c r="K451" s="63" t="str">
        <x:v>Atlas 改善擴充套件與登入，新增側欄模型選擇器、Agent 隔離剪貼簿，以及暫停/恢復可靠性。</x:v>
      </x:c>
      <x:c r="L451" s="52" t="str">
        <x:v>https://help.openai.com/en/articles/12591856-chatgpt-atlas-release-notes</x:v>
      </x:c>
      <x:c r="M451" s="52" t="str">
        <x:v>help_center_release_notes</x:v>
      </x:c>
      <x:c r="N451" s="52" t="str">
        <x:v>parsed</x:v>
      </x:c>
      <x:c r="O451" s="52" t="str">
        <x:v>high</x:v>
      </x:c>
      <x:c r="P451" s="60" t="n">
        <x:v>2</x:v>
      </x:c>
      <x:c r="Q451" s="52" t="str">
        <x:v>agent | atlas | extensions</x:v>
      </x:c>
    </x:row>
    <x:row r="452" ht="38" customHeight="1">
      <x:c r="A452" s="57" t="n">
        <x:v>45958</x:v>
      </x:c>
      <x:c r="B452" s="52" t="str">
        <x:v>atlas-release-notes</x:v>
      </x:c>
      <x:c r="C452" s="52" t="str">
        <x:v>ChatGPT Atlas — Release Notes</x:v>
      </x:c>
      <x:c r="D452" s="52" t="str">
        <x:v>clients_surfaces</x:v>
      </x:c>
      <x:c r="E452" s="52" t="str">
        <x:v>ChatGPT Atlas</x:v>
      </x:c>
      <x:c r="F452" s="52" t="str">
        <x:v>model_update</x:v>
      </x:c>
      <x:c r="G452" s="52" t="str">
        <x:v>active</x:v>
      </x:c>
      <x:c r="H452" s="63" t="str">
        <x:v>Extensions</x:v>
      </x:c>
      <x:c r="I452" s="63" t="str">
        <x:v>模型更新：Extensions</x:v>
      </x:c>
      <x:c r="J452" s="63" t="str">
        <x:v>1Password connection to the native app now works (note this requires adding an additional browser in 1Password MacOS app settings and restarting Atlas) 1Password extension fixes even without native app</x:v>
      </x:c>
      <x:c r="K452" s="63" t="str">
        <x:v>OpenAI 於 2025-10-28 為 ChatGPT Atlas 更新模型或體驗；此節點依官方發布記錄整理，完整能力、適用方案與限制請見來源。</x:v>
      </x:c>
      <x:c r="L452" s="52" t="str">
        <x:v>https://help.openai.com/en/articles/12591856-chatgpt-atlas-release-notes</x:v>
      </x:c>
      <x:c r="M452" s="52" t="str">
        <x:v>help_center_release_notes</x:v>
      </x:c>
      <x:c r="N452" s="52" t="str">
        <x:v>parsed</x:v>
      </x:c>
      <x:c r="O452" s="52" t="str">
        <x:v>high</x:v>
      </x:c>
      <x:c r="P452" s="60" t="n">
        <x:v>0</x:v>
      </x:c>
      <x:c r="Q452" s="52" t="str"/>
    </x:row>
    <x:row r="453" ht="38" customHeight="1">
      <x:c r="A453" s="57" t="n">
        <x:v>45958</x:v>
      </x:c>
      <x:c r="B453" s="52" t="str">
        <x:v>atlas-release-notes</x:v>
      </x:c>
      <x:c r="C453" s="52" t="str">
        <x:v>ChatGPT Atlas — Release Notes</x:v>
      </x:c>
      <x:c r="D453" s="52" t="str">
        <x:v>clients_surfaces</x:v>
      </x:c>
      <x:c r="E453" s="52" t="str">
        <x:v>ChatGPT Windows</x:v>
      </x:c>
      <x:c r="F453" s="52" t="str">
        <x:v>feature</x:v>
      </x:c>
      <x:c r="G453" s="52" t="str">
        <x:v>active</x:v>
      </x:c>
      <x:c r="H453" s="63" t="str">
        <x:v>General UI</x:v>
      </x:c>
      <x:c r="I453" s="63" t="str">
        <x:v>功能更新：General UI</x:v>
      </x:c>
      <x:c r="J453" s="63" t="str">
        <x:v>Added an option to warn before quitting the app with Cmd+Q (off by default). Command+Shift+ now cycles backwards through windows.</x:v>
      </x:c>
      <x:c r="K453" s="63" t="str">
        <x:v>OpenAI 於 2025-10-28 為 ChatGPT Windows 新增功能；此節點依官方發布記錄整理，完整能力、適用方案與限制請見來源。</x:v>
      </x:c>
      <x:c r="L453" s="52" t="str">
        <x:v>https://help.openai.com/en/articles/12591856-chatgpt-atlas-release-notes</x:v>
      </x:c>
      <x:c r="M453" s="52" t="str">
        <x:v>help_center_release_notes</x:v>
      </x:c>
      <x:c r="N453" s="52" t="str">
        <x:v>parsed</x:v>
      </x:c>
      <x:c r="O453" s="52" t="str">
        <x:v>high</x:v>
      </x:c>
      <x:c r="P453" s="60" t="n">
        <x:v>0</x:v>
      </x:c>
      <x:c r="Q453" s="52" t="str"/>
    </x:row>
    <x:row r="454" ht="38" customHeight="1">
      <x:c r="A454" s="57" t="n">
        <x:v>45958</x:v>
      </x:c>
      <x:c r="B454" s="52" t="str">
        <x:v>atlas-release-notes</x:v>
      </x:c>
      <x:c r="C454" s="52" t="str">
        <x:v>ChatGPT Atlas — Release Notes</x:v>
      </x:c>
      <x:c r="D454" s="52" t="str">
        <x:v>clients_surfaces</x:v>
      </x:c>
      <x:c r="E454" s="52" t="str">
        <x:v>ChatGPT</x:v>
      </x:c>
      <x:c r="F454" s="52" t="str">
        <x:v>feature</x:v>
      </x:c>
      <x:c r="G454" s="52" t="str">
        <x:v>active</x:v>
      </x:c>
      <x:c r="H454" s="63" t="str">
        <x:v>Input + Accessibility</x:v>
      </x:c>
      <x:c r="I454" s="63" t="str">
        <x:v>功能更新：Input + Accessibility</x:v>
      </x:c>
      <x:c r="J454" s="63" t="str">
        <x:v>Resolved an issue that blocked certain accessibility events.</x:v>
      </x:c>
      <x:c r="K454" s="63" t="str">
        <x:v>OpenAI 於 2025-10-28 為 ChatGPT 新增功能；此節點依官方發布記錄整理，完整能力、適用方案與限制請見來源。</x:v>
      </x:c>
      <x:c r="L454" s="52" t="str">
        <x:v>https://help.openai.com/en/articles/12591856-chatgpt-atlas-release-notes</x:v>
      </x:c>
      <x:c r="M454" s="52" t="str">
        <x:v>help_center_release_notes</x:v>
      </x:c>
      <x:c r="N454" s="52" t="str">
        <x:v>parsed</x:v>
      </x:c>
      <x:c r="O454" s="52" t="str">
        <x:v>high</x:v>
      </x:c>
      <x:c r="P454" s="60" t="n">
        <x:v>0</x:v>
      </x:c>
      <x:c r="Q454" s="52" t="str"/>
    </x:row>
    <x:row r="455" ht="38" customHeight="1">
      <x:c r="A455" s="57" t="n">
        <x:v>45958</x:v>
      </x:c>
      <x:c r="B455" s="52" t="str">
        <x:v>atlas-release-notes</x:v>
      </x:c>
      <x:c r="C455" s="52" t="str">
        <x:v>ChatGPT Atlas — Release Notes</x:v>
      </x:c>
      <x:c r="D455" s="52" t="str">
        <x:v>clients_surfaces</x:v>
      </x:c>
      <x:c r="E455" s="52" t="str">
        <x:v>ChatGPT</x:v>
      </x:c>
      <x:c r="F455" s="52" t="str">
        <x:v>model_update</x:v>
      </x:c>
      <x:c r="G455" s="52" t="str">
        <x:v>active</x:v>
      </x:c>
      <x:c r="H455" s="63" t="str">
        <x:v>Login</x:v>
      </x:c>
      <x:c r="I455" s="63" t="str">
        <x:v>模型更新：Login</x:v>
      </x:c>
      <x:c r="J455" s="63" t="str">
        <x:v>Fixed login issue that prevented users from logging in during onboarding.</x:v>
      </x:c>
      <x:c r="K455" s="63" t="str">
        <x:v>OpenAI 於 2025-10-28 為 ChatGPT 更新模型或體驗；此節點依官方發布記錄整理，完整能力、適用方案與限制請見來源。</x:v>
      </x:c>
      <x:c r="L455" s="52" t="str">
        <x:v>https://help.openai.com/en/articles/12591856-chatgpt-atlas-release-notes</x:v>
      </x:c>
      <x:c r="M455" s="52" t="str">
        <x:v>help_center_release_notes</x:v>
      </x:c>
      <x:c r="N455" s="52" t="str">
        <x:v>parsed</x:v>
      </x:c>
      <x:c r="O455" s="52" t="str">
        <x:v>high</x:v>
      </x:c>
      <x:c r="P455" s="60" t="n">
        <x:v>0</x:v>
      </x:c>
      <x:c r="Q455" s="52" t="str"/>
    </x:row>
    <x:row r="456" ht="38" customHeight="1">
      <x:c r="A456" s="57" t="n">
        <x:v>45959</x:v>
      </x:c>
      <x:c r="B456" s="52" t="str">
        <x:v>lane-openai-api-changelog</x:v>
      </x:c>
      <x:c r="C456" s="52" t="str">
        <x:v>OpenAI API Changelog</x:v>
      </x:c>
      <x:c r="D456" s="52" t="str">
        <x:v>safety_lifecycle</x:v>
      </x:c>
      <x:c r="E456" s="52" t="str">
        <x:v>Safety &amp; Security</x:v>
      </x:c>
      <x:c r="F456" s="52" t="str">
        <x:v>safety</x:v>
      </x:c>
      <x:c r="G456" s="52" t="str">
        <x:v>active</x:v>
      </x:c>
      <x:c r="H456" s="63" t="str">
        <x:v>gpt-oss-safeguard-120b and gpt-oss-safeguard-20b are safety reasoning models built-upon gpt-oss.</x:v>
      </x:c>
      <x:c r="I456" s="63" t="str">
        <x:v>API 更新：gpt-oss-safeguard-120b and gpt-oss-safeguard-20b are safety reasoning 模型 built-upon gpt-oss.</x:v>
      </x:c>
      <x:c r="J456" s="63" t="str">
        <x:v>gpt-oss-safeguard-120b and gpt-oss-safeguard-20b are safety reasoning models built-upon gpt-oss. Read more here .</x:v>
      </x:c>
      <x:c r="K456" s="63" t="str">
        <x:v>API 更新：gpt-oss-safeguard-120b and gpt-oss-safeguard-20b are safety reasoning 模型 built-upon gpt-oss。OpenAI 將此列為 2025-10-29 的功能；重點涉及安全與治理，模型、端點與參數名稱依官方英文保留。</x:v>
      </x:c>
      <x:c r="L456" s="52" t="str">
        <x:v>https://developers.openai.com/api/docs/changelog</x:v>
      </x:c>
      <x:c r="M456" s="52" t="str">
        <x:v>official_changelog</x:v>
      </x:c>
      <x:c r="N456" s="52" t="str">
        <x:v>complete</x:v>
      </x:c>
      <x:c r="O456" s="52" t="str">
        <x:v>high</x:v>
      </x:c>
      <x:c r="P456" s="60" t="n">
        <x:v>2</x:v>
      </x:c>
      <x:c r="Q456" s="52" t="str">
        <x:v>feature | safety | security</x:v>
      </x:c>
    </x:row>
    <x:row r="457" ht="38" customHeight="1">
      <x:c r="A457" s="57" t="n">
        <x:v>45959</x:v>
      </x:c>
      <x:c r="B457" s="52" t="str">
        <x:v>api-changelog</x:v>
      </x:c>
      <x:c r="C457" s="52" t="str">
        <x:v>OpenAI API Changelog</x:v>
      </x:c>
      <x:c r="D457" s="52" t="str">
        <x:v>models_reasoning</x:v>
      </x:c>
      <x:c r="E457" s="52" t="str">
        <x:v>OpenAI API</x:v>
      </x:c>
      <x:c r="F457" s="52" t="str">
        <x:v>feature</x:v>
      </x:c>
      <x:c r="G457" s="52" t="str">
        <x:v>active</x:v>
      </x:c>
      <x:c r="H457" s="63" t="str">
        <x:v>gpt-oss-safeguard-120b gpt-oss-safeguard-20b</x:v>
      </x:c>
      <x:c r="I457" s="63" t="str">
        <x:v>功能更新：gpt-oss-safeguard-120b gpt-oss-safeguard-20b</x:v>
      </x:c>
      <x:c r="J457" s="63" t="str">
        <x:v>gpt-oss-safeguard-120b gpt-oss-safeguard-20b</x:v>
      </x:c>
      <x:c r="K457" s="63" t="str">
        <x:v>OpenAI 於 2025-10-29 為 OpenAI API 新增功能；此節點依官方發布記錄整理，完整能力、適用方案與限制請見來源。</x:v>
      </x:c>
      <x:c r="L457" s="52" t="str">
        <x:v>https://platform.openai.com/docs/changelog</x:v>
      </x:c>
      <x:c r="M457" s="52" t="str">
        <x:v>developer_changelog</x:v>
      </x:c>
      <x:c r="N457" s="52" t="str">
        <x:v>parsed</x:v>
      </x:c>
      <x:c r="O457" s="52" t="str">
        <x:v>high</x:v>
      </x:c>
      <x:c r="P457" s="60" t="n">
        <x:v>0</x:v>
      </x:c>
      <x:c r="Q457" s="52" t="str"/>
    </x:row>
    <x:row r="458" ht="38" customHeight="1">
      <x:c r="A458" s="57" t="n">
        <x:v>45959</x:v>
      </x:c>
      <x:c r="B458" s="52" t="str">
        <x:v>lane-introducing-gpt-oss-safeguard</x:v>
      </x:c>
      <x:c r="C458" s="52" t="str">
        <x:v>Introducing gpt-oss-safeguard</x:v>
      </x:c>
      <x:c r="D458" s="52" t="str">
        <x:v>safety_lifecycle</x:v>
      </x:c>
      <x:c r="E458" s="52" t="str">
        <x:v>gpt-oss-safeguard</x:v>
      </x:c>
      <x:c r="F458" s="52" t="str">
        <x:v>model_release</x:v>
      </x:c>
      <x:c r="G458" s="52" t="str">
        <x:v>research_preview</x:v>
      </x:c>
      <x:c r="H458" s="63" t="str">
        <x:v>Introducing gpt-oss-safeguard</x:v>
      </x:c>
      <x:c r="I458" s="63" t="str">
        <x:v>推出 gpt-oss-safeguard</x:v>
      </x:c>
      <x:c r="J458" s="63" t="str">
        <x:v>OpenAI released research-preview open-weight safety reasoning models in 120B and 20B sizes for policy-based safety classification under Apache 2.0.</x:v>
      </x:c>
      <x:c r="K458" s="63" t="str">
        <x:v>OpenAI 以 Apache 2.0 發布 120B 與 20B 的開放權重安全推理模型研究預覽，用於依政策進行安全分類。</x:v>
      </x:c>
      <x:c r="L458" s="52" t="str">
        <x:v>https://openai.com/index/introducing-gpt-oss-safeguard/</x:v>
      </x:c>
      <x:c r="M458" s="52" t="str">
        <x:v>official_launch_post</x:v>
      </x:c>
      <x:c r="N458" s="52" t="str">
        <x:v>parsed</x:v>
      </x:c>
      <x:c r="O458" s="52" t="str">
        <x:v>high</x:v>
      </x:c>
      <x:c r="P458" s="60" t="n">
        <x:v>4</x:v>
      </x:c>
      <x:c r="Q458" s="52" t="str">
        <x:v>gpt-oss | open-weight | safety</x:v>
      </x:c>
    </x:row>
    <x:row r="459" ht="38" customHeight="1">
      <x:c r="A459" s="57" t="n">
        <x:v>45960</x:v>
      </x:c>
      <x:c r="B459" s="52" t="str">
        <x:v>chatgpt-release-notes</x:v>
      </x:c>
      <x:c r="C459" s="52" t="str">
        <x:v>ChatGPT — Release Notes</x:v>
      </x:c>
      <x:c r="D459" s="52" t="str">
        <x:v>chatgpt_core</x:v>
      </x:c>
      <x:c r="E459" s="52" t="str">
        <x:v>ChatGPT Go</x:v>
      </x:c>
      <x:c r="F459" s="52" t="str">
        <x:v>availability</x:v>
      </x:c>
      <x:c r="G459" s="52" t="str">
        <x:v>active</x:v>
      </x:c>
      <x:c r="H459" s="63" t="str">
        <x:v>ChatGPT Go expansion</x:v>
      </x:c>
      <x:c r="I459" s="63" t="str">
        <x:v>ChatGPT Go 擴展</x:v>
      </x:c>
      <x:c r="J459" s="63" t="str">
        <x:v>We're excited to announce that ChatGPT Go, our low cost subscription plan, is now available in 8 additional countries in Europe, bringing total coverage to 98 countries. The new countries we added are Austria, Czech Republic, Denmark, Norway, Poland, Portugal, Spain and Sweden. For an affordable price, ChatGPT Go provides everything included in the Free plan, and:</x:v>
      </x:c>
      <x:c r="K459" s="63" t="str">
        <x:v>我們宣佈低成本訂閱方案 ChatGPT Go 現已在歐洲 8 個額外國家/地區推出，使總覆蓋範圍達到 98 個國家/地區。新增的國家為奧地利、捷克、丹麥、挪威、波蘭、葡萄牙、西班牙和瑞典。…</x:v>
      </x:c>
      <x:c r="L459" s="52" t="str">
        <x:v>https://help.openai.com/en/articles/6825453-chatgpt-release-notes</x:v>
      </x:c>
      <x:c r="M459" s="52" t="str">
        <x:v>help_center_release_notes</x:v>
      </x:c>
      <x:c r="N459" s="52" t="str">
        <x:v>complete</x:v>
      </x:c>
      <x:c r="O459" s="52" t="str">
        <x:v>high</x:v>
      </x:c>
      <x:c r="P459" s="60" t="n">
        <x:v>3</x:v>
      </x:c>
      <x:c r="Q459" s="52" t="str">
        <x:v>2025 | availability | chatgpt-core | chatgpt-go</x:v>
      </x:c>
    </x:row>
    <x:row r="460" ht="38" customHeight="1">
      <x:c r="A460" s="57" t="n">
        <x:v>45960</x:v>
      </x:c>
      <x:c r="B460" s="52" t="str">
        <x:v>chatgpt-release-notes</x:v>
      </x:c>
      <x:c r="C460" s="52" t="str">
        <x:v>ChatGPT — Release Notes</x:v>
      </x:c>
      <x:c r="D460" s="52" t="str">
        <x:v>agents_research</x:v>
      </x:c>
      <x:c r="E460" s="52" t="str">
        <x:v>Codex</x:v>
      </x:c>
      <x:c r="F460" s="52" t="str">
        <x:v>pricing_quota</x:v>
      </x:c>
      <x:c r="G460" s="52" t="str">
        <x:v>active</x:v>
      </x:c>
      <x:c r="H460" s="63" t="str">
        <x:v>Credits for Flexible Usage for Codex and Sora</x:v>
      </x:c>
      <x:c r="I460" s="63" t="str">
        <x:v>Codex 與 Sora 的彈性使用點數</x:v>
      </x:c>
      <x:c r="J460" s="63" t="str">
        <x:v>Today we’re introducing ways to purchase additional usage in products like Codex and Sora. If you hit your included limits, you can seamlessly buy more credits right in the Codex dashboard or buy more video generations in the Sora app to keep going. Learn more in our article: Using Credits for Flexible Usage in ChatGPT (Free/Go/Plus/Pro) &amp; Sora.</x:v>
      </x:c>
      <x:c r="K460" s="63" t="str">
        <x:v>今天我們推出購買 Codex 與 Sora 等產品額外使用量的方法。如果您達到包含的使用上限，可以直接在 Codex 儀表板購買更多點數，或在 Sora 應用程式購買更多影片生成額度以繼續使用。在我們的文章中瞭解更多：在 ChatGPT（免費/Go/Plus/Pro）與 Sora 中使用彈性使用點數。</x:v>
      </x:c>
      <x:c r="L460" s="52" t="str">
        <x:v>https://help.openai.com/en/articles/6825453-chatgpt-release-notes</x:v>
      </x:c>
      <x:c r="M460" s="52" t="str">
        <x:v>help_center_release_notes</x:v>
      </x:c>
      <x:c r="N460" s="52" t="str">
        <x:v>complete</x:v>
      </x:c>
      <x:c r="O460" s="52" t="str">
        <x:v>high</x:v>
      </x:c>
      <x:c r="P460" s="60" t="n">
        <x:v>3</x:v>
      </x:c>
      <x:c r="Q460" s="52" t="str">
        <x:v>2025 | agents-research | pricing_quota | sora</x:v>
      </x:c>
    </x:row>
    <x:row r="461" ht="38" customHeight="1">
      <x:c r="A461" s="57" t="n">
        <x:v>45960</x:v>
      </x:c>
      <x:c r="B461" s="52" t="str">
        <x:v>codex-changelog</x:v>
      </x:c>
      <x:c r="C461" s="52" t="str">
        <x:v>Codex Changelog</x:v>
      </x:c>
      <x:c r="D461" s="52" t="str">
        <x:v>agents_research</x:v>
      </x:c>
      <x:c r="E461" s="52" t="str">
        <x:v>ChatGPT Plus</x:v>
      </x:c>
      <x:c r="F461" s="52" t="str">
        <x:v>pricing_quota</x:v>
      </x:c>
      <x:c r="G461" s="52" t="str">
        <x:v>active</x:v>
      </x:c>
      <x:c r="H461" s="63" t="str">
        <x:v>Credits on ChatGPT Pro and Plus</x:v>
      </x:c>
      <x:c r="I461" s="63" t="str">
        <x:v>方案更新：Codex</x:v>
      </x:c>
      <x:c r="J461" s="63" t="str">
        <x:v>Codex users on ChatGPT Plus and Pro can now use on-demand credits for more Codex usage beyond what’s included in your plan. Learn more.</x:v>
      </x:c>
      <x:c r="K461" s="63" t="str">
        <x:v>OpenAI 於 2025-10-30 為 ChatGPT Plus 調整方案、額度或計費；此節點依官方發布記錄整理，完整能力、適用方案與限制請見來源。</x:v>
      </x:c>
      <x:c r="L461" s="52" t="str">
        <x:v>https://developers.openai.com/codex/changelog/</x:v>
      </x:c>
      <x:c r="M461" s="52" t="str">
        <x:v>developer_changelog</x:v>
      </x:c>
      <x:c r="N461" s="52" t="str">
        <x:v>complete</x:v>
      </x:c>
      <x:c r="O461" s="52" t="str">
        <x:v>high</x:v>
      </x:c>
      <x:c r="P461" s="60" t="n">
        <x:v>2</x:v>
      </x:c>
      <x:c r="Q461" s="52" t="str">
        <x:v>codex | release-notes</x:v>
      </x:c>
    </x:row>
    <x:row r="462" ht="38" customHeight="1">
      <x:c r="A462" s="57" t="n">
        <x:v>45964</x:v>
      </x:c>
      <x:c r="B462" s="52" t="str">
        <x:v>chatgpt-release-notes</x:v>
      </x:c>
      <x:c r="C462" s="52" t="str">
        <x:v>ChatGPT — Release Notes</x:v>
      </x:c>
      <x:c r="D462" s="52" t="str">
        <x:v>chatgpt_core</x:v>
      </x:c>
      <x:c r="E462" s="52" t="str">
        <x:v>ChatGPT Go</x:v>
      </x:c>
      <x:c r="F462" s="52" t="str">
        <x:v>pricing_quota</x:v>
      </x:c>
      <x:c r="G462" s="52" t="str">
        <x:v>active</x:v>
      </x:c>
      <x:c r="H462" s="63" t="str">
        <x:v>ChatGPT Go Promo - India</x:v>
      </x:c>
      <x:c r="I462" s="63" t="str">
        <x:v>ChatGPT Go 推廣活動 - 印度</x:v>
      </x:c>
      <x:c r="J462" s="63" t="str">
        <x:v>Eligible customers in India can get now get 12 months of ChatGPT Go at no cost. new New users can redeem now on ChatGPT web or the Android app (Google Play). The Apple App Store option arrives next week - no promo code is required for redemption. Available to users in India who are new, on the free plan, or are current ChatGPT Go subscribers - one redemption per account. Requires a payment method (credit card or UPI).…</x:v>
      </x:c>
      <x:c r="K462" s="63" t="str">
        <x:v>印度符合資格的客戶現可免費獲得 12 個月的 ChatGPT Go。新使用者現在可於 ChatGPT 網頁版或 Android 應用程式（Google Play）兌換。Apple App Store 選項將於下週推出 - 兌換時無需促銷代碼。…</x:v>
      </x:c>
      <x:c r="L462" s="52" t="str">
        <x:v>https://help.openai.com/en/articles/6825453-chatgpt-release-notes</x:v>
      </x:c>
      <x:c r="M462" s="52" t="str">
        <x:v>help_center_release_notes</x:v>
      </x:c>
      <x:c r="N462" s="52" t="str">
        <x:v>complete</x:v>
      </x:c>
      <x:c r="O462" s="52" t="str">
        <x:v>high</x:v>
      </x:c>
      <x:c r="P462" s="60" t="n">
        <x:v>3</x:v>
      </x:c>
      <x:c r="Q462" s="52" t="str">
        <x:v>2025 | chatgpt-core | chatgpt-go | pricing_quota</x:v>
      </x:c>
    </x:row>
    <x:row r="463" ht="38" customHeight="1">
      <x:c r="A463" s="57" t="n">
        <x:v>45965</x:v>
      </x:c>
      <x:c r="B463" s="52" t="str">
        <x:v>apps-sdk-changelog</x:v>
      </x:c>
      <x:c r="C463" s="52" t="str">
        <x:v>Apps SDK Changelog</x:v>
      </x:c>
      <x:c r="D463" s="52" t="str">
        <x:v>developer_platform</x:v>
      </x:c>
      <x:c r="E463" s="52" t="str">
        <x:v>Apps SDK</x:v>
      </x:c>
      <x:c r="F463" s="52" t="str">
        <x:v>launch</x:v>
      </x:c>
      <x:c r="G463" s="52" t="str">
        <x:v>active</x:v>
      </x:c>
      <x:c r="H463" s="63" t="str">
        <x:v>Resources updates</x:v>
      </x:c>
      <x:c r="I463" s="63" t="str">
        <x:v>Resources updates 更新</x:v>
      </x:c>
      <x:c r="J463" s="63" t="str">
        <x:v>Fixes &amp; improvements Published a new Apps SDK state management guide. Added copy functionality to all code snippets. Launched a unified developers changelog .</x:v>
      </x:c>
      <x:c r="K463" s="63" t="str">
        <x:v>OpenAI 於 2025-11-04 為 Apps SDK 更新開發者平台；此節點依官方發布記錄整理，完整能力、適用方案與限制請見來源。</x:v>
      </x:c>
      <x:c r="L463" s="52" t="str">
        <x:v>https://developers.openai.com/apps-sdk/changelog/</x:v>
      </x:c>
      <x:c r="M463" s="52" t="str">
        <x:v>developer_changelog</x:v>
      </x:c>
      <x:c r="N463" s="52" t="str">
        <x:v>complete</x:v>
      </x:c>
      <x:c r="O463" s="52" t="str">
        <x:v>high</x:v>
      </x:c>
      <x:c r="P463" s="60" t="n">
        <x:v>4</x:v>
      </x:c>
      <x:c r="Q463" s="52" t="str">
        <x:v>apps-sdk | chatgpt-apps | mcp</x:v>
      </x:c>
    </x:row>
    <x:row r="464" ht="38" customHeight="1">
      <x:c r="A464" s="57" t="n">
        <x:v>45966</x:v>
      </x:c>
      <x:c r="B464" s="52" t="str">
        <x:v>atlas-release-notes</x:v>
      </x:c>
      <x:c r="C464" s="52" t="str">
        <x:v>ChatGPT Atlas — Release Notes</x:v>
      </x:c>
      <x:c r="D464" s="52" t="str">
        <x:v>clients_surfaces</x:v>
      </x:c>
      <x:c r="E464" s="52" t="str">
        <x:v>ChatGPT Projects</x:v>
      </x:c>
      <x:c r="F464" s="52" t="str">
        <x:v>feature</x:v>
      </x:c>
      <x:c r="G464" s="52" t="str">
        <x:v>active</x:v>
      </x:c>
      <x:c r="H464" s="63" t="str">
        <x:v>"Ask ChatGPT" sidebar</x:v>
      </x:c>
      <x:c r="I464" s="63" t="str">
        <x:v>功能更新："Ask ChatGPT" sidebar</x:v>
      </x:c>
      <x:c r="J464" s="63" t="str">
        <x:v>Added projects support in sidebar Context menu support in "Ask ChatGPT" sidebar</x:v>
      </x:c>
      <x:c r="K464" s="63" t="str">
        <x:v>OpenAI 於 2025-11-05 為 ChatGPT Projects 新增功能；此節點依官方發布記錄整理，完整能力、適用方案與限制請見來源。</x:v>
      </x:c>
      <x:c r="L464" s="52" t="str">
        <x:v>https://help.openai.com/en/articles/12591856-chatgpt-atlas-release-notes</x:v>
      </x:c>
      <x:c r="M464" s="52" t="str">
        <x:v>help_center_release_notes</x:v>
      </x:c>
      <x:c r="N464" s="52" t="str">
        <x:v>parsed</x:v>
      </x:c>
      <x:c r="O464" s="52" t="str">
        <x:v>high</x:v>
      </x:c>
      <x:c r="P464" s="60" t="n">
        <x:v>0</x:v>
      </x:c>
      <x:c r="Q464" s="52" t="str"/>
    </x:row>
    <x:row r="465" ht="38" customHeight="1">
      <x:c r="A465" s="57" t="n">
        <x:v>45966</x:v>
      </x:c>
      <x:c r="B465" s="52" t="str">
        <x:v>atlas-release-notes</x:v>
      </x:c>
      <x:c r="C465" s="52" t="str">
        <x:v>ChatGPT Atlas — Release Notes</x:v>
      </x:c>
      <x:c r="D465" s="52" t="str">
        <x:v>clients_surfaces</x:v>
      </x:c>
      <x:c r="E465" s="52" t="str">
        <x:v>ChatGPT</x:v>
      </x:c>
      <x:c r="F465" s="52" t="str">
        <x:v>feature</x:v>
      </x:c>
      <x:c r="G465" s="52" t="str">
        <x:v>active</x:v>
      </x:c>
      <x:c r="H465" s="63" t="str">
        <x:v>Agent</x:v>
      </x:c>
      <x:c r="I465" s="63" t="str">
        <x:v>功能更新：Agent</x:v>
      </x:c>
      <x:c r="J465" s="63" t="str">
        <x:v>Animate scrolling for Agent</x:v>
      </x:c>
      <x:c r="K465" s="63" t="str">
        <x:v>OpenAI 於 2025-11-05 為 ChatGPT 新增功能；此節點依官方發布記錄整理，完整能力、適用方案與限制請見來源。</x:v>
      </x:c>
      <x:c r="L465" s="52" t="str">
        <x:v>https://help.openai.com/en/articles/12591856-chatgpt-atlas-release-notes</x:v>
      </x:c>
      <x:c r="M465" s="52" t="str">
        <x:v>help_center_release_notes</x:v>
      </x:c>
      <x:c r="N465" s="52" t="str">
        <x:v>parsed</x:v>
      </x:c>
      <x:c r="O465" s="52" t="str">
        <x:v>high</x:v>
      </x:c>
      <x:c r="P465" s="60" t="n">
        <x:v>0</x:v>
      </x:c>
      <x:c r="Q465" s="52" t="str"/>
    </x:row>
    <x:row r="466" ht="38" customHeight="1">
      <x:c r="A466" s="57" t="n">
        <x:v>45966</x:v>
      </x:c>
      <x:c r="B466" s="52" t="str">
        <x:v>atlas-release-notes</x:v>
      </x:c>
      <x:c r="C466" s="52" t="str">
        <x:v>ChatGPT Atlas — Release Notes</x:v>
      </x:c>
      <x:c r="D466" s="52" t="str">
        <x:v>clients_surfaces</x:v>
      </x:c>
      <x:c r="E466" s="52" t="str">
        <x:v>ChatGPT Atlas</x:v>
      </x:c>
      <x:c r="F466" s="52" t="str">
        <x:v>feature</x:v>
      </x:c>
      <x:c r="G466" s="52" t="str">
        <x:v>active</x:v>
      </x:c>
      <x:c r="H466" s="63" t="str">
        <x:v>Atlas Projects, Pulse and new tab updates</x:v>
      </x:c>
      <x:c r="I466" s="63" t="str">
        <x:v>Atlas Projects、Pulse 與新分頁更新</x:v>
      </x:c>
      <x:c r="J466" s="63" t="str">
        <x:v>Atlas added Projects support to the Ask ChatGPT sidebar, Pulse navigation for eligible users, sticky model selection, Agent scrolling and update reliability fixes.</x:v>
      </x:c>
      <x:c r="K466" s="63" t="str">
        <x:v>Atlas 在 Ask ChatGPT 側欄加入 Projects、對符合資格用戶加入 Pulse，並改善模型選擇、Agent 滾動與更新可靠性。</x:v>
      </x:c>
      <x:c r="L466" s="52" t="str">
        <x:v>https://help.openai.com/en/articles/12591856-chatgpt-atlas-release-notes</x:v>
      </x:c>
      <x:c r="M466" s="52" t="str">
        <x:v>help_center_release_notes</x:v>
      </x:c>
      <x:c r="N466" s="52" t="str">
        <x:v>parsed</x:v>
      </x:c>
      <x:c r="O466" s="52" t="str">
        <x:v>high</x:v>
      </x:c>
      <x:c r="P466" s="60" t="n">
        <x:v>3</x:v>
      </x:c>
      <x:c r="Q466" s="52" t="str">
        <x:v>atlas | projects | pulse</x:v>
      </x:c>
    </x:row>
    <x:row r="467" ht="38" customHeight="1">
      <x:c r="A467" s="57" t="n">
        <x:v>45966</x:v>
      </x:c>
      <x:c r="B467" s="52" t="str">
        <x:v>chatgpt-release-notes</x:v>
      </x:c>
      <x:c r="C467" s="52" t="str">
        <x:v>ChatGPT — Release Notes</x:v>
      </x:c>
      <x:c r="D467" s="52" t="str">
        <x:v>chatgpt_core</x:v>
      </x:c>
      <x:c r="E467" s="52" t="str">
        <x:v>ChatGPT</x:v>
      </x:c>
      <x:c r="F467" s="52" t="str">
        <x:v>feature</x:v>
      </x:c>
      <x:c r="G467" s="52" t="str">
        <x:v>active</x:v>
      </x:c>
      <x:c r="H467" s="63" t="str">
        <x:v>Interrupt ChatGPT</x:v>
      </x:c>
      <x:c r="I467" s="63" t="str">
        <x:v>中斷 ChatGPT</x:v>
      </x:c>
      <x:c r="J467" s="63" t="str">
        <x:v>You can now interrupt long-running queries (such as deep research or GPT-5 Pro) to refine what you’re asking—no restart required or progress lost. For example, if you're researching the perfect bookshelf and suddenly remember that your wall is 72" wide and you can't drill into it, you can simply add that information midstream by clicking “update” in the sidebar and sending the new information as a message. The model will adjust its a…</x:v>
      </x:c>
      <x:c r="K467" s="63" t="str">
        <x:v>OpenAI 於 2025-11-05 為 GPT-5 更新模型或體驗；此節點依官方發布記錄整理，完整能力、適用方案與限制請見來源。</x:v>
      </x:c>
      <x:c r="L467" s="52" t="str">
        <x:v>https://help.openai.com/en/articles/6825453-chatgpt-release-notes</x:v>
      </x:c>
      <x:c r="M467" s="52" t="str">
        <x:v>help_center_release_notes</x:v>
      </x:c>
      <x:c r="N467" s="52" t="str">
        <x:v>complete</x:v>
      </x:c>
      <x:c r="O467" s="52" t="str">
        <x:v>high</x:v>
      </x:c>
      <x:c r="P467" s="60" t="n">
        <x:v>3</x:v>
      </x:c>
      <x:c r="Q467" s="52" t="str">
        <x:v>2025 | chatgpt | chatgpt-core | feature</x:v>
      </x:c>
    </x:row>
    <x:row r="468" ht="38" customHeight="1">
      <x:c r="A468" s="57" t="n">
        <x:v>45966</x:v>
      </x:c>
      <x:c r="B468" s="52" t="str">
        <x:v>atlas-release-notes</x:v>
      </x:c>
      <x:c r="C468" s="52" t="str">
        <x:v>ChatGPT Atlas — Release Notes</x:v>
      </x:c>
      <x:c r="D468" s="52" t="str">
        <x:v>clients_surfaces</x:v>
      </x:c>
      <x:c r="E468" s="52" t="str">
        <x:v>ChatGPT Search</x:v>
      </x:c>
      <x:c r="F468" s="52" t="str">
        <x:v>model_update</x:v>
      </x:c>
      <x:c r="G468" s="52" t="str">
        <x:v>active</x:v>
      </x:c>
      <x:c r="H468" s="63" t="str">
        <x:v>New Tab Page and Search</x:v>
      </x:c>
      <x:c r="I468" s="63" t="str">
        <x:v>新增Tab Page and Search</x:v>
      </x:c>
      <x:c r="J468" s="63" t="str">
        <x:v>Fixes occasional blank results page after searching after computer re-wake "Sticky model" option - adds a setting to remember last model selection in new tab page</x:v>
      </x:c>
      <x:c r="K468" s="63" t="str">
        <x:v>OpenAI 於 2025-11-05 為 ChatGPT Search 更新模型或體驗；此節點依官方發布記錄整理，完整能力、適用方案與限制請見來源。</x:v>
      </x:c>
      <x:c r="L468" s="52" t="str">
        <x:v>https://help.openai.com/en/articles/12591856-chatgpt-atlas-release-notes</x:v>
      </x:c>
      <x:c r="M468" s="52" t="str">
        <x:v>help_center_release_notes</x:v>
      </x:c>
      <x:c r="N468" s="52" t="str">
        <x:v>parsed</x:v>
      </x:c>
      <x:c r="O468" s="52" t="str">
        <x:v>high</x:v>
      </x:c>
      <x:c r="P468" s="60" t="n">
        <x:v>0</x:v>
      </x:c>
      <x:c r="Q468" s="52" t="str"/>
    </x:row>
    <x:row r="469" ht="38" customHeight="1">
      <x:c r="A469" s="57" t="n">
        <x:v>45966</x:v>
      </x:c>
      <x:c r="B469" s="52" t="str">
        <x:v>atlas-release-notes</x:v>
      </x:c>
      <x:c r="C469" s="52" t="str">
        <x:v>ChatGPT Atlas — Release Notes</x:v>
      </x:c>
      <x:c r="D469" s="52" t="str">
        <x:v>clients_surfaces</x:v>
      </x:c>
      <x:c r="E469" s="52" t="str">
        <x:v>ChatGPT</x:v>
      </x:c>
      <x:c r="F469" s="52" t="str">
        <x:v>model_update</x:v>
      </x:c>
      <x:c r="G469" s="52" t="str">
        <x:v>active</x:v>
      </x:c>
      <x:c r="H469" s="63" t="str">
        <x:v>Other improvements</x:v>
      </x:c>
      <x:c r="I469" s="63" t="str">
        <x:v>模型更新：Other improvements</x:v>
      </x:c>
      <x:c r="J469" s="63" t="str">
        <x:v>See all keyboard shortcuts from the "Help" menu Improved update reliability</x:v>
      </x:c>
      <x:c r="K469" s="63" t="str">
        <x:v>OpenAI 於 2025-11-05 為 ChatGPT 更新模型或體驗；此節點依官方發布記錄整理，完整能力、適用方案與限制請見來源。</x:v>
      </x:c>
      <x:c r="L469" s="52" t="str">
        <x:v>https://help.openai.com/en/articles/12591856-chatgpt-atlas-release-notes</x:v>
      </x:c>
      <x:c r="M469" s="52" t="str">
        <x:v>help_center_release_notes</x:v>
      </x:c>
      <x:c r="N469" s="52" t="str">
        <x:v>parsed</x:v>
      </x:c>
      <x:c r="O469" s="52" t="str">
        <x:v>high</x:v>
      </x:c>
      <x:c r="P469" s="60" t="n">
        <x:v>0</x:v>
      </x:c>
      <x:c r="Q469" s="52" t="str"/>
    </x:row>
    <x:row r="470" ht="38" customHeight="1">
      <x:c r="A470" s="57" t="n">
        <x:v>45966</x:v>
      </x:c>
      <x:c r="B470" s="52" t="str">
        <x:v>atlas-release-notes</x:v>
      </x:c>
      <x:c r="C470" s="52" t="str">
        <x:v>ChatGPT Atlas — Release Notes</x:v>
      </x:c>
      <x:c r="D470" s="52" t="str">
        <x:v>clients_surfaces</x:v>
      </x:c>
      <x:c r="E470" s="52" t="str">
        <x:v>ChatGPT</x:v>
      </x:c>
      <x:c r="F470" s="52" t="str">
        <x:v>feature</x:v>
      </x:c>
      <x:c r="G470" s="52" t="str">
        <x:v>active</x:v>
      </x:c>
      <x:c r="H470" s="63" t="str">
        <x:v>Shortcuts</x:v>
      </x:c>
      <x:c r="I470" s="63" t="str">
        <x:v>功能更新：Shortcuts</x:v>
      </x:c>
      <x:c r="J470" s="63" t="str">
        <x:v>Allow websites to use Cmd + R shortcut, especially for Google Sheets</x:v>
      </x:c>
      <x:c r="K470" s="63" t="str">
        <x:v>OpenAI 於 2025-11-05 為 ChatGPT 新增功能；此節點依官方發布記錄整理，完整能力、適用方案與限制請見來源。</x:v>
      </x:c>
      <x:c r="L470" s="52" t="str">
        <x:v>https://help.openai.com/en/articles/12591856-chatgpt-atlas-release-notes</x:v>
      </x:c>
      <x:c r="M470" s="52" t="str">
        <x:v>help_center_release_notes</x:v>
      </x:c>
      <x:c r="N470" s="52" t="str">
        <x:v>parsed</x:v>
      </x:c>
      <x:c r="O470" s="52" t="str">
        <x:v>high</x:v>
      </x:c>
      <x:c r="P470" s="60" t="n">
        <x:v>0</x:v>
      </x:c>
      <x:c r="Q470" s="52" t="str"/>
    </x:row>
    <x:row r="471" ht="38" customHeight="1">
      <x:c r="A471" s="57" t="n">
        <x:v>45966</x:v>
      </x:c>
      <x:c r="B471" s="52" t="str">
        <x:v>lane-how-we-used-codex-to-build-sora-for-android-in-28-days</x:v>
      </x:c>
      <x:c r="C471" s="52" t="str">
        <x:v>How we used Codex to build Sora for Android in 28 days</x:v>
      </x:c>
      <x:c r="D471" s="52" t="str">
        <x:v>multimodal</x:v>
      </x:c>
      <x:c r="E471" s="52" t="str">
        <x:v>Sora</x:v>
      </x:c>
      <x:c r="F471" s="52" t="str">
        <x:v>launch</x:v>
      </x:c>
      <x:c r="G471" s="52" t="str">
        <x:v>active</x:v>
      </x:c>
      <x:c r="H471" s="63" t="str">
        <x:v>Sora for Android launches</x:v>
      </x:c>
      <x:c r="I471" s="63" t="str">
        <x:v>Sora Android 版推出</x:v>
      </x:c>
      <x:c r="J471" s="63" t="str">
        <x:v>OpenAI launched the Sora Android app globally after a 28-day build, bringing prompt-based video creation to Android devices.</x:v>
      </x:c>
      <x:c r="K471" s="63" t="str">
        <x:v>OpenAI 在經歷 28 天的開發後，全球同步推出 Sora Android 應用程式，將基於提示詞的影片創作功能帶到 Android 裝置上。</x:v>
      </x:c>
      <x:c r="L471" s="52" t="str">
        <x:v>https://openai.com/index/shipping-sora-for-android-with-codex/</x:v>
      </x:c>
      <x:c r="M471" s="52" t="str">
        <x:v>official_engineering_post</x:v>
      </x:c>
      <x:c r="N471" s="52" t="str">
        <x:v>complete</x:v>
      </x:c>
      <x:c r="O471" s="52" t="str">
        <x:v>high</x:v>
      </x:c>
      <x:c r="P471" s="60" t="n">
        <x:v>4</x:v>
      </x:c>
      <x:c r="Q471" s="52" t="str">
        <x:v>2025 | launch | multimodal | sora</x:v>
      </x:c>
    </x:row>
    <x:row r="472" ht="38" customHeight="1">
      <x:c r="A472" s="57" t="n">
        <x:v>45966</x:v>
      </x:c>
      <x:c r="B472" s="52" t="str">
        <x:v>atlas-release-notes</x:v>
      </x:c>
      <x:c r="C472" s="52" t="str">
        <x:v>ChatGPT Atlas — Release Notes</x:v>
      </x:c>
      <x:c r="D472" s="52" t="str">
        <x:v>clients_surfaces</x:v>
      </x:c>
      <x:c r="E472" s="52" t="str">
        <x:v>ChatGPT</x:v>
      </x:c>
      <x:c r="F472" s="52" t="str">
        <x:v>model_update</x:v>
      </x:c>
      <x:c r="G472" s="52" t="str">
        <x:v>active</x:v>
      </x:c>
      <x:c r="H472" s="63" t="str">
        <x:v>Tabs</x:v>
      </x:c>
      <x:c r="I472" s="63" t="str">
        <x:v>模型更新：Tabs</x:v>
      </x:c>
      <x:c r="J472" s="63" t="str">
        <x:v>Added "Reopen Closed Tab" and "Open Tab" items to context menu Fixed issues with tab dragging</x:v>
      </x:c>
      <x:c r="K472" s="63" t="str">
        <x:v>OpenAI 於 2025-11-05 為 ChatGPT 更新模型或體驗；此節點依官方發布記錄整理，完整能力、適用方案與限制請見來源。</x:v>
      </x:c>
      <x:c r="L472" s="52" t="str">
        <x:v>https://help.openai.com/en/articles/12591856-chatgpt-atlas-release-notes</x:v>
      </x:c>
      <x:c r="M472" s="52" t="str">
        <x:v>help_center_release_notes</x:v>
      </x:c>
      <x:c r="N472" s="52" t="str">
        <x:v>parsed</x:v>
      </x:c>
      <x:c r="O472" s="52" t="str">
        <x:v>high</x:v>
      </x:c>
      <x:c r="P472" s="60" t="n">
        <x:v>0</x:v>
      </x:c>
      <x:c r="Q472" s="52" t="str"/>
    </x:row>
    <x:row r="473" ht="38" customHeight="1">
      <x:c r="A473" s="57" t="n">
        <x:v>45967</x:v>
      </x:c>
      <x:c r="B473" s="52" t="str">
        <x:v>codex-changelog</x:v>
      </x:c>
      <x:c r="C473" s="52" t="str">
        <x:v>Codex Changelog</x:v>
      </x:c>
      <x:c r="D473" s="52" t="str">
        <x:v>agents_research</x:v>
      </x:c>
      <x:c r="E473" s="52" t="str">
        <x:v>Codex</x:v>
      </x:c>
      <x:c r="F473" s="52" t="str">
        <x:v>model_update</x:v>
      </x:c>
      <x:c r="G473" s="52" t="str">
        <x:v>active</x:v>
      </x:c>
      <x:c r="H473" s="63" t="str">
        <x:v>GPT-5-Codex model update</x:v>
      </x:c>
      <x:c r="I473" s="63" t="str">
        <x:v>GPT-5-Codex model update 更新</x:v>
      </x:c>
      <x:c r="J473" s="63" t="str">
        <x:v>We’ve shipped a minor update to GPT-5-Codex: More reliable file edits with applypatch . Fewer destructive actions such as git reset . More collaborative behavior when encountering user edits in files. 3% more efficient in time and usage.</x:v>
      </x:c>
      <x:c r="K473" s="63" t="str">
        <x:v>OpenAI 於 2025-11-06 為 GPT-5 更新模型或體驗；此節點依官方發布記錄整理，完整能力、適用方案與限制請見來源。</x:v>
      </x:c>
      <x:c r="L473" s="52" t="str">
        <x:v>https://developers.openai.com/codex/changelog/</x:v>
      </x:c>
      <x:c r="M473" s="52" t="str">
        <x:v>developer_changelog</x:v>
      </x:c>
      <x:c r="N473" s="52" t="str">
        <x:v>complete</x:v>
      </x:c>
      <x:c r="O473" s="52" t="str">
        <x:v>high</x:v>
      </x:c>
      <x:c r="P473" s="60" t="n">
        <x:v>2</x:v>
      </x:c>
      <x:c r="Q473" s="52" t="str">
        <x:v>codex | release-notes</x:v>
      </x:c>
    </x:row>
    <x:row r="474" ht="38" customHeight="1">
      <x:c r="A474" s="57" t="n">
        <x:v>45968</x:v>
      </x:c>
      <x:c r="B474" s="52" t="str">
        <x:v>codex-changelog</x:v>
      </x:c>
      <x:c r="C474" s="52" t="str">
        <x:v>Codex Changelog</x:v>
      </x:c>
      <x:c r="D474" s="52" t="str">
        <x:v>agents_research</x:v>
      </x:c>
      <x:c r="E474" s="52" t="str">
        <x:v>Codex</x:v>
      </x:c>
      <x:c r="F474" s="52" t="str">
        <x:v>launch</x:v>
      </x:c>
      <x:c r="G474" s="52" t="str">
        <x:v>active</x:v>
      </x:c>
      <x:c r="H474" s="63" t="str">
        <x:v>Introducing GPT-5-Codex-Mini</x:v>
      </x:c>
      <x:c r="I474" s="63" t="str">
        <x:v>推出 GPT-5-Codex-Mini</x:v>
      </x:c>
      <x:c r="J474" s="63" t="str">
        <x:v>Today we are introducing a new gpt-5-codex-mini model option to Codex CLI and the IDE Extension. The model is a smaller, more cost-effective, but less capable version of gpt-5-codex that provides approximately 4x more usage as part of your ChatGPT subscription. Starting today, the CLI and IDE Extension will automatically suggest switching to gpt-5-codex-mini when you reach 90% of your 5-hour usage limit, to help you work longer witho…</x:v>
      </x:c>
      <x:c r="K474" s="63" t="str">
        <x:v>Codex Changelog 在 2025-11-07 記錄了Codex 編碼代理、定價與用量相關更新；完整版本與修正內容見官方英文摘要。</x:v>
      </x:c>
      <x:c r="L474" s="52" t="str">
        <x:v>https://developers.openai.com/codex/changelog/</x:v>
      </x:c>
      <x:c r="M474" s="52" t="str">
        <x:v>developer_changelog</x:v>
      </x:c>
      <x:c r="N474" s="52" t="str">
        <x:v>complete</x:v>
      </x:c>
      <x:c r="O474" s="52" t="str">
        <x:v>high</x:v>
      </x:c>
      <x:c r="P474" s="60" t="n">
        <x:v>3</x:v>
      </x:c>
      <x:c r="Q474" s="52" t="str">
        <x:v>codex | release-notes</x:v>
      </x:c>
    </x:row>
    <x:row r="475" ht="38" customHeight="1">
      <x:c r="A475" s="57" t="n">
        <x:v>45968</x:v>
      </x:c>
      <x:c r="B475" s="52" t="str">
        <x:v>chatgpt-release-notes</x:v>
      </x:c>
      <x:c r="C475" s="52" t="str">
        <x:v>ChatGPT — Release Notes</x:v>
      </x:c>
      <x:c r="D475" s="52" t="str">
        <x:v>chatgpt_core</x:v>
      </x:c>
      <x:c r="E475" s="52" t="str">
        <x:v>ChatGPT</x:v>
      </x:c>
      <x:c r="F475" s="52" t="str">
        <x:v>feature</x:v>
      </x:c>
      <x:c r="G475" s="52" t="str">
        <x:v>active</x:v>
      </x:c>
      <x:c r="H475" s="63" t="str">
        <x:v>Personality and custom instructions now apply to all chats</x:v>
      </x:c>
      <x:c r="I475" s="63" t="str">
        <x:v>個人風格與自訂指令現適用於所有聊天</x:v>
      </x:c>
      <x:c r="J475" s="63" t="str">
        <x:v>Previously, changes you made to your ChatGPT personality or custom instructions only applied to new conversations. Starting today, updates you make in Settings → Personalization are applied immediately across all chats (including existing conversations!) so your experience stays consistent everywhere without needing to start a new thread.</x:v>
      </x:c>
      <x:c r="K475" s="63" t="str">
        <x:v>以往，您對 ChatGPT 個人風格或自訂指令所做的變更僅適用於新的對話。從今天開始，您在「設定」→「個人化」中所做的更新會立即套用到所有聊天（包括現有的對話！），讓您的體驗在任何地方皆保持一致，無需開啟新的對話串。</x:v>
      </x:c>
      <x:c r="L475" s="52" t="str">
        <x:v>https://help.openai.com/en/articles/6825453-chatgpt-release-notes</x:v>
      </x:c>
      <x:c r="M475" s="52" t="str">
        <x:v>help_center_release_notes</x:v>
      </x:c>
      <x:c r="N475" s="52" t="str">
        <x:v>complete</x:v>
      </x:c>
      <x:c r="O475" s="52" t="str">
        <x:v>high</x:v>
      </x:c>
      <x:c r="P475" s="60" t="n">
        <x:v>3</x:v>
      </x:c>
      <x:c r="Q475" s="52" t="str">
        <x:v>2025 | chatgpt | chatgpt-core | feature</x:v>
      </x:c>
    </x:row>
    <x:row r="476" ht="38" customHeight="1">
      <x:c r="A476" s="57" t="n">
        <x:v>45973</x:v>
      </x:c>
      <x:c r="B476" s="52" t="str">
        <x:v>chatgpt-release-notes</x:v>
      </x:c>
      <x:c r="C476" s="52" t="str">
        <x:v>ChatGPT — Release Notes</x:v>
      </x:c>
      <x:c r="D476" s="52" t="str">
        <x:v>models_reasoning</x:v>
      </x:c>
      <x:c r="E476" s="52" t="str">
        <x:v>GPT-5.1</x:v>
      </x:c>
      <x:c r="F476" s="52" t="str">
        <x:v>model_release</x:v>
      </x:c>
      <x:c r="G476" s="52" t="str">
        <x:v>active</x:v>
      </x:c>
      <x:c r="H476" s="63" t="str">
        <x:v>GPT-5.1 in ChatGPT</x:v>
      </x:c>
      <x:c r="I476" s="63" t="str">
        <x:v>GPT-5.1 在 ChatGPT</x:v>
      </x:c>
      <x:c r="J476" s="63" t="str">
        <x:v>We’re updating GPT-5 to GPT-5.1 Instant and GPT-5.1 Thinking, making answers both smarter and more conversational. GPT-5.1 Instant now uses light adaptive reasoning for tougher questions while staying fast, and GPT-5.1 Thinking adapts its thinking time more precisely for complex tasks with clearer, less jargony responses. GPT-5.1 Auto continues to route each query to the best model, and GPT-5 models remain available for three months…</x:v>
      </x:c>
      <x:c r="K476" s="63" t="str">
        <x:v>我們將 GPT-5 更新為 GPT-5.1 Instant 和 GPT-5.1 Thinking，使回答更聰明且更具對話感。GPT-5.1 Instant 針對較難的問題採用輕量級自適應推理，同時保持快速；GPT-5.1 Thinking 則能更精確地調整思考時間，以處理複雜任務，並提供更清晰、較少技術術語的回答。</x:v>
      </x:c>
      <x:c r="L476" s="52" t="str">
        <x:v>https://help.openai.com/en/articles/6825453-chatgpt-release-notes</x:v>
      </x:c>
      <x:c r="M476" s="52" t="str">
        <x:v>help_center_release_notes</x:v>
      </x:c>
      <x:c r="N476" s="52" t="str">
        <x:v>complete</x:v>
      </x:c>
      <x:c r="O476" s="52" t="str">
        <x:v>high</x:v>
      </x:c>
      <x:c r="P476" s="60" t="n">
        <x:v>5</x:v>
      </x:c>
      <x:c r="Q476" s="52" t="str">
        <x:v>2025 | gpt-5.1 | model_release | models-reasoning</x:v>
      </x:c>
    </x:row>
    <x:row r="477" ht="38" customHeight="1">
      <x:c r="A477" s="57" t="n">
        <x:v>45973</x:v>
      </x:c>
      <x:c r="B477" s="52" t="str">
        <x:v>chatgpt-release-notes</x:v>
      </x:c>
      <x:c r="C477" s="52" t="str">
        <x:v>ChatGPT — Release Notes</x:v>
      </x:c>
      <x:c r="D477" s="52" t="str">
        <x:v>chatgpt_core</x:v>
      </x:c>
      <x:c r="E477" s="52" t="str">
        <x:v>ChatGPT</x:v>
      </x:c>
      <x:c r="F477" s="52" t="str">
        <x:v>feature</x:v>
      </x:c>
      <x:c r="G477" s="52" t="str">
        <x:v>active</x:v>
      </x:c>
      <x:c r="H477" s="63" t="str">
        <x:v>New tone and personalization controls</x:v>
      </x:c>
      <x:c r="I477" s="63" t="str">
        <x:v>全新的語氣與個人化控制</x:v>
      </x:c>
      <x:c r="J477" s="63" t="str">
        <x:v>We’re updating ChatGPT’s tone controls so it’s easier to make responses sound the way you prefer. You can now choose from updated presets like Default, Friendly, Efficient, Professional, Candid, and Quirky (with Cynical and Nerdy still available), and we’re experimenting with more granular controls over how concise, warm, or scannable responses are, plus how often emojis appear.…</x:v>
      </x:c>
      <x:c r="K477" s="63" t="str">
        <x:v>我們正在更新 ChatGPT 的語氣控制，讓您更容易使回應符合您偏好的方式。您現在可以從更新後的預設選項中選擇，例如預設 (Default)、友善 (Friendly)、高效 (Efficient)、專業 (Professional)、坦率 (Candid) 和古怪 (Quirky)（Cynical 和 Nerdy 仍然可用），我們也正在實驗針對回應的簡潔度、溫暖度或可掃描性進行更細緻的控制，此外…</x:v>
      </x:c>
      <x:c r="L477" s="52" t="str">
        <x:v>https://help.openai.com/en/articles/6825453-chatgpt-release-notes</x:v>
      </x:c>
      <x:c r="M477" s="52" t="str">
        <x:v>help_center_release_notes</x:v>
      </x:c>
      <x:c r="N477" s="52" t="str">
        <x:v>complete</x:v>
      </x:c>
      <x:c r="O477" s="52" t="str">
        <x:v>high</x:v>
      </x:c>
      <x:c r="P477" s="60" t="n">
        <x:v>3</x:v>
      </x:c>
      <x:c r="Q477" s="52" t="str">
        <x:v>2025 | chatgpt | chatgpt-core | feature</x:v>
      </x:c>
    </x:row>
    <x:row r="478" ht="38" customHeight="1">
      <x:c r="A478" s="57" t="n">
        <x:v>45974</x:v>
      </x:c>
      <x:c r="B478" s="52" t="str">
        <x:v>atlas-release-notes</x:v>
      </x:c>
      <x:c r="C478" s="52" t="str">
        <x:v>ChatGPT Atlas — Release Notes</x:v>
      </x:c>
      <x:c r="D478" s="52" t="str">
        <x:v>clients_surfaces</x:v>
      </x:c>
      <x:c r="E478" s="52" t="str">
        <x:v>ChatGPT Atlas</x:v>
      </x:c>
      <x:c r="F478" s="52" t="str">
        <x:v>model_update</x:v>
      </x:c>
      <x:c r="G478" s="52" t="str">
        <x:v>active</x:v>
      </x:c>
      <x:c r="H478" s="63" t="str">
        <x:v>Atlas bug-fix build 1.2025.309.3</x:v>
      </x:c>
      <x:c r="I478" s="63" t="str">
        <x:v>Atlas 1.2025.309.3 錯誤修正</x:v>
      </x:c>
      <x:c r="J478" s="63" t="str">
        <x:v>OpenAI shipped an Atlas maintenance build focused on bug fixes.</x:v>
      </x:c>
      <x:c r="K478" s="63" t="str">
        <x:v>OpenAI 發布以錯誤修正為主的 Atlas 維護版本。</x:v>
      </x:c>
      <x:c r="L478" s="52" t="str">
        <x:v>https://help.openai.com/en/articles/12591856-chatgpt-atlas-release-notes</x:v>
      </x:c>
      <x:c r="M478" s="52" t="str">
        <x:v>help_center_release_notes</x:v>
      </x:c>
      <x:c r="N478" s="52" t="str">
        <x:v>parsed</x:v>
      </x:c>
      <x:c r="O478" s="52" t="str">
        <x:v>high</x:v>
      </x:c>
      <x:c r="P478" s="60" t="n">
        <x:v>1</x:v>
      </x:c>
      <x:c r="Q478" s="52" t="str">
        <x:v>atlas | fix</x:v>
      </x:c>
    </x:row>
    <x:row r="479" ht="38" customHeight="1">
      <x:c r="A479" s="57" t="n">
        <x:v>45974</x:v>
      </x:c>
      <x:c r="B479" s="52" t="str">
        <x:v>api-changelog</x:v>
      </x:c>
      <x:c r="C479" s="52" t="str">
        <x:v>OpenAI API Changelog</x:v>
      </x:c>
      <x:c r="D479" s="52" t="str">
        <x:v>agents_research</x:v>
      </x:c>
      <x:c r="E479" s="52" t="str">
        <x:v>GPT-5.1</x:v>
      </x:c>
      <x:c r="F479" s="52" t="str">
        <x:v>feature</x:v>
      </x:c>
      <x:c r="G479" s="52" t="str">
        <x:v>active</x:v>
      </x:c>
      <x:c r="H479" s="63" t="str">
        <x:v>gpt-5.1-chat-latest gpt-5.1-codex-mini</x:v>
      </x:c>
      <x:c r="I479" s="63" t="str">
        <x:v>功能更新：gpt-5.1-chat-latest gpt-5.1-codex-mini</x:v>
      </x:c>
      <x:c r="J479" s="63" t="str">
        <x:v>gpt-5.1-chat-latest gpt-5.1-codex-mini</x:v>
      </x:c>
      <x:c r="K479" s="63" t="str">
        <x:v>OpenAI 於 2025-11-13 為 GPT-5.1 新增功能；此節點依官方發布記錄整理，完整能力、適用方案與限制請見來源。</x:v>
      </x:c>
      <x:c r="L479" s="52" t="str">
        <x:v>https://platform.openai.com/docs/changelog</x:v>
      </x:c>
      <x:c r="M479" s="52" t="str">
        <x:v>developer_changelog</x:v>
      </x:c>
      <x:c r="N479" s="52" t="str">
        <x:v>parsed</x:v>
      </x:c>
      <x:c r="O479" s="52" t="str">
        <x:v>high</x:v>
      </x:c>
      <x:c r="P479" s="60" t="n">
        <x:v>0</x:v>
      </x:c>
      <x:c r="Q479" s="52" t="str"/>
    </x:row>
    <x:row r="480" ht="38" customHeight="1">
      <x:c r="A480" s="57" t="n">
        <x:v>45974</x:v>
      </x:c>
      <x:c r="B480" s="52" t="str">
        <x:v>api-changelog</x:v>
      </x:c>
      <x:c r="C480" s="52" t="str">
        <x:v>OpenAI API Changelog</x:v>
      </x:c>
      <x:c r="D480" s="52" t="str">
        <x:v>agents_research</x:v>
      </x:c>
      <x:c r="E480" s="52" t="str">
        <x:v>GPT-5.1</x:v>
      </x:c>
      <x:c r="F480" s="52" t="str">
        <x:v>model_release</x:v>
      </x:c>
      <x:c r="G480" s="52" t="str">
        <x:v>active</x:v>
      </x:c>
      <x:c r="H480" s="63" t="str">
        <x:v>gpt-5.1-codex-mini</x:v>
      </x:c>
      <x:c r="I480" s="63" t="str">
        <x:v>模型發布：gpt-5.1-codex-mini</x:v>
      </x:c>
      <x:c r="J480" s="63" t="str">
        <x:v>gpt-5.1-codex-mini Released gpt-5.1-codex and gpt-5.1-codex-mini to the Responses API. GPT-5.1-Codex is a version of GPT-5.1 optimized for agentic coding tasks in Codex or similar environments. Read more here.</x:v>
      </x:c>
      <x:c r="K480" s="63" t="str">
        <x:v>OpenAI 於 2025-11-13 為 GPT-5.1 發布模型；此節點依官方發布記錄整理，完整能力、適用方案與限制請見來源。</x:v>
      </x:c>
      <x:c r="L480" s="52" t="str">
        <x:v>https://platform.openai.com/docs/changelog</x:v>
      </x:c>
      <x:c r="M480" s="52" t="str">
        <x:v>developer_changelog</x:v>
      </x:c>
      <x:c r="N480" s="52" t="str">
        <x:v>parsed</x:v>
      </x:c>
      <x:c r="O480" s="52" t="str">
        <x:v>high</x:v>
      </x:c>
      <x:c r="P480" s="60" t="n">
        <x:v>0</x:v>
      </x:c>
      <x:c r="Q480" s="52" t="str"/>
    </x:row>
    <x:row r="481" ht="38" customHeight="1">
      <x:c r="A481" s="57" t="n">
        <x:v>45974</x:v>
      </x:c>
      <x:c r="B481" s="52" t="str">
        <x:v>chatgpt-release-notes</x:v>
      </x:c>
      <x:c r="C481" s="52" t="str">
        <x:v>ChatGPT — Release Notes</x:v>
      </x:c>
      <x:c r="D481" s="52" t="str">
        <x:v>chatgpt_core</x:v>
      </x:c>
      <x:c r="E481" s="52" t="str">
        <x:v>ChatGPT Search</x:v>
      </x:c>
      <x:c r="F481" s="52" t="str">
        <x:v>launch</x:v>
      </x:c>
      <x:c r="G481" s="52" t="str">
        <x:v>active</x:v>
      </x:c>
      <x:c r="H481" s="63" t="str">
        <x:v>Group chats in ChatGPT</x:v>
      </x:c>
      <x:c r="I481" s="63" t="str">
        <x:v>ChatGPT 中的群組聊天</x:v>
      </x:c>
      <x:c r="J481" s="63" t="str">
        <x:v>We’re piloting group chats so you can bring people - and ChatGPT - into the same conversation. Plan trips, make decisions, and collaborate on projects together while ChatGPT helps search, summarize, generate content, and keep everyone on the same page. Group chats are starting to roll out on ChatGPT Web, iOS, and Android in New Zealand, Japan, South Korea, and Taiwan. We’ll use early feedback from this pilot to improve the experience…</x:v>
      </x:c>
      <x:c r="K481" s="63" t="str">
        <x:v>我們正在試行群組聊天，讓您可以將人員和 ChatGPT 帶入同一個對話中。您可以一起規劃旅行、做出決定並協作專案，同時由 ChatGPT 協助搜尋、總結、生成內容並讓所有人保持同步。</x:v>
      </x:c>
      <x:c r="L481" s="52" t="str">
        <x:v>https://help.openai.com/en/articles/6825453-chatgpt-release-notes</x:v>
      </x:c>
      <x:c r="M481" s="52" t="str">
        <x:v>help_center_release_notes</x:v>
      </x:c>
      <x:c r="N481" s="52" t="str">
        <x:v>complete</x:v>
      </x:c>
      <x:c r="O481" s="52" t="str">
        <x:v>high</x:v>
      </x:c>
      <x:c r="P481" s="60" t="n">
        <x:v>4</x:v>
      </x:c>
      <x:c r="Q481" s="52" t="str">
        <x:v>2025 | chatgpt | chatgpt-core | launch</x:v>
      </x:c>
    </x:row>
    <x:row r="482" ht="38" customHeight="1">
      <x:c r="A482" s="57" t="n">
        <x:v>45974</x:v>
      </x:c>
      <x:c r="B482" s="52" t="str">
        <x:v>codex-changelog</x:v>
      </x:c>
      <x:c r="C482" s="52" t="str">
        <x:v>Codex Changelog</x:v>
      </x:c>
      <x:c r="D482" s="52" t="str">
        <x:v>agents_research</x:v>
      </x:c>
      <x:c r="E482" s="52" t="str">
        <x:v>GPT-5.1</x:v>
      </x:c>
      <x:c r="F482" s="52" t="str">
        <x:v>launch</x:v>
      </x:c>
      <x:c r="G482" s="52" t="str">
        <x:v>active</x:v>
      </x:c>
      <x:c r="H482" s="63" t="str">
        <x:v>Introducing GPT-5.1-Codex and GPT-5.1-Codex-Mini</x:v>
      </x:c>
      <x:c r="I482" s="63" t="str">
        <x:v>推出 GPT-5.1-Codex and GPT-5.1-Codex-Mini</x:v>
      </x:c>
      <x:c r="J482" s="63" t="str">
        <x:v>Along with the GPT-5.1 launch in the API , we are introducing new gpt-5.1-codex-mini and gpt-5.1-codex model options in Codex, a version of GPT-5.1 optimized for long-running, agentic coding tasks and use in coding agent harnesses in Codex or Codex-like harnesses. Starting today, the CLI and IDE Extension will default to gpt-5.1-codex on macOS and Linux and gpt-5.1 on Windows. If you have a model specified in your config.toml configu…</x:v>
      </x:c>
      <x:c r="K482" s="63" t="str">
        <x:v>Codex Changelog 在 2025-11-13 記錄了Codex 編碼代理、代理與工具調用相關更新；完整版本與修正內容見官方英文摘要。</x:v>
      </x:c>
      <x:c r="L482" s="52" t="str">
        <x:v>https://developers.openai.com/codex/changelog/</x:v>
      </x:c>
      <x:c r="M482" s="52" t="str">
        <x:v>developer_changelog</x:v>
      </x:c>
      <x:c r="N482" s="52" t="str">
        <x:v>complete</x:v>
      </x:c>
      <x:c r="O482" s="52" t="str">
        <x:v>high</x:v>
      </x:c>
      <x:c r="P482" s="60" t="n">
        <x:v>3</x:v>
      </x:c>
      <x:c r="Q482" s="52" t="str">
        <x:v>codex | release-notes</x:v>
      </x:c>
    </x:row>
    <x:row r="483" ht="38" customHeight="1">
      <x:c r="A483" s="57" t="n">
        <x:v>45974</x:v>
      </x:c>
      <x:c r="B483" s="52" t="str">
        <x:v>lane-openai-api-changelog</x:v>
      </x:c>
      <x:c r="C483" s="52" t="str">
        <x:v>OpenAI API Changelog</x:v>
      </x:c>
      <x:c r="D483" s="52" t="str">
        <x:v>enterprise_vertical</x:v>
      </x:c>
      <x:c r="E483" s="52" t="str">
        <x:v>API Platform Admin</x:v>
      </x:c>
      <x:c r="F483" s="52" t="str">
        <x:v>launch</x:v>
      </x:c>
      <x:c r="G483" s="52" t="str">
        <x:v>active</x:v>
      </x:c>
      <x:c r="H483" s="63" t="str">
        <x:v>Released enhanced role-based access controls (RBAC).</x:v>
      </x:c>
      <x:c r="I483" s="63" t="str">
        <x:v>推出：enhanced role-based access controls (RBAC) .</x:v>
      </x:c>
      <x:c r="J483" s="63" t="str">
        <x:v>Released enhanced role-based access controls (RBAC) . Role-based access control (RBAC) lets you decide who can do what across your organization and projects—both through the API and in the Dashboard.</x:v>
      </x:c>
      <x:c r="K483" s="63" t="str">
        <x:v>推出：enhanced role-based access controls (RBAC)。OpenAI 將此列為 2025-11-13 的功能；重點涉及企業管理控制，模型、端點與參數名稱依官方英文保留。</x:v>
      </x:c>
      <x:c r="L483" s="52" t="str">
        <x:v>https://developers.openai.com/api/docs/changelog</x:v>
      </x:c>
      <x:c r="M483" s="52" t="str">
        <x:v>official_changelog</x:v>
      </x:c>
      <x:c r="N483" s="52" t="str">
        <x:v>complete</x:v>
      </x:c>
      <x:c r="O483" s="52" t="str">
        <x:v>high</x:v>
      </x:c>
      <x:c r="P483" s="60" t="n">
        <x:v>3</x:v>
      </x:c>
      <x:c r="Q483" s="52" t="str">
        <x:v>admin | enterprise | feature</x:v>
      </x:c>
    </x:row>
    <x:row r="484" ht="38" customHeight="1">
      <x:c r="A484" s="57" t="n">
        <x:v>45974</x:v>
      </x:c>
      <x:c r="B484" s="52" t="str">
        <x:v>api-changelog</x:v>
      </x:c>
      <x:c r="C484" s="52" t="str">
        <x:v>OpenAI API Changelog</x:v>
      </x:c>
      <x:c r="D484" s="52" t="str">
        <x:v>developer_platform</x:v>
      </x:c>
      <x:c r="E484" s="52" t="str">
        <x:v>ChatGPT Memory</x:v>
      </x:c>
      <x:c r="F484" s="52" t="str">
        <x:v>launch</x:v>
      </x:c>
      <x:c r="G484" s="52" t="str">
        <x:v>active</x:v>
      </x:c>
      <x:c r="H484" s="63" t="str">
        <x:v>Released extended prompt cache retention.</x:v>
      </x:c>
      <x:c r="I484" s="63" t="str">
        <x:v>發布extended prompt cache retention.</x:v>
      </x:c>
      <x:c r="J484" s="63" t="str">
        <x:v>Released extended prompt cache retention. Extended prompt cache retention keeps cached prefixes active for longer, up to a maximum of 24 hours. Extended Prompt Caching works by offloading the key/value tensors to GPU-local storage when memory is full, significantly increasing the storage capacity available for caching.</x:v>
      </x:c>
      <x:c r="K484" s="63" t="str">
        <x:v>OpenAI 於 2025-11-13 為 ChatGPT Memory 推出新產品或能力；此節點依官方發布記錄整理，完整能力、適用方案與限制請見來源。</x:v>
      </x:c>
      <x:c r="L484" s="52" t="str">
        <x:v>https://platform.openai.com/docs/changelog</x:v>
      </x:c>
      <x:c r="M484" s="52" t="str">
        <x:v>developer_changelog</x:v>
      </x:c>
      <x:c r="N484" s="52" t="str">
        <x:v>parsed</x:v>
      </x:c>
      <x:c r="O484" s="52" t="str">
        <x:v>high</x:v>
      </x:c>
      <x:c r="P484" s="60" t="n">
        <x:v>0</x:v>
      </x:c>
      <x:c r="Q484" s="52" t="str"/>
    </x:row>
    <x:row r="485" ht="38" customHeight="1">
      <x:c r="A485" s="57" t="n">
        <x:v>45974</x:v>
      </x:c>
      <x:c r="B485" s="52" t="str">
        <x:v>lane-openai-api-changelog</x:v>
      </x:c>
      <x:c r="C485" s="52" t="str">
        <x:v>OpenAI API Changelog</x:v>
      </x:c>
      <x:c r="D485" s="52" t="str">
        <x:v>developer_platform</x:v>
      </x:c>
      <x:c r="E485" s="52" t="str">
        <x:v>OpenAI API Platform</x:v>
      </x:c>
      <x:c r="F485" s="52" t="str">
        <x:v>launch</x:v>
      </x:c>
      <x:c r="G485" s="52" t="str">
        <x:v>active</x:v>
      </x:c>
      <x:c r="H485" s="63" t="str">
        <x:v>Released extended prompt cache retention.</x:v>
      </x:c>
      <x:c r="I485" s="63" t="str">
        <x:v>推出：extended prompt cache retention .</x:v>
      </x:c>
      <x:c r="J485" s="63" t="str">
        <x:v>Released extended prompt cache retention . Extended prompt cache retention keeps cached prefixes active for longer, up to a maximum of 24 hours. Extended Prompt Caching works by offloading the key/value tensors to GPU-local storage when memory is full, significantly increasing the storage capacity available for caching.</x:v>
      </x:c>
      <x:c r="K485" s="63" t="str">
        <x:v>推出：extended prompt cache retention。OpenAI 將此列為 2025-11-13 的功能；重點涉及可靠性與效能修正，模型、端點與參數名稱依官方英文保留。</x:v>
      </x:c>
      <x:c r="L485" s="52" t="str">
        <x:v>https://developers.openai.com/api/docs/changelog</x:v>
      </x:c>
      <x:c r="M485" s="52" t="str">
        <x:v>official_changelog</x:v>
      </x:c>
      <x:c r="N485" s="52" t="str">
        <x:v>complete</x:v>
      </x:c>
      <x:c r="O485" s="52" t="str">
        <x:v>high</x:v>
      </x:c>
      <x:c r="P485" s="60" t="n">
        <x:v>3</x:v>
      </x:c>
      <x:c r="Q485" s="52" t="str">
        <x:v>api-platform | feature</x:v>
      </x:c>
    </x:row>
    <x:row r="486" ht="38" customHeight="1">
      <x:c r="A486" s="57" t="n">
        <x:v>45974</x:v>
      </x:c>
      <x:c r="B486" s="52" t="str">
        <x:v>lane-openai-api-changelog</x:v>
      </x:c>
      <x:c r="C486" s="52" t="str">
        <x:v>OpenAI API Changelog</x:v>
      </x:c>
      <x:c r="D486" s="52" t="str">
        <x:v>agents_research</x:v>
      </x:c>
      <x:c r="E486" s="52" t="str">
        <x:v>Codex</x:v>
      </x:c>
      <x:c r="F486" s="52" t="str">
        <x:v>model_release</x:v>
      </x:c>
      <x:c r="G486" s="52" t="str">
        <x:v>active</x:v>
      </x:c>
      <x:c r="H486" s="63" t="str">
        <x:v>Released gpt-5.1-codex and gpt-5.1-codex-mini to the Responses API.</x:v>
      </x:c>
      <x:c r="I486" s="63" t="str">
        <x:v>API 推出 GPT‑5.1 模型家族</x:v>
      </x:c>
      <x:c r="J486" s="63" t="str">
        <x:v>Released gpt-5.1-codex and gpt-5.1-codex-mini to the Responses API. GPT-5.1-Codex is a version of GPT-5.1 optimized for agentic coding tasks in Codex or similar environments. Read more here .</x:v>
      </x:c>
      <x:c r="K486" s="63" t="str">
        <x:v>API 推出 GPT‑5.1 模型家族。OpenAI 將此列為 2025-11-13 的功能；重點涉及Codex 編碼代理、代理與工具調用，模型、端點與參數名稱依官方英文保留。</x:v>
      </x:c>
      <x:c r="L486" s="52" t="str">
        <x:v>https://developers.openai.com/api/docs/changelog</x:v>
      </x:c>
      <x:c r="M486" s="52" t="str">
        <x:v>official_changelog</x:v>
      </x:c>
      <x:c r="N486" s="52" t="str">
        <x:v>complete</x:v>
      </x:c>
      <x:c r="O486" s="52" t="str">
        <x:v>high</x:v>
      </x:c>
      <x:c r="P486" s="60" t="n">
        <x:v>4</x:v>
      </x:c>
      <x:c r="Q486" s="52" t="str">
        <x:v>codex | coding-agent | feature</x:v>
      </x:c>
    </x:row>
    <x:row r="487" ht="38" customHeight="1">
      <x:c r="A487" s="57" t="n">
        <x:v>45974</x:v>
      </x:c>
      <x:c r="B487" s="52" t="str">
        <x:v>lane-openai-api-changelog</x:v>
      </x:c>
      <x:c r="C487" s="52" t="str">
        <x:v>OpenAI API Changelog</x:v>
      </x:c>
      <x:c r="D487" s="52" t="str">
        <x:v>agents_research</x:v>
      </x:c>
      <x:c r="E487" s="52" t="str">
        <x:v>Codex</x:v>
      </x:c>
      <x:c r="F487" s="52" t="str">
        <x:v>model_release</x:v>
      </x:c>
      <x:c r="G487" s="52" t="str">
        <x:v>active</x:v>
      </x:c>
      <x:c r="H487" s="63" t="str">
        <x:v>Released GPT-5.1, the newest flagship model in the GPT-5 model family.</x:v>
      </x:c>
      <x:c r="I487" s="63" t="str">
        <x:v>API 推出 GPT‑5.1 模型家族</x:v>
      </x:c>
      <x:c r="J487" s="63" t="str">
        <x:v>Released GPT-5.1 , the newest flagship model in the GPT-5 model family. GPT-5.1 is trained to be especially proficient in: Steerability and faster responses when less thinking's required Code generation and coding use cases Agentic workflows Note that GPT-5.1 defaults to a new none reasoning setting for faster responses when less thinking's required—different from the previous medium default setting in GPT-5.</x:v>
      </x:c>
      <x:c r="K487" s="63" t="str">
        <x:v>API 推出 GPT‑5.1 模型家族。OpenAI 將此列為 2025-11-13 的功能；重點涉及代理與工具調用，模型、端點與參數名稱依官方英文保留。</x:v>
      </x:c>
      <x:c r="L487" s="52" t="str">
        <x:v>https://developers.openai.com/api/docs/changelog</x:v>
      </x:c>
      <x:c r="M487" s="52" t="str">
        <x:v>official_changelog</x:v>
      </x:c>
      <x:c r="N487" s="52" t="str">
        <x:v>complete</x:v>
      </x:c>
      <x:c r="O487" s="52" t="str">
        <x:v>high</x:v>
      </x:c>
      <x:c r="P487" s="60" t="n">
        <x:v>4</x:v>
      </x:c>
      <x:c r="Q487" s="52" t="str">
        <x:v>codex | coding-agent | feature</x:v>
      </x:c>
    </x:row>
    <x:row r="488" ht="38" customHeight="1">
      <x:c r="A488" s="57" t="n">
        <x:v>45975</x:v>
      </x:c>
      <x:c r="B488" s="52" t="str">
        <x:v>api-deprecations</x:v>
      </x:c>
      <x:c r="C488" s="52" t="str">
        <x:v>OpenAI API Deprecations</x:v>
      </x:c>
      <x:c r="D488" s="52" t="str">
        <x:v>safety_lifecycle</x:v>
      </x:c>
      <x:c r="E488" s="52" t="str">
        <x:v>ChatGPT Images</x:v>
      </x:c>
      <x:c r="F488" s="52" t="str">
        <x:v>deprecation</x:v>
      </x:c>
      <x:c r="G488" s="52" t="str">
        <x:v>deprecated</x:v>
      </x:c>
      <x:c r="H488" s="63" t="str">
        <x:v>DALL·E model snapshots</x:v>
      </x:c>
      <x:c r="I488" s="63" t="str">
        <x:v>淘汰通知：DALL·E model snapshots</x:v>
      </x:c>
      <x:c r="J488" s="63" t="str">
        <x:v>On November 14th, 2025, we notified developers using DALL·E model snapshots of their deprecation and removal from the API on May 12, 2026.</x:v>
      </x:c>
      <x:c r="K488" s="63" t="str">
        <x:v>OpenAI 於 2025-11-14 為 ChatGPT Images 公布淘汰計畫；此節點依官方發布記錄整理，完整能力、適用方案與限制請見來源。</x:v>
      </x:c>
      <x:c r="L488" s="52" t="str">
        <x:v>https://platform.openai.com/docs/deprecations</x:v>
      </x:c>
      <x:c r="M488" s="52" t="str">
        <x:v>developer_deprecations</x:v>
      </x:c>
      <x:c r="N488" s="52" t="str">
        <x:v>parsed</x:v>
      </x:c>
      <x:c r="O488" s="52" t="str">
        <x:v>high</x:v>
      </x:c>
      <x:c r="P488" s="60" t="n">
        <x:v>0</x:v>
      </x:c>
      <x:c r="Q488" s="52" t="str"/>
    </x:row>
    <x:row r="489" ht="38" customHeight="1">
      <x:c r="A489" s="57" t="n">
        <x:v>45975</x:v>
      </x:c>
      <x:c r="B489" s="52" t="str">
        <x:v>lane-openai-api-deprecations</x:v>
      </x:c>
      <x:c r="C489" s="52" t="str">
        <x:v>OpenAI API Deprecations</x:v>
      </x:c>
      <x:c r="D489" s="52" t="str">
        <x:v>safety_lifecycle</x:v>
      </x:c>
      <x:c r="E489" s="52" t="str">
        <x:v>Image API</x:v>
      </x:c>
      <x:c r="F489" s="52" t="str">
        <x:v>deprecation</x:v>
      </x:c>
      <x:c r="G489" s="52" t="str">
        <x:v>deprecated</x:v>
      </x:c>
      <x:c r="H489" s="63" t="str">
        <x:v>DALL·E model snapshots deprecation</x:v>
      </x:c>
      <x:c r="I489" s="63" t="str">
        <x:v>DALL·E model snapshots 棄用公告</x:v>
      </x:c>
      <x:c r="J489" s="63" t="str">
        <x:v>On November 14th, 2025, we notified developers using DALL·E model snapshots of their deprecation and removal from the API on May 12, 2026. Schedule/replacements: 2026-05-12 dall-e-2 gpt-image-2 , gpt-image-1 , or gpt-image-1-mini; 2026-05-12 dall-e-3 gpt-image-2 , gpt-image-1 , or gpt-image-1-mini</x:v>
      </x:c>
      <x:c r="K489" s="63" t="str">
        <x:v>OpenAI 於 2025-11-14 公告 DALL·E model snapshots 的棄用或下線時程，並列出替代方案與遷移方向。</x:v>
      </x:c>
      <x:c r="L489" s="52" t="str">
        <x:v>https://developers.openai.com/api/docs/deprecations#2025-11-14-dalle-model-snapshots</x:v>
      </x:c>
      <x:c r="M489" s="52" t="str">
        <x:v>official_deprecation_registry</x:v>
      </x:c>
      <x:c r="N489" s="52" t="str">
        <x:v>complete</x:v>
      </x:c>
      <x:c r="O489" s="52" t="str">
        <x:v>high</x:v>
      </x:c>
      <x:c r="P489" s="60" t="n">
        <x:v>4</x:v>
      </x:c>
      <x:c r="Q489" s="52" t="str">
        <x:v>api | deprecation | image-api</x:v>
      </x:c>
    </x:row>
    <x:row r="490" ht="38" customHeight="1">
      <x:c r="A490" s="57" t="n">
        <x:v>45978</x:v>
      </x:c>
      <x:c r="B490" s="52" t="str">
        <x:v>api-deprecations</x:v>
      </x:c>
      <x:c r="C490" s="52" t="str">
        <x:v>OpenAI API Deprecations</x:v>
      </x:c>
      <x:c r="D490" s="52" t="str">
        <x:v>safety_lifecycle</x:v>
      </x:c>
      <x:c r="E490" s="52" t="str">
        <x:v>Codex</x:v>
      </x:c>
      <x:c r="F490" s="52" t="str">
        <x:v>deprecation</x:v>
      </x:c>
      <x:c r="G490" s="52" t="str">
        <x:v>deprecated</x:v>
      </x:c>
      <x:c r="H490" s="63" t="str">
        <x:v>codex-mini-latest model snapshot</x:v>
      </x:c>
      <x:c r="I490" s="63" t="str">
        <x:v>淘汰通知：codex-mini-latest model snapshot</x:v>
      </x:c>
      <x:c r="J490" s="63" t="str">
        <x:v>On November 17th, 2025, we notified developers using codex-mini-latest model of its deprecation and removal from the API on February 12, 2026. As part of this deprecation, we will no longer support our legacy local shell tool, which is only available for use with codex-mini-latest. For new use cases, please use our latest shell tool.</x:v>
      </x:c>
      <x:c r="K490" s="63" t="str">
        <x:v>OpenAI 於 2025-11-17 為 Codex 公布淘汰計畫；此節點依官方發布記錄整理，完整能力、適用方案與限制請見來源。</x:v>
      </x:c>
      <x:c r="L490" s="52" t="str">
        <x:v>https://platform.openai.com/docs/deprecations</x:v>
      </x:c>
      <x:c r="M490" s="52" t="str">
        <x:v>developer_deprecations</x:v>
      </x:c>
      <x:c r="N490" s="52" t="str">
        <x:v>parsed</x:v>
      </x:c>
      <x:c r="O490" s="52" t="str">
        <x:v>high</x:v>
      </x:c>
      <x:c r="P490" s="60" t="n">
        <x:v>0</x:v>
      </x:c>
      <x:c r="Q490" s="52" t="str"/>
    </x:row>
    <x:row r="491" ht="38" customHeight="1">
      <x:c r="A491" s="57" t="n">
        <x:v>45978</x:v>
      </x:c>
      <x:c r="B491" s="52" t="str">
        <x:v>lane-openai-api-deprecations</x:v>
      </x:c>
      <x:c r="C491" s="52" t="str">
        <x:v>OpenAI API Deprecations</x:v>
      </x:c>
      <x:c r="D491" s="52" t="str">
        <x:v>safety_lifecycle</x:v>
      </x:c>
      <x:c r="E491" s="52" t="str">
        <x:v>Model Platform</x:v>
      </x:c>
      <x:c r="F491" s="52" t="str">
        <x:v>deprecation</x:v>
      </x:c>
      <x:c r="G491" s="52" t="str">
        <x:v>deprecated</x:v>
      </x:c>
      <x:c r="H491" s="63" t="str">
        <x:v>codex-mini-latest model snapshot deprecation</x:v>
      </x:c>
      <x:c r="I491" s="63" t="str">
        <x:v>codex-mini-latest model snapshot 棄用公告</x:v>
      </x:c>
      <x:c r="J491" s="63" t="str">
        <x:v>On November 17th, 2025, we notified developers using codex-mini-latest model of its deprecation and removal from the API on February 12, 2026. As part of this deprecation, we will no longer support our legacy local shell tool, which is only available for use with codex-mini-latest . For new use cases, please use our latest shell tool. Schedule/replacements: 2026-02-12 codex-mini-latest gpt-5-codex-mini</x:v>
      </x:c>
      <x:c r="K491" s="63" t="str">
        <x:v>OpenAI 於 2025-11-17 公告 codex-mini-latest model snapshot 的棄用或下線時程，並列出替代方案與遷移方向。</x:v>
      </x:c>
      <x:c r="L491" s="52" t="str">
        <x:v>https://developers.openai.com/api/docs/deprecations#2025-11-17-codex-mini-latest-model-snapshot</x:v>
      </x:c>
      <x:c r="M491" s="52" t="str">
        <x:v>official_deprecation_registry</x:v>
      </x:c>
      <x:c r="N491" s="52" t="str">
        <x:v>complete</x:v>
      </x:c>
      <x:c r="O491" s="52" t="str">
        <x:v>high</x:v>
      </x:c>
      <x:c r="P491" s="60" t="n">
        <x:v>4</x:v>
      </x:c>
      <x:c r="Q491" s="52" t="str">
        <x:v>api | deprecation | model-platform</x:v>
      </x:c>
    </x:row>
    <x:row r="492" ht="38" customHeight="1">
      <x:c r="A492" s="57" t="n">
        <x:v>45979</x:v>
      </x:c>
      <x:c r="B492" s="52" t="str">
        <x:v>atlas-release-notes</x:v>
      </x:c>
      <x:c r="C492" s="52" t="str">
        <x:v>ChatGPT Atlas — Release Notes</x:v>
      </x:c>
      <x:c r="D492" s="52" t="str">
        <x:v>clients_surfaces</x:v>
      </x:c>
      <x:c r="E492" s="52" t="str">
        <x:v>ChatGPT</x:v>
      </x:c>
      <x:c r="F492" s="52" t="str">
        <x:v>feature</x:v>
      </x:c>
      <x:c r="G492" s="52" t="str">
        <x:v>active</x:v>
      </x:c>
      <x:c r="H492" s="63" t="str">
        <x:v>Ask ChatGPT Sidebar</x:v>
      </x:c>
      <x:c r="I492" s="63" t="str">
        <x:v>功能更新：Ask ChatGPT Sidebar</x:v>
      </x:c>
      <x:c r="J492" s="63" t="str">
        <x:v>Insert from Ask ChatGPT sidebar: We’ve added an "Insert” button in the Ask ChatGPT sidebar when you’re getting writing help and making edits. Faster responses: When browser memories are enabled, responses should be faster</x:v>
      </x:c>
      <x:c r="K492" s="63" t="str">
        <x:v>OpenAI 於 2025-11-18 為 ChatGPT 新增功能；此節點依官方發布記錄整理，完整能力、適用方案與限制請見來源。</x:v>
      </x:c>
      <x:c r="L492" s="52" t="str">
        <x:v>https://help.openai.com/en/articles/12591856-chatgpt-atlas-release-notes</x:v>
      </x:c>
      <x:c r="M492" s="52" t="str">
        <x:v>help_center_release_notes</x:v>
      </x:c>
      <x:c r="N492" s="52" t="str">
        <x:v>parsed</x:v>
      </x:c>
      <x:c r="O492" s="52" t="str">
        <x:v>high</x:v>
      </x:c>
      <x:c r="P492" s="60" t="n">
        <x:v>0</x:v>
      </x:c>
      <x:c r="Q492" s="52" t="str"/>
    </x:row>
    <x:row r="493" ht="38" customHeight="1">
      <x:c r="A493" s="57" t="n">
        <x:v>45979</x:v>
      </x:c>
      <x:c r="B493" s="52" t="str">
        <x:v>atlas-release-notes</x:v>
      </x:c>
      <x:c r="C493" s="52" t="str">
        <x:v>ChatGPT Atlas — Release Notes</x:v>
      </x:c>
      <x:c r="D493" s="52" t="str">
        <x:v>clients_surfaces</x:v>
      </x:c>
      <x:c r="E493" s="52" t="str">
        <x:v>ChatGPT Atlas</x:v>
      </x:c>
      <x:c r="F493" s="52" t="str">
        <x:v>feature</x:v>
      </x:c>
      <x:c r="G493" s="52" t="str">
        <x:v>active</x:v>
      </x:c>
      <x:c r="H493" s="63" t="str">
        <x:v>Atlas vertical tabs, default search and sidebar insertion</x:v>
      </x:c>
      <x:c r="I493" s="63" t="str">
        <x:v>Atlas 垂直分頁、預設搜尋與側欄插入</x:v>
      </x:c>
      <x:c r="J493" s="63" t="str">
        <x:v>Atlas added vertical and multi-tab controls, a Google default-search option, insertion from the Ask ChatGPT sidebar, extension import, downloads UI and new shortcuts.</x:v>
      </x:c>
      <x:c r="K493" s="63" t="str">
        <x:v>Atlas 新增垂直/多分頁控制、Google 預設搜尋、Ask ChatGPT 插入、擴充匯入、下載介面與快捷鍵。</x:v>
      </x:c>
      <x:c r="L493" s="52" t="str">
        <x:v>https://help.openai.com/en/articles/12591856-chatgpt-atlas-release-notes</x:v>
      </x:c>
      <x:c r="M493" s="52" t="str">
        <x:v>help_center_release_notes</x:v>
      </x:c>
      <x:c r="N493" s="52" t="str">
        <x:v>parsed</x:v>
      </x:c>
      <x:c r="O493" s="52" t="str">
        <x:v>high</x:v>
      </x:c>
      <x:c r="P493" s="60" t="n">
        <x:v>3</x:v>
      </x:c>
      <x:c r="Q493" s="52" t="str">
        <x:v>atlas | search | tabs</x:v>
      </x:c>
    </x:row>
    <x:row r="494" ht="38" customHeight="1">
      <x:c r="A494" s="57" t="n">
        <x:v>45979</x:v>
      </x:c>
      <x:c r="B494" s="52" t="str">
        <x:v>atlas-release-notes</x:v>
      </x:c>
      <x:c r="C494" s="52" t="str">
        <x:v>ChatGPT Atlas — Release Notes</x:v>
      </x:c>
      <x:c r="D494" s="52" t="str">
        <x:v>clients_surfaces</x:v>
      </x:c>
      <x:c r="E494" s="52" t="str">
        <x:v>ChatGPT Search</x:v>
      </x:c>
      <x:c r="F494" s="52" t="str">
        <x:v>feature</x:v>
      </x:c>
      <x:c r="G494" s="52" t="str">
        <x:v>active</x:v>
      </x:c>
      <x:c r="H494" s="63" t="str">
        <x:v>Chat and search</x:v>
      </x:c>
      <x:c r="I494" s="63" t="str">
        <x:v>功能更新：Chat and search</x:v>
      </x:c>
      <x:c r="J494" s="63" t="str">
        <x:v>Default search engine: Option to set Google as a default search engine. Go to settings default search engine.</x:v>
      </x:c>
      <x:c r="K494" s="63" t="str">
        <x:v>OpenAI 於 2025-11-18 為 ChatGPT Search 新增功能；此節點依官方發布記錄整理，完整能力、適用方案與限制請見來源。</x:v>
      </x:c>
      <x:c r="L494" s="52" t="str">
        <x:v>https://help.openai.com/en/articles/12591856-chatgpt-atlas-release-notes</x:v>
      </x:c>
      <x:c r="M494" s="52" t="str">
        <x:v>help_center_release_notes</x:v>
      </x:c>
      <x:c r="N494" s="52" t="str">
        <x:v>parsed</x:v>
      </x:c>
      <x:c r="O494" s="52" t="str">
        <x:v>high</x:v>
      </x:c>
      <x:c r="P494" s="60" t="n">
        <x:v>0</x:v>
      </x:c>
      <x:c r="Q494" s="52" t="str"/>
    </x:row>
    <x:row r="495" ht="38" customHeight="1">
      <x:c r="A495" s="57" t="n">
        <x:v>45979</x:v>
      </x:c>
      <x:c r="B495" s="52" t="str">
        <x:v>api-deprecations</x:v>
      </x:c>
      <x:c r="C495" s="52" t="str">
        <x:v>OpenAI API Deprecations</x:v>
      </x:c>
      <x:c r="D495" s="52" t="str">
        <x:v>safety_lifecycle</x:v>
      </x:c>
      <x:c r="E495" s="52" t="str">
        <x:v>GPT-4o</x:v>
      </x:c>
      <x:c r="F495" s="52" t="str">
        <x:v>deprecation</x:v>
      </x:c>
      <x:c r="G495" s="52" t="str">
        <x:v>deprecated</x:v>
      </x:c>
      <x:c r="H495" s="63" t="str">
        <x:v>chatgpt-4o-latest snapshot</x:v>
      </x:c>
      <x:c r="I495" s="63" t="str">
        <x:v>淘汰通知：chatgpt-4o-latest snapshot</x:v>
      </x:c>
      <x:c r="J495" s="63" t="str">
        <x:v>On November 18th, 2025, we notified developers using chatgpt-4o-latest model snapshot of its deprecation and removal from the API on February 17, 2026.</x:v>
      </x:c>
      <x:c r="K495" s="63" t="str">
        <x:v>OpenAI 於 2025-11-18 為 GPT-4o 公布淘汰計畫；此節點依官方發布記錄整理，完整能力、適用方案與限制請見來源。</x:v>
      </x:c>
      <x:c r="L495" s="52" t="str">
        <x:v>https://platform.openai.com/docs/deprecations</x:v>
      </x:c>
      <x:c r="M495" s="52" t="str">
        <x:v>developer_deprecations</x:v>
      </x:c>
      <x:c r="N495" s="52" t="str">
        <x:v>parsed</x:v>
      </x:c>
      <x:c r="O495" s="52" t="str">
        <x:v>high</x:v>
      </x:c>
      <x:c r="P495" s="60" t="n">
        <x:v>0</x:v>
      </x:c>
      <x:c r="Q495" s="52" t="str"/>
    </x:row>
    <x:row r="496" ht="38" customHeight="1">
      <x:c r="A496" s="57" t="n">
        <x:v>45979</x:v>
      </x:c>
      <x:c r="B496" s="52" t="str">
        <x:v>lane-openai-api-deprecations</x:v>
      </x:c>
      <x:c r="C496" s="52" t="str">
        <x:v>OpenAI API Deprecations</x:v>
      </x:c>
      <x:c r="D496" s="52" t="str">
        <x:v>safety_lifecycle</x:v>
      </x:c>
      <x:c r="E496" s="52" t="str">
        <x:v>Model Platform</x:v>
      </x:c>
      <x:c r="F496" s="52" t="str">
        <x:v>deprecation</x:v>
      </x:c>
      <x:c r="G496" s="52" t="str">
        <x:v>deprecated</x:v>
      </x:c>
      <x:c r="H496" s="63" t="str">
        <x:v>chatgpt-4o-latest snapshot deprecation</x:v>
      </x:c>
      <x:c r="I496" s="63" t="str">
        <x:v>chatgpt-4o-latest snapshot 棄用公告</x:v>
      </x:c>
      <x:c r="J496" s="63" t="str">
        <x:v>On November 18th, 2025, we notified developers using chatgpt-4o-latest model snapshot of its deprecation and removal from the API on February 17, 2026. Schedule/replacements: 2026-02-17 chatgpt-4o-latest gpt-5.1-chat-latest</x:v>
      </x:c>
      <x:c r="K496" s="63" t="str">
        <x:v>OpenAI 於 2025-11-18 公告 chatgpt-4o-latest snapshot 的棄用或下線時程，並列出替代方案與遷移方向。</x:v>
      </x:c>
      <x:c r="L496" s="52" t="str">
        <x:v>https://developers.openai.com/api/docs/deprecations#2025-11-18-chatgpt-4o-latest-snapshot</x:v>
      </x:c>
      <x:c r="M496" s="52" t="str">
        <x:v>official_deprecation_registry</x:v>
      </x:c>
      <x:c r="N496" s="52" t="str">
        <x:v>complete</x:v>
      </x:c>
      <x:c r="O496" s="52" t="str">
        <x:v>high</x:v>
      </x:c>
      <x:c r="P496" s="60" t="n">
        <x:v>4</x:v>
      </x:c>
      <x:c r="Q496" s="52" t="str">
        <x:v>api | deprecation | model-platform</x:v>
      </x:c>
    </x:row>
    <x:row r="497" ht="38" customHeight="1">
      <x:c r="A497" s="57" t="n">
        <x:v>45979</x:v>
      </x:c>
      <x:c r="B497" s="52" t="str">
        <x:v>codex-changelog</x:v>
      </x:c>
      <x:c r="C497" s="52" t="str">
        <x:v>Codex Changelog</x:v>
      </x:c>
      <x:c r="D497" s="52" t="str">
        <x:v>agents_research</x:v>
      </x:c>
      <x:c r="E497" s="52" t="str">
        <x:v>GPT-5.1</x:v>
      </x:c>
      <x:c r="F497" s="52" t="str">
        <x:v>launch</x:v>
      </x:c>
      <x:c r="G497" s="52" t="str">
        <x:v>active</x:v>
      </x:c>
      <x:c r="H497" s="63" t="str">
        <x:v>Introducing GPT-5.1-Codex-Max</x:v>
      </x:c>
      <x:c r="I497" s="63" t="str">
        <x:v>推出 GPT-5.1-Codex-Max</x:v>
      </x:c>
      <x:c r="J497" s="63" t="str">
        <x:v>Today we are releasing GPT-5.1-Codex-Max , our new frontier agentic coding model. GPT‑5.1-Codex-Max is built on an update to our foundational reasoning model, which is trained on agentic tasks across software engineering, math, research, and more. GPT‑5.1-Codex-Max is faster, more intelligent, and more token-efficient at every stage of the development cycle–and a new step towards becoming a reliable coding partner. Starting today, th…</x:v>
      </x:c>
      <x:c r="K497" s="63" t="str">
        <x:v>Codex Changelog 在 2025-11-18 記錄了Codex 編碼代理、代理與工具調用相關更新；完整版本與修正內容見官方英文摘要。</x:v>
      </x:c>
      <x:c r="L497" s="52" t="str">
        <x:v>https://developers.openai.com/codex/changelog/</x:v>
      </x:c>
      <x:c r="M497" s="52" t="str">
        <x:v>developer_changelog</x:v>
      </x:c>
      <x:c r="N497" s="52" t="str">
        <x:v>complete</x:v>
      </x:c>
      <x:c r="O497" s="52" t="str">
        <x:v>high</x:v>
      </x:c>
      <x:c r="P497" s="60" t="n">
        <x:v>3</x:v>
      </x:c>
      <x:c r="Q497" s="52" t="str">
        <x:v>codex | release-notes</x:v>
      </x:c>
    </x:row>
    <x:row r="498" ht="38" customHeight="1">
      <x:c r="A498" s="57" t="n">
        <x:v>45979</x:v>
      </x:c>
      <x:c r="B498" s="52" t="str">
        <x:v>atlas-release-notes</x:v>
      </x:c>
      <x:c r="C498" s="52" t="str">
        <x:v>ChatGPT Atlas — Release Notes</x:v>
      </x:c>
      <x:c r="D498" s="52" t="str">
        <x:v>clients_surfaces</x:v>
      </x:c>
      <x:c r="E498" s="52" t="str">
        <x:v>ChatGPT Search</x:v>
      </x:c>
      <x:c r="F498" s="52" t="str">
        <x:v>feature</x:v>
      </x:c>
      <x:c r="G498" s="52" t="str">
        <x:v>active</x:v>
      </x:c>
      <x:c r="H498" s="63" t="str">
        <x:v>New shortcuts</x:v>
      </x:c>
      <x:c r="I498" s="63" t="str">
        <x:v>新增shortcuts</x:v>
      </x:c>
      <x:c r="J498" s="63" t="str">
        <x:v>Search chats from new tab page - Command + K Open conversation history sidebar from new tab page - Command + Shift + S</x:v>
      </x:c>
      <x:c r="K498" s="63" t="str">
        <x:v>OpenAI 於 2025-11-18 為 ChatGPT Search 新增功能；此節點依官方發布記錄整理，完整能力、適用方案與限制請見來源。</x:v>
      </x:c>
      <x:c r="L498" s="52" t="str">
        <x:v>https://help.openai.com/en/articles/12591856-chatgpt-atlas-release-notes</x:v>
      </x:c>
      <x:c r="M498" s="52" t="str">
        <x:v>help_center_release_notes</x:v>
      </x:c>
      <x:c r="N498" s="52" t="str">
        <x:v>parsed</x:v>
      </x:c>
      <x:c r="O498" s="52" t="str">
        <x:v>high</x:v>
      </x:c>
      <x:c r="P498" s="60" t="n">
        <x:v>0</x:v>
      </x:c>
      <x:c r="Q498" s="52" t="str"/>
    </x:row>
    <x:row r="499" ht="38" customHeight="1">
      <x:c r="A499" s="57" t="n">
        <x:v>45979</x:v>
      </x:c>
      <x:c r="B499" s="52" t="str">
        <x:v>atlas-release-notes</x:v>
      </x:c>
      <x:c r="C499" s="52" t="str">
        <x:v>ChatGPT Atlas — Release Notes</x:v>
      </x:c>
      <x:c r="D499" s="52" t="str">
        <x:v>clients_surfaces</x:v>
      </x:c>
      <x:c r="E499" s="52" t="str">
        <x:v>ChatGPT Atlas</x:v>
      </x:c>
      <x:c r="F499" s="52" t="str">
        <x:v>model_update</x:v>
      </x:c>
      <x:c r="G499" s="52" t="str">
        <x:v>active</x:v>
      </x:c>
      <x:c r="H499" s="63" t="str">
        <x:v>Other updates</x:v>
      </x:c>
      <x:c r="I499" s="63" t="str">
        <x:v>模型更新：Other updates</x:v>
      </x:c>
      <x:c r="J499" s="63" t="str">
        <x:v>Extensions import: Now you can import extensions from your current browser when you download Atlas. Coming soon for existing Atlas users. Downloads UI: Now you can more easily see your downloads in Atlas with an improved downloads interface.</x:v>
      </x:c>
      <x:c r="K499" s="63" t="str">
        <x:v>OpenAI 於 2025-11-18 為 ChatGPT Atlas 更新模型或體驗；此節點依官方發布記錄整理，完整能力、適用方案與限制請見來源。</x:v>
      </x:c>
      <x:c r="L499" s="52" t="str">
        <x:v>https://help.openai.com/en/articles/12591856-chatgpt-atlas-release-notes</x:v>
      </x:c>
      <x:c r="M499" s="52" t="str">
        <x:v>help_center_release_notes</x:v>
      </x:c>
      <x:c r="N499" s="52" t="str">
        <x:v>parsed</x:v>
      </x:c>
      <x:c r="O499" s="52" t="str">
        <x:v>high</x:v>
      </x:c>
      <x:c r="P499" s="60" t="n">
        <x:v>0</x:v>
      </x:c>
      <x:c r="Q499" s="52" t="str"/>
    </x:row>
    <x:row r="500" ht="38" customHeight="1">
      <x:c r="A500" s="57" t="n">
        <x:v>45979</x:v>
      </x:c>
      <x:c r="B500" s="52" t="str">
        <x:v>atlas-release-notes</x:v>
      </x:c>
      <x:c r="C500" s="52" t="str">
        <x:v>ChatGPT Atlas — Release Notes</x:v>
      </x:c>
      <x:c r="D500" s="52" t="str">
        <x:v>clients_surfaces</x:v>
      </x:c>
      <x:c r="E500" s="52" t="str">
        <x:v>ChatGPT</x:v>
      </x:c>
      <x:c r="F500" s="52" t="str">
        <x:v>feature</x:v>
      </x:c>
      <x:c r="G500" s="52" t="str">
        <x:v>active</x:v>
      </x:c>
      <x:c r="H500" s="63" t="str">
        <x:v>Tabs</x:v>
      </x:c>
      <x:c r="I500" s="63" t="str">
        <x:v>功能更新：Tabs</x:v>
      </x:c>
      <x:c r="J500" s="63" t="str">
        <x:v>Vertical tabs: You can now choose vertical tabs as your preferred tab layout. Go to settings tab style vertical tabs Select multiple tabs: You can also select and drag multiple tabs at once using command click and shift click.</x:v>
      </x:c>
      <x:c r="K500" s="63" t="str">
        <x:v>OpenAI 於 2025-11-18 為 ChatGPT 新增功能；此節點依官方發布記錄整理，完整能力、適用方案與限制請見來源。</x:v>
      </x:c>
      <x:c r="L500" s="52" t="str">
        <x:v>https://help.openai.com/en/articles/12591856-chatgpt-atlas-release-notes</x:v>
      </x:c>
      <x:c r="M500" s="52" t="str">
        <x:v>help_center_release_notes</x:v>
      </x:c>
      <x:c r="N500" s="52" t="str">
        <x:v>parsed</x:v>
      </x:c>
      <x:c r="O500" s="52" t="str">
        <x:v>high</x:v>
      </x:c>
      <x:c r="P500" s="60" t="n">
        <x:v>0</x:v>
      </x:c>
      <x:c r="Q500" s="52" t="str"/>
    </x:row>
    <x:row r="501" ht="38" customHeight="1">
      <x:c r="A501" s="57" t="n">
        <x:v>45980</x:v>
      </x:c>
      <x:c r="B501" s="52" t="str">
        <x:v>chatgpt-release-notes</x:v>
      </x:c>
      <x:c r="C501" s="52" t="str">
        <x:v>ChatGPT — Release Notes</x:v>
      </x:c>
      <x:c r="D501" s="52" t="str">
        <x:v>models_reasoning</x:v>
      </x:c>
      <x:c r="E501" s="52" t="str">
        <x:v>GPT-5.1</x:v>
      </x:c>
      <x:c r="F501" s="52" t="str">
        <x:v>model_release</x:v>
      </x:c>
      <x:c r="G501" s="52" t="str">
        <x:v>active</x:v>
      </x:c>
      <x:c r="H501" s="63" t="str">
        <x:v>GPT-5.1 Pro: Clearer, more capable answers for complex work</x:v>
      </x:c>
      <x:c r="I501" s="63" t="str">
        <x:v>GPT-5.1 Pro：針對複雜工作提供更清晰、更有能力的回答</x:v>
      </x:c>
      <x:c r="J501" s="63" t="str">
        <x:v>Today we’re updating GPT-5 Pro to GPT-5.1 Pro. In early testing, users consistently preferred GPT-5.1 Pro over GPT-5 Pro, rating it especially highly for writing help, data science, and business questions. Testers highlighted the model’s improved clarity, relevance, and structure in its responses. GPT-5.1 Pro is rolling out today for all ChatGPT Pro users and is available in the model picker. GPT-5 Pro will remain available as a lega…</x:v>
      </x:c>
      <x:c r="K501" s="63" t="str">
        <x:v>今天我們將 GPT-5 Pro 更新為 GPT-5.1 Pro。在早期測試中，使用者一致偏好 GPT-5.1 Pro 勝過 GPT-5 Pro，並在寫作協助、數據科學和商業問題方面給予極高評價。測試人員強調了該模型在回應時具有更佳的清晰度、相關性和結構。</x:v>
      </x:c>
      <x:c r="L501" s="52" t="str">
        <x:v>https://help.openai.com/en/articles/6825453-chatgpt-release-notes</x:v>
      </x:c>
      <x:c r="M501" s="52" t="str">
        <x:v>help_center_release_notes</x:v>
      </x:c>
      <x:c r="N501" s="52" t="str">
        <x:v>complete</x:v>
      </x:c>
      <x:c r="O501" s="52" t="str">
        <x:v>high</x:v>
      </x:c>
      <x:c r="P501" s="60" t="n">
        <x:v>4</x:v>
      </x:c>
      <x:c r="Q501" s="52" t="str">
        <x:v>2025 | gpt-5.1 | model_release | models-reasoning</x:v>
      </x:c>
    </x:row>
    <x:row r="502" ht="38" customHeight="1">
      <x:c r="A502" s="57" t="n">
        <x:v>45980</x:v>
      </x:c>
      <x:c r="B502" s="52" t="str">
        <x:v>model-release-notes</x:v>
      </x:c>
      <x:c r="C502" s="52" t="str">
        <x:v>Model Release Notes</x:v>
      </x:c>
      <x:c r="D502" s="52" t="str">
        <x:v>models_reasoning</x:v>
      </x:c>
      <x:c r="E502" s="52" t="str">
        <x:v>GPT-5.1</x:v>
      </x:c>
      <x:c r="F502" s="52" t="str">
        <x:v>model_release</x:v>
      </x:c>
      <x:c r="G502" s="52" t="str">
        <x:v>active</x:v>
      </x:c>
      <x:c r="H502" s="63" t="str">
        <x:v>Introducing GPT-5-Codex-Max</x:v>
      </x:c>
      <x:c r="I502" s="63" t="str">
        <x:v>推出GPT-5-Codex-Max</x:v>
      </x:c>
      <x:c r="J502" s="63" t="str">
        <x:v>GPT-5.1-Codex-Max is our new frontier agentic coding model built for long-running, project-scale work. It’s faster, more capable, and more token‑efficient than GPT‑5.1‑Codex, using compaction to work coherently across multiple context windows. You can use it in Codex surfaces today, including the CLI, IDE extension, cloud, and code review. Rates are the same as for GPT-5.1-Codex.</x:v>
      </x:c>
      <x:c r="K502" s="63" t="str">
        <x:v>OpenAI 於 2025-11-19 為 GPT-5.1 發布模型；此節點依官方發布記錄整理，完整能力、適用方案與限制請見來源。</x:v>
      </x:c>
      <x:c r="L502" s="52" t="str">
        <x:v>https://help.openai.com/en/articles/9624314-model-release-notes</x:v>
      </x:c>
      <x:c r="M502" s="52" t="str">
        <x:v>help_center_release_notes</x:v>
      </x:c>
      <x:c r="N502" s="52" t="str">
        <x:v>parsed</x:v>
      </x:c>
      <x:c r="O502" s="52" t="str">
        <x:v>high</x:v>
      </x:c>
      <x:c r="P502" s="60" t="n">
        <x:v>0</x:v>
      </x:c>
      <x:c r="Q502" s="52" t="str"/>
    </x:row>
    <x:row r="503" ht="38" customHeight="1">
      <x:c r="A503" s="57" t="n">
        <x:v>45980</x:v>
      </x:c>
      <x:c r="B503" s="52" t="str">
        <x:v>lane-building-more-with-gpt-5-1-codex-max</x:v>
      </x:c>
      <x:c r="C503" s="52" t="str">
        <x:v>Building more with GPT-5.1-Codex-Max</x:v>
      </x:c>
      <x:c r="D503" s="52" t="str">
        <x:v>agents_research</x:v>
      </x:c>
      <x:c r="E503" s="52" t="str">
        <x:v>GPT-5.1-Codex-Max</x:v>
      </x:c>
      <x:c r="F503" s="52" t="str">
        <x:v>model_release</x:v>
      </x:c>
      <x:c r="G503" s="52" t="str">
        <x:v>active</x:v>
      </x:c>
      <x:c r="H503" s="63" t="str">
        <x:v>Introducing GPT-5.1-Codex-Max</x:v>
      </x:c>
      <x:c r="I503" s="63" t="str">
        <x:v>推出 GPT-5.1-Codex-Max</x:v>
      </x:c>
      <x:c r="J503" s="63" t="str">
        <x:v>OpenAI released GPT-5.1-Codex-Max across Codex surfaces for long-running, project-scale agentic coding with native context compaction across multiple context windows.</x:v>
      </x:c>
      <x:c r="K503" s="63" t="str">
        <x:v>OpenAI 在 Codex 介面中推出了 GPT-5.1-Codex-Max，用於進行長運作、專案規模的代理式程式開發，並支援跨多個上下文視窗的原生上下文壓縮。</x:v>
      </x:c>
      <x:c r="L503" s="52" t="str">
        <x:v>https://openai.com/index/gpt-5-1-codex-max/</x:v>
      </x:c>
      <x:c r="M503" s="52" t="str">
        <x:v>official_launch_post</x:v>
      </x:c>
      <x:c r="N503" s="52" t="str">
        <x:v>complete</x:v>
      </x:c>
      <x:c r="O503" s="52" t="str">
        <x:v>high</x:v>
      </x:c>
      <x:c r="P503" s="60" t="n">
        <x:v>5</x:v>
      </x:c>
      <x:c r="Q503" s="52" t="str">
        <x:v>2025 | agents-research | gpt-5.1-codex-max | model_release</x:v>
      </x:c>
    </x:row>
    <x:row r="504" ht="38" customHeight="1">
      <x:c r="A504" s="57" t="n">
        <x:v>45981</x:v>
      </x:c>
      <x:c r="B504" s="52" t="str">
        <x:v>api-changelog</x:v>
      </x:c>
      <x:c r="C504" s="52" t="str">
        <x:v>OpenAI API Changelog</x:v>
      </x:c>
      <x:c r="D504" s="52" t="str">
        <x:v>developer_platform</x:v>
      </x:c>
      <x:c r="E504" s="52" t="str">
        <x:v>Realtime API</x:v>
      </x:c>
      <x:c r="F504" s="52" t="str">
        <x:v>platform</x:v>
      </x:c>
      <x:c r="G504" s="52" t="str">
        <x:v>active</x:v>
      </x:c>
      <x:c r="H504" s="63" t="str">
        <x:v>Added support for DTMF key presses in the Realtime API.</x:v>
      </x:c>
      <x:c r="I504" s="63" t="str">
        <x:v>平台更新：Realtime API</x:v>
      </x:c>
      <x:c r="J504" s="63" t="str">
        <x:v>Added support for DTMF key presses in the Realtime API. You can now receive DTMF events while using a Realtime sideband connection. See docs here for more information.</x:v>
      </x:c>
      <x:c r="K504" s="63" t="str">
        <x:v>OpenAI 於 2025-11-20 為 Realtime API 更新開發者平台；此節點依官方發布記錄整理，完整能力、適用方案與限制請見來源。</x:v>
      </x:c>
      <x:c r="L504" s="52" t="str">
        <x:v>https://platform.openai.com/docs/changelog</x:v>
      </x:c>
      <x:c r="M504" s="52" t="str">
        <x:v>developer_changelog</x:v>
      </x:c>
      <x:c r="N504" s="52" t="str">
        <x:v>parsed</x:v>
      </x:c>
      <x:c r="O504" s="52" t="str">
        <x:v>high</x:v>
      </x:c>
      <x:c r="P504" s="60" t="n">
        <x:v>0</x:v>
      </x:c>
      <x:c r="Q504" s="52" t="str"/>
    </x:row>
    <x:row r="505" ht="38" customHeight="1">
      <x:c r="A505" s="57" t="n">
        <x:v>45981</x:v>
      </x:c>
      <x:c r="B505" s="52" t="str">
        <x:v>lane-openai-api-changelog</x:v>
      </x:c>
      <x:c r="C505" s="52" t="str">
        <x:v>OpenAI API Changelog</x:v>
      </x:c>
      <x:c r="D505" s="52" t="str">
        <x:v>multimodal</x:v>
      </x:c>
      <x:c r="E505" s="52" t="str">
        <x:v>Realtime &amp; Audio API</x:v>
      </x:c>
      <x:c r="F505" s="52" t="str">
        <x:v>platform</x:v>
      </x:c>
      <x:c r="G505" s="52" t="str">
        <x:v>active</x:v>
      </x:c>
      <x:c r="H505" s="63" t="str">
        <x:v>Added support for DTMF key presses in the Realtime API.</x:v>
      </x:c>
      <x:c r="I505" s="63" t="str">
        <x:v>新增：支援 DTMF key presses in Realtime API.</x:v>
      </x:c>
      <x:c r="J505" s="63" t="str">
        <x:v>Added support for DTMF key presses in the Realtime API. You can now receive DTMF events while using a Realtime sideband connection. See docs here for more information.</x:v>
      </x:c>
      <x:c r="K505" s="63" t="str">
        <x:v>新增：支援 DTMF key presses in Realtime API。OpenAI 將此列為 2025-11-20 的功能；重點涉及即時語音與音訊，模型、端點與參數名稱依官方英文保留。</x:v>
      </x:c>
      <x:c r="L505" s="52" t="str">
        <x:v>https://developers.openai.com/api/docs/changelog</x:v>
      </x:c>
      <x:c r="M505" s="52" t="str">
        <x:v>official_changelog</x:v>
      </x:c>
      <x:c r="N505" s="52" t="str">
        <x:v>complete</x:v>
      </x:c>
      <x:c r="O505" s="52" t="str">
        <x:v>high</x:v>
      </x:c>
      <x:c r="P505" s="60" t="n">
        <x:v>2</x:v>
      </x:c>
      <x:c r="Q505" s="52" t="str">
        <x:v>audio | feature | realtime</x:v>
      </x:c>
    </x:row>
    <x:row r="506" ht="38" customHeight="1">
      <x:c r="A506" s="57" t="n">
        <x:v>45981</x:v>
      </x:c>
      <x:c r="B506" s="52" t="str">
        <x:v>chatgpt-release-notes</x:v>
      </x:c>
      <x:c r="C506" s="52" t="str">
        <x:v>ChatGPT — Release Notes</x:v>
      </x:c>
      <x:c r="D506" s="52" t="str">
        <x:v>search_commerce</x:v>
      </x:c>
      <x:c r="E506" s="52" t="str">
        <x:v>Shopping</x:v>
      </x:c>
      <x:c r="F506" s="52" t="str">
        <x:v>availability</x:v>
      </x:c>
      <x:c r="G506" s="52" t="str">
        <x:v>active</x:v>
      </x:c>
      <x:c r="H506" s="63" t="str">
        <x:v>Instant Checkout now rolling out to Shopify merchants</x:v>
      </x:c>
      <x:c r="I506" s="63" t="str">
        <x:v>Instant Checkout 現正向 Shopify 商家推出</x:v>
      </x:c>
      <x:c r="J506" s="63" t="str">
        <x:v>You can now find and buy from Shopify merchants starting with Spanx, Skims, and Glossier through Instant Checkout in ChatGPT. When a product from a Shopify merchant supports Instant Checkout, you can complete the purchase right in the chat with a quick confirmation of your shipping and payment details. Instant Checkout is available for logged in Plus, Pro, and Free users in the US.</x:v>
      </x:c>
      <x:c r="K506" s="63" t="str">
        <x:v>您現在可以透過 ChatGPT 中的 Instant Checkout 尋找並購買 Shopify 商家（首波包含 Spanx、Skims 和 Glossier）的商品。當 Shopify 商家的產品支援 Instant Checkout 時，您可以在聊天中快速確認您的運送和付款詳細資訊，直接完成購買。</x:v>
      </x:c>
      <x:c r="L506" s="52" t="str">
        <x:v>https://help.openai.com/en/articles/6825453-chatgpt-release-notes</x:v>
      </x:c>
      <x:c r="M506" s="52" t="str">
        <x:v>help_center_release_notes</x:v>
      </x:c>
      <x:c r="N506" s="52" t="str">
        <x:v>complete</x:v>
      </x:c>
      <x:c r="O506" s="52" t="str">
        <x:v>high</x:v>
      </x:c>
      <x:c r="P506" s="60" t="n">
        <x:v>3</x:v>
      </x:c>
      <x:c r="Q506" s="52" t="str">
        <x:v>2025 | availability | search-commerce | shopping</x:v>
      </x:c>
    </x:row>
    <x:row r="507" ht="38" customHeight="1">
      <x:c r="A507" s="57" t="n">
        <x:v>45982</x:v>
      </x:c>
      <x:c r="B507" s="52" t="str">
        <x:v>chatgpt-release-notes</x:v>
      </x:c>
      <x:c r="C507" s="52" t="str">
        <x:v>ChatGPT — Release Notes</x:v>
      </x:c>
      <x:c r="D507" s="52" t="str">
        <x:v>multimodal</x:v>
      </x:c>
      <x:c r="E507" s="52" t="str">
        <x:v>ChatGPT Images</x:v>
      </x:c>
      <x:c r="F507" s="52" t="str">
        <x:v>feature</x:v>
      </x:c>
      <x:c r="G507" s="52" t="str">
        <x:v>active</x:v>
      </x:c>
      <x:c r="H507" s="63" t="str">
        <x:v>More images in answers</x:v>
      </x:c>
      <x:c r="I507" s="63" t="str">
        <x:v>回答中包含更多圖片</x:v>
      </x:c>
      <x:c r="J507" s="63" t="str">
        <x:v>ChatGPT now adds more inline images from the web to help you quickly understand topics like well-known people, places, and products. When visuals can add clarity, you’ll see images placed beside the relevant paragraph. You can click on any of the images to see them in original dimensions and with the source attribution. These improvements are gradually rolling out globally across all ChatGPT plans, on web, iOS, and Android for respon…</x:v>
      </x:c>
      <x:c r="K507" s="63" t="str">
        <x:v>ChatGPT 現在會在回答中增加更多來自網路的內嵌圖片，協助您快速理解知名人物、地點和產品等主題。當視覺內容能增加清晰度時，您會看到圖片放置在相關段落旁。您可以點擊任何圖片以查看原始尺寸並獲取來源說明。</x:v>
      </x:c>
      <x:c r="L507" s="52" t="str">
        <x:v>https://help.openai.com/en/articles/6825453-chatgpt-release-notes</x:v>
      </x:c>
      <x:c r="M507" s="52" t="str">
        <x:v>help_center_release_notes</x:v>
      </x:c>
      <x:c r="N507" s="52" t="str">
        <x:v>complete</x:v>
      </x:c>
      <x:c r="O507" s="52" t="str">
        <x:v>high</x:v>
      </x:c>
      <x:c r="P507" s="60" t="n">
        <x:v>3</x:v>
      </x:c>
      <x:c r="Q507" s="52" t="str">
        <x:v>2025 | chatgpt-images | feature | multimodal</x:v>
      </x:c>
    </x:row>
    <x:row r="508" ht="38" customHeight="1">
      <x:c r="A508" s="57" t="n">
        <x:v>45985</x:v>
      </x:c>
      <x:c r="B508" s="52" t="str">
        <x:v>chatgpt-release-notes</x:v>
      </x:c>
      <x:c r="C508" s="52" t="str">
        <x:v>ChatGPT — Release Notes</x:v>
      </x:c>
      <x:c r="D508" s="52" t="str">
        <x:v>search_commerce</x:v>
      </x:c>
      <x:c r="E508" s="52" t="str">
        <x:v>Shopping</x:v>
      </x:c>
      <x:c r="F508" s="52" t="str">
        <x:v>launch</x:v>
      </x:c>
      <x:c r="G508" s="52" t="str">
        <x:v>active</x:v>
      </x:c>
      <x:c r="H508" s="63" t="str">
        <x:v>Shopping research in ChatGPT</x:v>
      </x:c>
      <x:c r="I508" s="63" t="str">
        <x:v>ChatGPT 中的購物研究</x:v>
      </x:c>
      <x:c r="J508" s="63" t="str">
        <x:v>Shopping research is a new interactive experience that helps you find the right products without doing all the research yourself. Describe what you need—like a quiet cordless vacuum for a small apartment, a gift for a four‑year‑old who loves art, or a way to choose between three bikes—and ChatGPT will ask clarifying questions, research deeply across the internet, review quality sources, and build on ChatGPT’s understanding of you fro…</x:v>
      </x:c>
      <x:c r="K508" s="63" t="str">
        <x:v>OpenAI 於 2025-11-24 為 ChatGPT 新增功能；此節點依官方發布記錄整理，完整能力、適用方案與限制請見來源。</x:v>
      </x:c>
      <x:c r="L508" s="52" t="str">
        <x:v>https://help.openai.com/en/articles/6825453-chatgpt-release-notes</x:v>
      </x:c>
      <x:c r="M508" s="52" t="str">
        <x:v>help_center_release_notes</x:v>
      </x:c>
      <x:c r="N508" s="52" t="str">
        <x:v>complete</x:v>
      </x:c>
      <x:c r="O508" s="52" t="str">
        <x:v>high</x:v>
      </x:c>
      <x:c r="P508" s="60" t="n">
        <x:v>4</x:v>
      </x:c>
      <x:c r="Q508" s="52" t="str">
        <x:v>2025 | launch | search-commerce | shopping</x:v>
      </x:c>
    </x:row>
    <x:row r="509" ht="38" customHeight="1">
      <x:c r="A509" s="57" t="n">
        <x:v>45985</x:v>
      </x:c>
      <x:c r="B509" s="52" t="str">
        <x:v>codex-changelog</x:v>
      </x:c>
      <x:c r="C509" s="52" t="str">
        <x:v>Codex Changelog</x:v>
      </x:c>
      <x:c r="D509" s="52" t="str">
        <x:v>agents_research</x:v>
      </x:c>
      <x:c r="E509" s="52" t="str">
        <x:v>Codex</x:v>
      </x:c>
      <x:c r="F509" s="52" t="str">
        <x:v>pricing_quota</x:v>
      </x:c>
      <x:c r="G509" s="52" t="str">
        <x:v>active</x:v>
      </x:c>
      <x:c r="H509" s="63" t="str">
        <x:v>Usage and credits fixes</x:v>
      </x:c>
      <x:c r="I509" s="63" t="str">
        <x:v>Usage and credits fixes 更新</x:v>
      </x:c>
      <x:c r="J509" s="63" t="str">
        <x:v>Minor updates to address a few issues with Codex usage and credits: Adjusted all usage dashboards to show “limits remaining” for consistency. The CLI previously displayed “limits used.” Fixed an issue preventing users from buying credits if their ChatGPT subscription was purchased via iOS or Google Play. Fixed an issue where the CLI could display stale usage information; it now refreshes without needing to send a message first. Optim…</x:v>
      </x:c>
      <x:c r="K509" s="63" t="str">
        <x:v>Codex Changelog 在 2025-11-24 記錄了Codex 編碼代理、定價與用量、可靠性與效能修正相關更新；完整版本與修正內容見官方英文摘要。</x:v>
      </x:c>
      <x:c r="L509" s="52" t="str">
        <x:v>https://developers.openai.com/codex/changelog/</x:v>
      </x:c>
      <x:c r="M509" s="52" t="str">
        <x:v>developer_changelog</x:v>
      </x:c>
      <x:c r="N509" s="52" t="str">
        <x:v>complete</x:v>
      </x:c>
      <x:c r="O509" s="52" t="str">
        <x:v>high</x:v>
      </x:c>
      <x:c r="P509" s="60" t="n">
        <x:v>1</x:v>
      </x:c>
      <x:c r="Q509" s="52" t="str">
        <x:v>codex | release-notes</x:v>
      </x:c>
    </x:row>
    <x:row r="510" ht="38" customHeight="1">
      <x:c r="A510" s="57" t="n">
        <x:v>45986</x:v>
      </x:c>
      <x:c r="B510" s="52" t="str">
        <x:v>chatgpt-release-notes</x:v>
      </x:c>
      <x:c r="C510" s="52" t="str">
        <x:v>ChatGPT — Release Notes</x:v>
      </x:c>
      <x:c r="D510" s="52" t="str">
        <x:v>multimodal</x:v>
      </x:c>
      <x:c r="E510" s="52" t="str">
        <x:v>ChatGPT Voice</x:v>
      </x:c>
      <x:c r="F510" s="52" t="str">
        <x:v>feature</x:v>
      </x:c>
      <x:c r="G510" s="52" t="str">
        <x:v>active</x:v>
      </x:c>
      <x:c r="H510" s="63" t="str">
        <x:v>An improved Voice interface: the audio you know, with text and visuals when you need them.</x:v>
      </x:c>
      <x:c r="I510" s="63" t="str">
        <x:v>改進的語音介面：您熟悉的音訊，並在需要時提供文字與視覺內容</x:v>
      </x:c>
      <x:c r="J510" s="63" t="str">
        <x:v>We’re making ChatGPT Voice a seamless part of the ChatGPT experience, so you can use voice right inside the chat interface you already use every day—no separate mode required. Many of you have asked for a more flexible Voice experience—now, you can speak, listen, and see your conversation at the same time. Answers will be spoken alongside streamed text, image search results, widgets (maps, weather, etc.) and more—right in the same ch…</x:v>
      </x:c>
      <x:c r="K510" s="63" t="str">
        <x:v>我們將 ChatGPT Voice 打造為 ChatGPT 體驗中無縫的一部分，讓您可以在每天使用的聊天介面中直接使用語音，無需切換到單獨的模式。許多使用者要求更靈活的語音體驗——現在，您可以同時說話、聆聽並查看您的對話。</x:v>
      </x:c>
      <x:c r="L510" s="52" t="str">
        <x:v>https://help.openai.com/en/articles/6825453-chatgpt-release-notes</x:v>
      </x:c>
      <x:c r="M510" s="52" t="str">
        <x:v>help_center_release_notes</x:v>
      </x:c>
      <x:c r="N510" s="52" t="str">
        <x:v>complete</x:v>
      </x:c>
      <x:c r="O510" s="52" t="str">
        <x:v>high</x:v>
      </x:c>
      <x:c r="P510" s="60" t="n">
        <x:v>3</x:v>
      </x:c>
      <x:c r="Q510" s="52" t="str">
        <x:v>2025 | chatgpt-voice | feature | multimodal</x:v>
      </x:c>
    </x:row>
    <x:row r="511" ht="38" customHeight="1">
      <x:c r="A511" s="57" t="n">
        <x:v>45986</x:v>
      </x:c>
      <x:c r="B511" s="52" t="str">
        <x:v>atlas-release-notes</x:v>
      </x:c>
      <x:c r="C511" s="52" t="str">
        <x:v>ChatGPT Atlas — Release Notes</x:v>
      </x:c>
      <x:c r="D511" s="52" t="str">
        <x:v>clients_surfaces</x:v>
      </x:c>
      <x:c r="E511" s="52" t="str">
        <x:v>ChatGPT Atlas</x:v>
      </x:c>
      <x:c r="F511" s="52" t="str">
        <x:v>feature</x:v>
      </x:c>
      <x:c r="G511" s="52" t="str">
        <x:v>active</x:v>
      </x:c>
      <x:c r="H511" s="63" t="str">
        <x:v>Atlas dockable DevTools and browser-memory improvements</x:v>
      </x:c>
      <x:c r="I511" s="63" t="str">
        <x:v>Atlas 可停駐 DevTools 與瀏覽器記憶改善</x:v>
      </x:c>
      <x:c r="J511" s="63" t="str">
        <x:v>Atlas added dockable DevTools, improved ChatGPT responses using browser memories, polished vertical tabs, and added a safe-search control where permitted.</x:v>
      </x:c>
      <x:c r="K511" s="63" t="str">
        <x:v>Atlas 新增可停駐 DevTools、改善運用瀏覽器記憶的回覆、優化垂直分頁，並在允許地區加入安全搜尋控制。</x:v>
      </x:c>
      <x:c r="L511" s="52" t="str">
        <x:v>https://help.openai.com/en/articles/12591856-chatgpt-atlas-release-notes</x:v>
      </x:c>
      <x:c r="M511" s="52" t="str">
        <x:v>help_center_release_notes</x:v>
      </x:c>
      <x:c r="N511" s="52" t="str">
        <x:v>parsed</x:v>
      </x:c>
      <x:c r="O511" s="52" t="str">
        <x:v>high</x:v>
      </x:c>
      <x:c r="P511" s="60" t="n">
        <x:v>3</x:v>
      </x:c>
      <x:c r="Q511" s="52" t="str">
        <x:v>atlas | devtools | memory</x:v>
      </x:c>
    </x:row>
    <x:row r="512" ht="38" customHeight="1">
      <x:c r="A512" s="57" t="n">
        <x:v>45986</x:v>
      </x:c>
      <x:c r="B512" s="52" t="str">
        <x:v>atlas-release-notes</x:v>
      </x:c>
      <x:c r="C512" s="52" t="str">
        <x:v>ChatGPT Atlas — Release Notes</x:v>
      </x:c>
      <x:c r="D512" s="52" t="str">
        <x:v>clients_surfaces</x:v>
      </x:c>
      <x:c r="E512" s="52" t="str">
        <x:v>ChatGPT Search</x:v>
      </x:c>
      <x:c r="F512" s="52" t="str">
        <x:v>feature</x:v>
      </x:c>
      <x:c r="G512" s="52" t="str">
        <x:v>active</x:v>
      </x:c>
      <x:c r="H512" s="63" t="str">
        <x:v>Chat + Search</x:v>
      </x:c>
      <x:c r="I512" s="63" t="str">
        <x:v>功能更新：Chat + Search</x:v>
      </x:c>
      <x:c r="J512" s="63" t="str">
        <x:v>User can turn off 'safe search' for search result links (excluding certain geos + u18) Better responses from ChatGPT that incorporate Browser memories</x:v>
      </x:c>
      <x:c r="K512" s="63" t="str">
        <x:v>OpenAI 於 2025-11-25 為 ChatGPT Search 新增功能；此節點依官方發布記錄整理，完整能力、適用方案與限制請見來源。</x:v>
      </x:c>
      <x:c r="L512" s="52" t="str">
        <x:v>https://help.openai.com/en/articles/12591856-chatgpt-atlas-release-notes</x:v>
      </x:c>
      <x:c r="M512" s="52" t="str">
        <x:v>help_center_release_notes</x:v>
      </x:c>
      <x:c r="N512" s="52" t="str">
        <x:v>parsed</x:v>
      </x:c>
      <x:c r="O512" s="52" t="str">
        <x:v>high</x:v>
      </x:c>
      <x:c r="P512" s="60" t="n">
        <x:v>0</x:v>
      </x:c>
      <x:c r="Q512" s="52" t="str"/>
    </x:row>
    <x:row r="513" ht="38" customHeight="1">
      <x:c r="A513" s="57" t="n">
        <x:v>45986</x:v>
      </x:c>
      <x:c r="B513" s="52" t="str">
        <x:v>atlas-release-notes</x:v>
      </x:c>
      <x:c r="C513" s="52" t="str">
        <x:v>ChatGPT Atlas — Release Notes</x:v>
      </x:c>
      <x:c r="D513" s="52" t="str">
        <x:v>clients_surfaces</x:v>
      </x:c>
      <x:c r="E513" s="52" t="str">
        <x:v>ChatGPT</x:v>
      </x:c>
      <x:c r="F513" s="52" t="str">
        <x:v>platform</x:v>
      </x:c>
      <x:c r="G513" s="52" t="str">
        <x:v>active</x:v>
      </x:c>
      <x:c r="H513" s="63" t="str">
        <x:v>Developer Tools</x:v>
      </x:c>
      <x:c r="I513" s="63" t="str">
        <x:v>平台更新：Developer Tools</x:v>
      </x:c>
      <x:c r="J513" s="63" t="str">
        <x:v>Developer Tools.</x:v>
      </x:c>
      <x:c r="K513" s="63" t="str">
        <x:v>OpenAI 於 2025-11-25 為 ChatGPT 更新開發者平台；此節點依官方發布記錄整理，完整能力、適用方案與限制請見來源。</x:v>
      </x:c>
      <x:c r="L513" s="52" t="str">
        <x:v>https://help.openai.com/en/articles/12591856-chatgpt-atlas-release-notes</x:v>
      </x:c>
      <x:c r="M513" s="52" t="str">
        <x:v>help_center_release_notes</x:v>
      </x:c>
      <x:c r="N513" s="52" t="str">
        <x:v>parsed</x:v>
      </x:c>
      <x:c r="O513" s="52" t="str">
        <x:v>high</x:v>
      </x:c>
      <x:c r="P513" s="60" t="n">
        <x:v>0</x:v>
      </x:c>
      <x:c r="Q513" s="52" t="str"/>
    </x:row>
    <x:row r="514" ht="38" customHeight="1">
      <x:c r="A514" s="57" t="n">
        <x:v>45995</x:v>
      </x:c>
      <x:c r="B514" s="52" t="str">
        <x:v>codex-changelog</x:v>
      </x:c>
      <x:c r="C514" s="52" t="str">
        <x:v>Codex Changelog</x:v>
      </x:c>
      <x:c r="D514" s="52" t="str">
        <x:v>agents_research</x:v>
      </x:c>
      <x:c r="E514" s="52" t="str">
        <x:v>Codex</x:v>
      </x:c>
      <x:c r="F514" s="52" t="str">
        <x:v>launch</x:v>
      </x:c>
      <x:c r="G514" s="52" t="str">
        <x:v>active</x:v>
      </x:c>
      <x:c r="H514" s="63" t="str">
        <x:v>Introducing Codex for Linear</x:v>
      </x:c>
      <x:c r="I514" s="63" t="str">
        <x:v>推出 Codex for Linear</x:v>
      </x:c>
      <x:c r="J514" s="63" t="str">
        <x:v>Assign or mention @Codex in an issue to kick-off a Codex cloud task. As Codex works, it posts updates back to Linear, providing a link to the completed task so you can review, open a PR, or keep working. To learn more about how to connect Codex to Linear both locally through MCP and through the new integration, check out the Codex for Linear documentation .</x:v>
      </x:c>
      <x:c r="K514" s="63" t="str">
        <x:v>OpenAI 於 2025-12-04 為 Codex 推出新產品或能力；此節點依官方發布記錄整理，完整能力、適用方案與限制請見來源。</x:v>
      </x:c>
      <x:c r="L514" s="52" t="str">
        <x:v>https://developers.openai.com/codex/changelog/</x:v>
      </x:c>
      <x:c r="M514" s="52" t="str">
        <x:v>developer_changelog</x:v>
      </x:c>
      <x:c r="N514" s="52" t="str">
        <x:v>complete</x:v>
      </x:c>
      <x:c r="O514" s="52" t="str">
        <x:v>high</x:v>
      </x:c>
      <x:c r="P514" s="60" t="n">
        <x:v>3</x:v>
      </x:c>
      <x:c r="Q514" s="52" t="str">
        <x:v>codex | release-notes</x:v>
      </x:c>
    </x:row>
    <x:row r="515" ht="38" customHeight="1">
      <x:c r="A515" s="57" t="n">
        <x:v>45995</x:v>
      </x:c>
      <x:c r="B515" s="52" t="str">
        <x:v>api-changelog</x:v>
      </x:c>
      <x:c r="C515" s="52" t="str">
        <x:v>OpenAI API Changelog</x:v>
      </x:c>
      <x:c r="D515" s="52" t="str">
        <x:v>agents_research</x:v>
      </x:c>
      <x:c r="E515" s="52" t="str">
        <x:v>GPT-5.1</x:v>
      </x:c>
      <x:c r="F515" s="52" t="str">
        <x:v>model_release</x:v>
      </x:c>
      <x:c r="G515" s="52" t="str">
        <x:v>active</x:v>
      </x:c>
      <x:c r="H515" s="63" t="str">
        <x:v>Released gpt-5.1-codex-max to the Responses API.</x:v>
      </x:c>
      <x:c r="I515" s="63" t="str">
        <x:v>模型發布：GPT-5.1</x:v>
      </x:c>
      <x:c r="J515" s="63" t="str">
        <x:v>Released gpt-5.1-codex-max to the Responses API. GPT-5.1-Codex is our most intelligent coding model optimized for long-horizon, agentic coding tasks. Read more here.</x:v>
      </x:c>
      <x:c r="K515" s="63" t="str">
        <x:v>OpenAI 於 2025-12-04 為 GPT-5.1 發布模型；此節點依官方發布記錄整理，完整能力、適用方案與限制請見來源。</x:v>
      </x:c>
      <x:c r="L515" s="52" t="str">
        <x:v>https://platform.openai.com/docs/changelog</x:v>
      </x:c>
      <x:c r="M515" s="52" t="str">
        <x:v>developer_changelog</x:v>
      </x:c>
      <x:c r="N515" s="52" t="str">
        <x:v>parsed</x:v>
      </x:c>
      <x:c r="O515" s="52" t="str">
        <x:v>high</x:v>
      </x:c>
      <x:c r="P515" s="60" t="n">
        <x:v>0</x:v>
      </x:c>
      <x:c r="Q515" s="52" t="str"/>
    </x:row>
    <x:row r="516" ht="38" customHeight="1">
      <x:c r="A516" s="57" t="n">
        <x:v>45995</x:v>
      </x:c>
      <x:c r="B516" s="52" t="str">
        <x:v>lane-openai-api-changelog</x:v>
      </x:c>
      <x:c r="C516" s="52" t="str">
        <x:v>OpenAI API Changelog</x:v>
      </x:c>
      <x:c r="D516" s="52" t="str">
        <x:v>agents_research</x:v>
      </x:c>
      <x:c r="E516" s="52" t="str">
        <x:v>Codex</x:v>
      </x:c>
      <x:c r="F516" s="52" t="str">
        <x:v>model_release</x:v>
      </x:c>
      <x:c r="G516" s="52" t="str">
        <x:v>active</x:v>
      </x:c>
      <x:c r="H516" s="63" t="str">
        <x:v>Released gpt-5.1-codex-max to the Responses API.</x:v>
      </x:c>
      <x:c r="I516" s="63" t="str">
        <x:v>API 推出 GPT‑5.1 模型家族</x:v>
      </x:c>
      <x:c r="J516" s="63" t="str">
        <x:v>Released gpt-5.1-codex-max to the Responses API. GPT-5.1-Codex is our most intelligent coding model optimized for long-horizon, agentic coding tasks. Read more here .</x:v>
      </x:c>
      <x:c r="K516" s="63" t="str">
        <x:v>API 推出 GPT‑5.1 模型家族。OpenAI 將此列為 2025-12-04 的功能；重點涉及Codex 編碼代理、代理與工具調用，模型、端點與參數名稱依官方英文保留。</x:v>
      </x:c>
      <x:c r="L516" s="52" t="str">
        <x:v>https://developers.openai.com/api/docs/changelog</x:v>
      </x:c>
      <x:c r="M516" s="52" t="str">
        <x:v>official_changelog</x:v>
      </x:c>
      <x:c r="N516" s="52" t="str">
        <x:v>complete</x:v>
      </x:c>
      <x:c r="O516" s="52" t="str">
        <x:v>high</x:v>
      </x:c>
      <x:c r="P516" s="60" t="n">
        <x:v>4</x:v>
      </x:c>
      <x:c r="Q516" s="52" t="str">
        <x:v>codex | coding-agent | feature</x:v>
      </x:c>
    </x:row>
    <x:row r="517" ht="38" customHeight="1">
      <x:c r="A517" s="57" t="n">
        <x:v>46000</x:v>
      </x:c>
      <x:c r="B517" s="52" t="str">
        <x:v>atlas-release-notes</x:v>
      </x:c>
      <x:c r="C517" s="52" t="str">
        <x:v>ChatGPT Atlas — Release Notes</x:v>
      </x:c>
      <x:c r="D517" s="52" t="str">
        <x:v>clients_surfaces</x:v>
      </x:c>
      <x:c r="E517" s="52" t="str">
        <x:v>ChatGPT Atlas</x:v>
      </x:c>
      <x:c r="F517" s="52" t="str">
        <x:v>feature</x:v>
      </x:c>
      <x:c r="G517" s="52" t="str">
        <x:v>active</x:v>
      </x:c>
      <x:c r="H517" s="63" t="str">
        <x:v>Atlas browser memories and vertical-tab updates</x:v>
      </x:c>
      <x:c r="I517" s="63" t="str">
        <x:v>Atlas 瀏覽器記憶與垂直分頁更新</x:v>
      </x:c>
      <x:c r="J517" s="63" t="str">
        <x:v>Atlas added a context-menu action to save webpage text into ChatGPT memory, improved vertical tabs, fixed blank results and added Ask ChatGPT onboarding.</x:v>
      </x:c>
      <x:c r="K517" s="63" t="str">
        <x:v>Atlas 新增將網頁文字存入 ChatGPT 記憶的選單操作，改善垂直分頁與 Ask ChatGPT 新手流程，並修正空白結果。</x:v>
      </x:c>
      <x:c r="L517" s="52" t="str">
        <x:v>https://help.openai.com/en/articles/12591856-chatgpt-atlas-release-notes</x:v>
      </x:c>
      <x:c r="M517" s="52" t="str">
        <x:v>help_center_release_notes</x:v>
      </x:c>
      <x:c r="N517" s="52" t="str">
        <x:v>parsed</x:v>
      </x:c>
      <x:c r="O517" s="52" t="str">
        <x:v>high</x:v>
      </x:c>
      <x:c r="P517" s="60" t="n">
        <x:v>3</x:v>
      </x:c>
      <x:c r="Q517" s="52" t="str">
        <x:v>atlas | memory | tabs</x:v>
      </x:c>
    </x:row>
    <x:row r="518" ht="38" customHeight="1">
      <x:c r="A518" s="57" t="n">
        <x:v>46000</x:v>
      </x:c>
      <x:c r="B518" s="52" t="str">
        <x:v>atlas-release-notes</x:v>
      </x:c>
      <x:c r="C518" s="52" t="str">
        <x:v>ChatGPT Atlas — Release Notes</x:v>
      </x:c>
      <x:c r="D518" s="52" t="str">
        <x:v>clients_surfaces</x:v>
      </x:c>
      <x:c r="E518" s="52" t="str">
        <x:v>ChatGPT Memory</x:v>
      </x:c>
      <x:c r="F518" s="52" t="str">
        <x:v>feature</x:v>
      </x:c>
      <x:c r="G518" s="52" t="str">
        <x:v>active</x:v>
      </x:c>
      <x:c r="H518" s="63" t="str">
        <x:v>Browser memories</x:v>
      </x:c>
      <x:c r="I518" s="63" t="str">
        <x:v>功能更新：Browser memories</x:v>
      </x:c>
      <x:c r="J518" s="63" t="str">
        <x:v>Right click on text on a webpage and select "Ask ChatGPT to remember" to add text from webpages to your ChatGPT memory</x:v>
      </x:c>
      <x:c r="K518" s="63" t="str">
        <x:v>OpenAI 於 2025-12-09 為 ChatGPT Memory 新增功能；此節點依官方發布記錄整理，完整能力、適用方案與限制請見來源。</x:v>
      </x:c>
      <x:c r="L518" s="52" t="str">
        <x:v>https://help.openai.com/en/articles/12591856-chatgpt-atlas-release-notes</x:v>
      </x:c>
      <x:c r="M518" s="52" t="str">
        <x:v>help_center_release_notes</x:v>
      </x:c>
      <x:c r="N518" s="52" t="str">
        <x:v>parsed</x:v>
      </x:c>
      <x:c r="O518" s="52" t="str">
        <x:v>high</x:v>
      </x:c>
      <x:c r="P518" s="60" t="n">
        <x:v>0</x:v>
      </x:c>
      <x:c r="Q518" s="52" t="str"/>
    </x:row>
    <x:row r="519" ht="38" customHeight="1">
      <x:c r="A519" s="57" t="n">
        <x:v>46000</x:v>
      </x:c>
      <x:c r="B519" s="52" t="str">
        <x:v>atlas-release-notes</x:v>
      </x:c>
      <x:c r="C519" s="52" t="str">
        <x:v>ChatGPT Atlas — Release Notes</x:v>
      </x:c>
      <x:c r="D519" s="52" t="str">
        <x:v>clients_surfaces</x:v>
      </x:c>
      <x:c r="E519" s="52" t="str">
        <x:v>ChatGPT Search</x:v>
      </x:c>
      <x:c r="F519" s="52" t="str">
        <x:v>model_update</x:v>
      </x:c>
      <x:c r="G519" s="52" t="str">
        <x:v>active</x:v>
      </x:c>
      <x:c r="H519" s="63" t="str">
        <x:v>Bugs</x:v>
      </x:c>
      <x:c r="I519" s="63" t="str">
        <x:v>模型更新：Bugs</x:v>
      </x:c>
      <x:c r="J519" s="63" t="str">
        <x:v>Bug fixes for occasional empty chat + search responses Bug fixes for 'all tabs are blank' issue</x:v>
      </x:c>
      <x:c r="K519" s="63" t="str">
        <x:v>OpenAI 於 2025-12-09 為 ChatGPT Search 更新模型或體驗；此節點依官方發布記錄整理，完整能力、適用方案與限制請見來源。</x:v>
      </x:c>
      <x:c r="L519" s="52" t="str">
        <x:v>https://help.openai.com/en/articles/12591856-chatgpt-atlas-release-notes</x:v>
      </x:c>
      <x:c r="M519" s="52" t="str">
        <x:v>help_center_release_notes</x:v>
      </x:c>
      <x:c r="N519" s="52" t="str">
        <x:v>parsed</x:v>
      </x:c>
      <x:c r="O519" s="52" t="str">
        <x:v>high</x:v>
      </x:c>
      <x:c r="P519" s="60" t="n">
        <x:v>0</x:v>
      </x:c>
      <x:c r="Q519" s="52" t="str"/>
    </x:row>
    <x:row r="520" ht="38" customHeight="1">
      <x:c r="A520" s="57" t="n">
        <x:v>46000</x:v>
      </x:c>
      <x:c r="B520" s="52" t="str">
        <x:v>atlas-release-notes</x:v>
      </x:c>
      <x:c r="C520" s="52" t="str">
        <x:v>ChatGPT Atlas — Release Notes</x:v>
      </x:c>
      <x:c r="D520" s="52" t="str">
        <x:v>clients_surfaces</x:v>
      </x:c>
      <x:c r="E520" s="52" t="str">
        <x:v>ChatGPT</x:v>
      </x:c>
      <x:c r="F520" s="52" t="str">
        <x:v>model_update</x:v>
      </x:c>
      <x:c r="G520" s="52" t="str">
        <x:v>active</x:v>
      </x:c>
      <x:c r="H520" s="63" t="str">
        <x:v>Dev tools</x:v>
      </x:c>
      <x:c r="I520" s="63" t="str">
        <x:v>模型更新：Dev tools</x:v>
      </x:c>
      <x:c r="J520" s="63" t="str">
        <x:v>Copy and paste fix for devtools</x:v>
      </x:c>
      <x:c r="K520" s="63" t="str">
        <x:v>OpenAI 於 2025-12-09 為 ChatGPT 更新模型或體驗；此節點依官方發布記錄整理，完整能力、適用方案與限制請見來源。</x:v>
      </x:c>
      <x:c r="L520" s="52" t="str">
        <x:v>https://help.openai.com/en/articles/12591856-chatgpt-atlas-release-notes</x:v>
      </x:c>
      <x:c r="M520" s="52" t="str">
        <x:v>help_center_release_notes</x:v>
      </x:c>
      <x:c r="N520" s="52" t="str">
        <x:v>parsed</x:v>
      </x:c>
      <x:c r="O520" s="52" t="str">
        <x:v>high</x:v>
      </x:c>
      <x:c r="P520" s="60" t="n">
        <x:v>0</x:v>
      </x:c>
      <x:c r="Q520" s="52" t="str"/>
    </x:row>
    <x:row r="521" ht="38" customHeight="1">
      <x:c r="A521" s="57" t="n">
        <x:v>46000</x:v>
      </x:c>
      <x:c r="B521" s="52" t="str">
        <x:v>atlas-release-notes</x:v>
      </x:c>
      <x:c r="C521" s="52" t="str">
        <x:v>ChatGPT Atlas — Release Notes</x:v>
      </x:c>
      <x:c r="D521" s="52" t="str">
        <x:v>clients_surfaces</x:v>
      </x:c>
      <x:c r="E521" s="52" t="str">
        <x:v>ChatGPT</x:v>
      </x:c>
      <x:c r="F521" s="52" t="str">
        <x:v>feature</x:v>
      </x:c>
      <x:c r="G521" s="52" t="str">
        <x:v>active</x:v>
      </x:c>
      <x:c r="H521" s="63" t="str">
        <x:v>Onboarding</x:v>
      </x:c>
      <x:c r="I521" s="63" t="str">
        <x:v>功能更新：Onboarding</x:v>
      </x:c>
      <x:c r="J521" s="63" t="str">
        <x:v>First time onboarding flow for Ask ChatGPT sidebar</x:v>
      </x:c>
      <x:c r="K521" s="63" t="str">
        <x:v>OpenAI 於 2025-12-09 為 ChatGPT 新增功能；此節點依官方發布記錄整理，完整能力、適用方案與限制請見來源。</x:v>
      </x:c>
      <x:c r="L521" s="52" t="str">
        <x:v>https://help.openai.com/en/articles/12591856-chatgpt-atlas-release-notes</x:v>
      </x:c>
      <x:c r="M521" s="52" t="str">
        <x:v>help_center_release_notes</x:v>
      </x:c>
      <x:c r="N521" s="52" t="str">
        <x:v>parsed</x:v>
      </x:c>
      <x:c r="O521" s="52" t="str">
        <x:v>high</x:v>
      </x:c>
      <x:c r="P521" s="60" t="n">
        <x:v>0</x:v>
      </x:c>
      <x:c r="Q521" s="52" t="str"/>
    </x:row>
    <x:row r="522" ht="38" customHeight="1">
      <x:c r="A522" s="57" t="n">
        <x:v>46000</x:v>
      </x:c>
      <x:c r="B522" s="52" t="str">
        <x:v>atlas-release-notes</x:v>
      </x:c>
      <x:c r="C522" s="52" t="str">
        <x:v>ChatGPT Atlas — Release Notes</x:v>
      </x:c>
      <x:c r="D522" s="52" t="str">
        <x:v>clients_surfaces</x:v>
      </x:c>
      <x:c r="E522" s="52" t="str">
        <x:v>ChatGPT</x:v>
      </x:c>
      <x:c r="F522" s="52" t="str">
        <x:v>feature</x:v>
      </x:c>
      <x:c r="G522" s="52" t="str">
        <x:v>active</x:v>
      </x:c>
      <x:c r="H522" s="63" t="str">
        <x:v>Vertical tabs</x:v>
      </x:c>
      <x:c r="I522" s="63" t="str">
        <x:v>功能更新：Vertical tabs</x:v>
      </x:c>
      <x:c r="J522" s="63" t="str">
        <x:v>Hover to see tabs: Hover left side of screen to see tabs, when tabs are closed in vertical tabs setting Add tab close button when you're in vertical tabs 'mini' mode (very narrow width)</x:v>
      </x:c>
      <x:c r="K522" s="63" t="str">
        <x:v>OpenAI 於 2025-12-09 為 ChatGPT 新增功能；此節點依官方發布記錄整理，完整能力、適用方案與限制請見來源。</x:v>
      </x:c>
      <x:c r="L522" s="52" t="str">
        <x:v>https://help.openai.com/en/articles/12591856-chatgpt-atlas-release-notes</x:v>
      </x:c>
      <x:c r="M522" s="52" t="str">
        <x:v>help_center_release_notes</x:v>
      </x:c>
      <x:c r="N522" s="52" t="str">
        <x:v>parsed</x:v>
      </x:c>
      <x:c r="O522" s="52" t="str">
        <x:v>high</x:v>
      </x:c>
      <x:c r="P522" s="60" t="n">
        <x:v>0</x:v>
      </x:c>
      <x:c r="Q522" s="52" t="str"/>
    </x:row>
    <x:row r="523" ht="38" customHeight="1">
      <x:c r="A523" s="57" t="n">
        <x:v>46002</x:v>
      </x:c>
      <x:c r="B523" s="52" t="str">
        <x:v>api-changelog</x:v>
      </x:c>
      <x:c r="C523" s="52" t="str">
        <x:v>OpenAI API Changelog</x:v>
      </x:c>
      <x:c r="D523" s="52" t="str">
        <x:v>models_reasoning</x:v>
      </x:c>
      <x:c r="E523" s="52" t="str">
        <x:v>GPT-5.2</x:v>
      </x:c>
      <x:c r="F523" s="52" t="str">
        <x:v>feature</x:v>
      </x:c>
      <x:c r="G523" s="52" t="str">
        <x:v>active</x:v>
      </x:c>
      <x:c r="H523" s="63" t="str">
        <x:v>gpt-5.2-chat-latest v1/chat/completions</x:v>
      </x:c>
      <x:c r="I523" s="63" t="str">
        <x:v>功能更新：gpt-5.2-chat-latest v1/chat/completions</x:v>
      </x:c>
      <x:c r="J523" s="63" t="str">
        <x:v>gpt-5.2-chat-latest v1/chat/completions</x:v>
      </x:c>
      <x:c r="K523" s="63" t="str">
        <x:v>OpenAI 於 2025-12-11 為 GPT-5.2 新增功能；此節點依官方發布記錄整理，完整能力、適用方案與限制請見來源。</x:v>
      </x:c>
      <x:c r="L523" s="52" t="str">
        <x:v>https://platform.openai.com/docs/changelog</x:v>
      </x:c>
      <x:c r="M523" s="52" t="str">
        <x:v>developer_changelog</x:v>
      </x:c>
      <x:c r="N523" s="52" t="str">
        <x:v>parsed</x:v>
      </x:c>
      <x:c r="O523" s="52" t="str">
        <x:v>high</x:v>
      </x:c>
      <x:c r="P523" s="60" t="n">
        <x:v>0</x:v>
      </x:c>
      <x:c r="Q523" s="52" t="str"/>
    </x:row>
    <x:row r="524" ht="38" customHeight="1">
      <x:c r="A524" s="57" t="n">
        <x:v>46002</x:v>
      </x:c>
      <x:c r="B524" s="52" t="str">
        <x:v>lane-introducing-gpt-5-2</x:v>
      </x:c>
      <x:c r="C524" s="52" t="str">
        <x:v>Introducing GPT-5.2</x:v>
      </x:c>
      <x:c r="D524" s="52" t="str">
        <x:v>models_reasoning</x:v>
      </x:c>
      <x:c r="E524" s="52" t="str">
        <x:v>GPT-5.2</x:v>
      </x:c>
      <x:c r="F524" s="52" t="str">
        <x:v>model_release</x:v>
      </x:c>
      <x:c r="G524" s="52" t="str">
        <x:v>active</x:v>
      </x:c>
      <x:c r="H524" s="63" t="str">
        <x:v>Introducing GPT-5.2</x:v>
      </x:c>
      <x:c r="I524" s="63" t="str">
        <x:v>推出 GPT-5.2</x:v>
      </x:c>
      <x:c r="J524" s="63" t="str">
        <x:v>OpenAI released GPT-5.2 Instant, Thinking, and Pro in ChatGPT, with improvements for professional knowledge work, long context, agentic tool use, vision, coding, spreadsheets, and presentations.</x:v>
      </x:c>
      <x:c r="K524" s="63" t="str">
        <x:v>OpenAI 在 ChatGPT 中推出了 GPT-5.2 Instant、Thinking 和 Pro，針對專業知識工作、長上下文、代理式工具使用、視覺、程式設計、試算表和簡報功能進行了改進。</x:v>
      </x:c>
      <x:c r="L524" s="52" t="str">
        <x:v>https://openai.com/index/introducing-gpt-5-2/</x:v>
      </x:c>
      <x:c r="M524" s="52" t="str">
        <x:v>official_launch_post</x:v>
      </x:c>
      <x:c r="N524" s="52" t="str">
        <x:v>complete</x:v>
      </x:c>
      <x:c r="O524" s="52" t="str">
        <x:v>high</x:v>
      </x:c>
      <x:c r="P524" s="60" t="n">
        <x:v>5</x:v>
      </x:c>
      <x:c r="Q524" s="52" t="str">
        <x:v>2025 | gpt-5.2 | model_release | models-reasoning</x:v>
      </x:c>
    </x:row>
    <x:row r="525" ht="38" customHeight="1">
      <x:c r="A525" s="57" t="n">
        <x:v>46002</x:v>
      </x:c>
      <x:c r="B525" s="52" t="str">
        <x:v>api-changelog</x:v>
      </x:c>
      <x:c r="C525" s="52" t="str">
        <x:v>OpenAI API Changelog</x:v>
      </x:c>
      <x:c r="D525" s="52" t="str">
        <x:v>developer_platform</x:v>
      </x:c>
      <x:c r="E525" s="52" t="str">
        <x:v>Responses API</x:v>
      </x:c>
      <x:c r="F525" s="52" t="str">
        <x:v>launch</x:v>
      </x:c>
      <x:c r="G525" s="52" t="str">
        <x:v>active</x:v>
      </x:c>
      <x:c r="H525" s="63" t="str">
        <x:v>Released client-side compaction.</x:v>
      </x:c>
      <x:c r="I525" s="63" t="str">
        <x:v>發布client-side compaction.</x:v>
      </x:c>
      <x:c r="J525" s="63" t="str">
        <x:v>v1/responses/compact Released client-side compaction. For long-running conversations with the Responses API, you can use the /responses/compact endpoint to shrink the context you send with each turn.</x:v>
      </x:c>
      <x:c r="K525" s="63" t="str">
        <x:v>OpenAI 於 2025-12-11 為 Responses API 推出新產品或能力；此節點依官方發布記錄整理，完整能力、適用方案與限制請見來源。</x:v>
      </x:c>
      <x:c r="L525" s="52" t="str">
        <x:v>https://platform.openai.com/docs/changelog</x:v>
      </x:c>
      <x:c r="M525" s="52" t="str">
        <x:v>developer_changelog</x:v>
      </x:c>
      <x:c r="N525" s="52" t="str">
        <x:v>parsed</x:v>
      </x:c>
      <x:c r="O525" s="52" t="str">
        <x:v>high</x:v>
      </x:c>
      <x:c r="P525" s="60" t="n">
        <x:v>0</x:v>
      </x:c>
      <x:c r="Q525" s="52" t="str"/>
    </x:row>
    <x:row r="526" ht="38" customHeight="1">
      <x:c r="A526" s="57" t="n">
        <x:v>46002</x:v>
      </x:c>
      <x:c r="B526" s="52" t="str">
        <x:v>lane-openai-api-changelog</x:v>
      </x:c>
      <x:c r="C526" s="52" t="str">
        <x:v>OpenAI API Changelog</x:v>
      </x:c>
      <x:c r="D526" s="52" t="str">
        <x:v>agents_research</x:v>
      </x:c>
      <x:c r="E526" s="52" t="str">
        <x:v>Responses API</x:v>
      </x:c>
      <x:c r="F526" s="52" t="str">
        <x:v>launch</x:v>
      </x:c>
      <x:c r="G526" s="52" t="str">
        <x:v>active</x:v>
      </x:c>
      <x:c r="H526" s="63" t="str">
        <x:v>Released client-side compaction.</x:v>
      </x:c>
      <x:c r="I526" s="63" t="str">
        <x:v>推出：client-side compaction .</x:v>
      </x:c>
      <x:c r="J526" s="63" t="str">
        <x:v>Released client-side compaction . For long-running conversations with the Responses API, you can use the /responses/compact endpoint to shrink the context you send with each turn.</x:v>
      </x:c>
      <x:c r="K526" s="63" t="str">
        <x:v>推出：client-side compaction。OpenAI 將此列為 2025-12-11 的功能；重點涉及代理與工具調用，模型、端點與參數名稱依官方英文保留。</x:v>
      </x:c>
      <x:c r="L526" s="52" t="str">
        <x:v>https://developers.openai.com/api/docs/changelog</x:v>
      </x:c>
      <x:c r="M526" s="52" t="str">
        <x:v>official_changelog</x:v>
      </x:c>
      <x:c r="N526" s="52" t="str">
        <x:v>complete</x:v>
      </x:c>
      <x:c r="O526" s="52" t="str">
        <x:v>high</x:v>
      </x:c>
      <x:c r="P526" s="60" t="n">
        <x:v>3</x:v>
      </x:c>
      <x:c r="Q526" s="52" t="str">
        <x:v>agents | feature | responses-api</x:v>
      </x:c>
    </x:row>
    <x:row r="527" ht="38" customHeight="1">
      <x:c r="A527" s="57" t="n">
        <x:v>46002</x:v>
      </x:c>
      <x:c r="B527" s="52" t="str">
        <x:v>lane-openai-api-changelog</x:v>
      </x:c>
      <x:c r="C527" s="52" t="str">
        <x:v>OpenAI API Changelog</x:v>
      </x:c>
      <x:c r="D527" s="52" t="str">
        <x:v>models_reasoning</x:v>
      </x:c>
      <x:c r="E527" s="52" t="str">
        <x:v>Model Platform</x:v>
      </x:c>
      <x:c r="F527" s="52" t="str">
        <x:v>model_release</x:v>
      </x:c>
      <x:c r="G527" s="52" t="str">
        <x:v>active</x:v>
      </x:c>
      <x:c r="H527" s="63" t="str">
        <x:v>Released GPT-5.2, the newest flagship model in the GPT-5 model family.</x:v>
      </x:c>
      <x:c r="I527" s="63" t="str">
        <x:v>API 推出 GPT‑5.2</x:v>
      </x:c>
      <x:c r="J527" s="63" t="str">
        <x:v>Released GPT-5.2 , the newest flagship model in the GPT-5 model family. GPT-5.2 shows improvements over the previous GPT-5.1 in: General intelligence Instruction following Accuracy and token efficiency Multimodality—especially vision Code generation—especially front-end UI creation Tool calling and context management in the API Spreadsheet understanding and creation. What's new in 5.2 is a new xhigh reasoning effort level, concise re…</x:v>
      </x:c>
      <x:c r="K527" s="63" t="str">
        <x:v>API 推出 GPT‑5.2。OpenAI 將此列為 2025-12-11 的功能；重點涉及代理與工具調用，模型、端點與參數名稱依官方英文保留。</x:v>
      </x:c>
      <x:c r="L527" s="52" t="str">
        <x:v>https://developers.openai.com/api/docs/changelog</x:v>
      </x:c>
      <x:c r="M527" s="52" t="str">
        <x:v>official_changelog</x:v>
      </x:c>
      <x:c r="N527" s="52" t="str">
        <x:v>complete</x:v>
      </x:c>
      <x:c r="O527" s="52" t="str">
        <x:v>high</x:v>
      </x:c>
      <x:c r="P527" s="60" t="n">
        <x:v>4</x:v>
      </x:c>
      <x:c r="Q527" s="52" t="str">
        <x:v>api | feature | models</x:v>
      </x:c>
    </x:row>
    <x:row r="528" ht="38" customHeight="1">
      <x:c r="A528" s="57" t="n">
        <x:v>46002</x:v>
      </x:c>
      <x:c r="B528" s="52" t="str">
        <x:v>chatgpt-release-notes</x:v>
      </x:c>
      <x:c r="C528" s="52" t="str">
        <x:v>ChatGPT — Release Notes</x:v>
      </x:c>
      <x:c r="D528" s="52" t="str">
        <x:v>multimodal</x:v>
      </x:c>
      <x:c r="E528" s="52" t="str">
        <x:v>ChatGPT Voice</x:v>
      </x:c>
      <x:c r="F528" s="52" t="str">
        <x:v>deprecation</x:v>
      </x:c>
      <x:c r="G528" s="52" t="str">
        <x:v>deprecated</x:v>
      </x:c>
      <x:c r="H528" s="63" t="str">
        <x:v>Voice on macOS desktop app is retiring (effective January 15, 2026)</x:v>
      </x:c>
      <x:c r="I528" s="63" t="str">
        <x:v>macOS 桌面版 ChatGPT 的語音功能即將停用（自 2026 年 1 月 15 日起生效）</x:v>
      </x:c>
      <x:c r="J528" s="63" t="str">
        <x:v>We’re retiring the Voice experience in the ChatGPT macOS app on January 15, 2026. This change allows us to focus on more unified and improved voice experiences across our apps. Voice will continue to be available on chatgpt.com, iOS, Android, and Windows app. No other ChatGPT features on macOS are affected.</x:v>
      </x:c>
      <x:c r="K528" s="63" t="str">
        <x:v>我們將於 2026 年 1 月 15 日停用 ChatGPT macOS 應用程式中的語音體驗。此舉旨在讓我們更專注於提升各應用程式中語音體驗的一致性與品質。語音功能將持續於 chatgpt.com、iOS、Android 和 Windows 應用程式中提供。其他 macOS 版 ChatGPT 功能不受影響。</x:v>
      </x:c>
      <x:c r="L528" s="52" t="str">
        <x:v>https://help.openai.com/en/articles/6825453-chatgpt-release-notes</x:v>
      </x:c>
      <x:c r="M528" s="52" t="str">
        <x:v>help_center_release_notes</x:v>
      </x:c>
      <x:c r="N528" s="52" t="str">
        <x:v>complete</x:v>
      </x:c>
      <x:c r="O528" s="52" t="str">
        <x:v>high</x:v>
      </x:c>
      <x:c r="P528" s="60" t="n">
        <x:v>3</x:v>
      </x:c>
      <x:c r="Q528" s="52" t="str">
        <x:v>2025 | chatgpt-voice | deprecation | multimodal</x:v>
      </x:c>
    </x:row>
    <x:row r="529" ht="38" customHeight="1">
      <x:c r="A529" s="57" t="n">
        <x:v>46006</x:v>
      </x:c>
      <x:c r="B529" s="52" t="str">
        <x:v>api-changelog</x:v>
      </x:c>
      <x:c r="C529" s="52" t="str">
        <x:v>OpenAI API Changelog</x:v>
      </x:c>
      <x:c r="D529" s="52" t="str">
        <x:v>multimodal</x:v>
      </x:c>
      <x:c r="E529" s="52" t="str">
        <x:v>GPT-4o</x:v>
      </x:c>
      <x:c r="F529" s="52" t="str">
        <x:v>model_release</x:v>
      </x:c>
      <x:c r="G529" s="52" t="str">
        <x:v>active</x:v>
      </x:c>
      <x:c r="H529" s="63" t="str">
        <x:v>gpt-4o-mini-transcribe</x:v>
      </x:c>
      <x:c r="I529" s="63" t="str">
        <x:v>模型發布：gpt-4o-mini-transcribe</x:v>
      </x:c>
      <x:c r="J529" s="63" t="str">
        <x:v>gpt-4o-mini-transcribe Released four new dated audio snapshots. These updates deliver reliability, quality, and voice fidelity improvements for real-time, voice-driven applications. Read more here.</x:v>
      </x:c>
      <x:c r="K529" s="63" t="str">
        <x:v>OpenAI 於 2025-12-15 為 GPT-4o 發布模型；此節點依官方發布記錄整理，完整能力、適用方案與限制請見來源。</x:v>
      </x:c>
      <x:c r="L529" s="52" t="str">
        <x:v>https://platform.openai.com/docs/changelog</x:v>
      </x:c>
      <x:c r="M529" s="52" t="str">
        <x:v>developer_changelog</x:v>
      </x:c>
      <x:c r="N529" s="52" t="str">
        <x:v>parsed</x:v>
      </x:c>
      <x:c r="O529" s="52" t="str">
        <x:v>high</x:v>
      </x:c>
      <x:c r="P529" s="60" t="n">
        <x:v>0</x:v>
      </x:c>
      <x:c r="Q529" s="52" t="str"/>
    </x:row>
    <x:row r="530" ht="38" customHeight="1">
      <x:c r="A530" s="57" t="n">
        <x:v>46006</x:v>
      </x:c>
      <x:c r="B530" s="52" t="str">
        <x:v>lane-openai-api-changelog</x:v>
      </x:c>
      <x:c r="C530" s="52" t="str">
        <x:v>OpenAI API Changelog</x:v>
      </x:c>
      <x:c r="D530" s="52" t="str">
        <x:v>multimodal</x:v>
      </x:c>
      <x:c r="E530" s="52" t="str">
        <x:v>Realtime &amp; Audio API</x:v>
      </x:c>
      <x:c r="F530" s="52" t="str">
        <x:v>model_release</x:v>
      </x:c>
      <x:c r="G530" s="52" t="str">
        <x:v>active</x:v>
      </x:c>
      <x:c r="H530" s="63" t="str">
        <x:v>Released four new dated audio snapshots.</x:v>
      </x:c>
      <x:c r="I530" s="63" t="str">
        <x:v>推出：four 全新 dated audio snapshots.</x:v>
      </x:c>
      <x:c r="J530" s="63" t="str">
        <x:v>Released four new dated audio snapshots. These updates deliver reliability, quality, and voice fidelity improvements for real-time, voice-driven applications. Read more here . gpt-realtime-mini-2025-12-15 gpt-audio-mini-2025-12-15 gpt-4o-mini-transcribe-2025-12-15 gpt-4o-mini-tts-2025-12-15 This launch also includes support for Custom voices for eligible customers.</x:v>
      </x:c>
      <x:c r="K530" s="63" t="str">
        <x:v>推出：four 全新 dated audio snapshots。OpenAI 將此列為 2025-12-15 的功能；重點涉及即時語音與音訊、可靠性與效能修正，模型、端點與參數名稱依官方英文保留。</x:v>
      </x:c>
      <x:c r="L530" s="52" t="str">
        <x:v>https://developers.openai.com/api/docs/changelog</x:v>
      </x:c>
      <x:c r="M530" s="52" t="str">
        <x:v>official_changelog</x:v>
      </x:c>
      <x:c r="N530" s="52" t="str">
        <x:v>complete</x:v>
      </x:c>
      <x:c r="O530" s="52" t="str">
        <x:v>high</x:v>
      </x:c>
      <x:c r="P530" s="60" t="n">
        <x:v>3</x:v>
      </x:c>
      <x:c r="Q530" s="52" t="str">
        <x:v>audio | feature | realtime</x:v>
      </x:c>
    </x:row>
    <x:row r="531" ht="38" customHeight="1">
      <x:c r="A531" s="57" t="n">
        <x:v>46007</x:v>
      </x:c>
      <x:c r="B531" s="52" t="str">
        <x:v>chatgpt-release-notes</x:v>
      </x:c>
      <x:c r="C531" s="52" t="str">
        <x:v>ChatGPT — Release Notes</x:v>
      </x:c>
      <x:c r="D531" s="52" t="str">
        <x:v>clients_surfaces</x:v>
      </x:c>
      <x:c r="E531" s="52" t="str">
        <x:v>ChatGPT Images</x:v>
      </x:c>
      <x:c r="F531" s="52" t="str">
        <x:v>launch</x:v>
      </x:c>
      <x:c r="G531" s="52" t="str">
        <x:v>active</x:v>
      </x:c>
      <x:c r="H531" s="63" t="str">
        <x:v>ChatGPT Images on Web and Mobile (iOS &amp; Android)</x:v>
      </x:c>
      <x:c r="I531" s="63" t="str">
        <x:v>推出：ChatGPT Images</x:v>
      </x:c>
      <x:c r="J531" s="63" t="str">
        <x:v>We’ve introduced a new and improved version of ChatGPT Images, powered by our best image generation model yet. With ChatGPT Images, precise instruction following and editing makes AI image creation not just more fun, but meaningfully more useful—from everyday edits to creative transformations. All images you create with ChatGPT are automatically saved under My images at https://chatgpt.com/images, giving you a single place to browse,…</x:v>
      </x:c>
      <x:c r="K531" s="63" t="str">
        <x:v>我們推出新版 ChatGPT 影像功能，由我們目前最強大的影像生成模型驅動。透過 ChatGPT Images，精確的指令遵循與編輯能力使 AI 影像創作不僅更有趣，且實用性顯著提升——從日常編輯到創意轉換皆適用。</x:v>
      </x:c>
      <x:c r="L531" s="52" t="str">
        <x:v>https://help.openai.com/en/articles/6825453-chatgpt-release-notes</x:v>
      </x:c>
      <x:c r="M531" s="52" t="str">
        <x:v>help_center_release_notes</x:v>
      </x:c>
      <x:c r="N531" s="52" t="str">
        <x:v>complete</x:v>
      </x:c>
      <x:c r="O531" s="52" t="str">
        <x:v>high</x:v>
      </x:c>
      <x:c r="P531" s="60" t="n">
        <x:v>3</x:v>
      </x:c>
      <x:c r="Q531" s="52" t="str">
        <x:v>2025 | chatgpt-images | feature | multimodal</x:v>
      </x:c>
    </x:row>
    <x:row r="532" ht="38" customHeight="1">
      <x:c r="A532" s="57" t="n">
        <x:v>46007</x:v>
      </x:c>
      <x:c r="B532" s="52" t="str">
        <x:v>lane-openai-api-changelog</x:v>
      </x:c>
      <x:c r="C532" s="52" t="str">
        <x:v>OpenAI API Changelog</x:v>
      </x:c>
      <x:c r="D532" s="52" t="str">
        <x:v>multimodal</x:v>
      </x:c>
      <x:c r="E532" s="52" t="str">
        <x:v>Image API</x:v>
      </x:c>
      <x:c r="F532" s="52" t="str">
        <x:v>model_release</x:v>
      </x:c>
      <x:c r="G532" s="52" t="str">
        <x:v>active</x:v>
      </x:c>
      <x:c r="H532" s="63" t="str">
        <x:v>Released gpt-image-1.5 and chatgpt-image-latest, our latest and most advanced models for image generation.</x:v>
      </x:c>
      <x:c r="I532" s="63" t="str">
        <x:v>模型發布：Image API</x:v>
      </x:c>
      <x:c r="J532" s="63" t="str">
        <x:v>Released gpt-image-1.5 and chatgpt-image-latest , our latest and most advanced models for image generation. Read more here .</x:v>
      </x:c>
      <x:c r="K532" s="63" t="str">
        <x:v>推出：gpt-image-1.5 and chatgpt-image-latest , our latest and most advanced 模型 for image generation。OpenAI 將此列為 2025-12-16 的功能；重點涉及圖像與影片，模型、端點與參數名稱依官方英文保留。</x:v>
      </x:c>
      <x:c r="L532" s="52" t="str">
        <x:v>https://developers.openai.com/api/docs/changelog</x:v>
      </x:c>
      <x:c r="M532" s="52" t="str">
        <x:v>official_changelog</x:v>
      </x:c>
      <x:c r="N532" s="52" t="str">
        <x:v>complete</x:v>
      </x:c>
      <x:c r="O532" s="52" t="str">
        <x:v>high</x:v>
      </x:c>
      <x:c r="P532" s="60" t="n">
        <x:v>4</x:v>
      </x:c>
      <x:c r="Q532" s="52" t="str">
        <x:v>feature | image-generation | multimodal</x:v>
      </x:c>
    </x:row>
    <x:row r="533" ht="38" customHeight="1">
      <x:c r="A533" s="57" t="n">
        <x:v>46008</x:v>
      </x:c>
      <x:c r="B533" s="52" t="str">
        <x:v>chatgpt-release-notes</x:v>
      </x:c>
      <x:c r="C533" s="52" t="str">
        <x:v>ChatGPT — Release Notes</x:v>
      </x:c>
      <x:c r="D533" s="52" t="str">
        <x:v>agents_research</x:v>
      </x:c>
      <x:c r="E533" s="52" t="str">
        <x:v>ChatGPT Pulse</x:v>
      </x:c>
      <x:c r="F533" s="52" t="str">
        <x:v>feature</x:v>
      </x:c>
      <x:c r="G533" s="52" t="str">
        <x:v>active</x:v>
      </x:c>
      <x:c r="H533" s="63" t="str">
        <x:v>Tasks are now in Pulse</x:v>
      </x:c>
      <x:c r="I533" s="63" t="str">
        <x:v>Pulse 現已支援「任務」功能</x:v>
      </x:c>
      <x:c r="J533" s="63" t="str">
        <x:v>Tasks let you set up automated prompts that ChatGPT can run for you. You can now manage all your tasks directly in Pulse: See all tasks in one place in Pulse. Create tasks in chat or in Pulse—whatever’s easier in the moment. Edit and review tasks in Pulse anytime after you create them. Please note that Pulse is only available in ChatGPT Pro.</x:v>
      </x:c>
      <x:c r="K533" s="63" t="str">
        <x:v>「任務」功能讓您能設定由 ChatGPT 為您執行的自動化提示詞。現在您可直接在 Pulse 中管理所有任務：在 Pulse 中集中檢視所有任務。隨時在對話中或 Pulse 內建立任務——依當下需求選擇。建立後可隨時在 Pulse 中編輯與檢視任務。請注意，Pulse 僅適用於 ChatGPT Pro。</x:v>
      </x:c>
      <x:c r="L533" s="52" t="str">
        <x:v>https://help.openai.com/en/articles/6825453-chatgpt-release-notes</x:v>
      </x:c>
      <x:c r="M533" s="52" t="str">
        <x:v>help_center_release_notes</x:v>
      </x:c>
      <x:c r="N533" s="52" t="str">
        <x:v>complete</x:v>
      </x:c>
      <x:c r="O533" s="52" t="str">
        <x:v>high</x:v>
      </x:c>
      <x:c r="P533" s="60" t="n">
        <x:v>3</x:v>
      </x:c>
      <x:c r="Q533" s="52" t="str">
        <x:v>2025 | agents-research | chatgpt-pulse | feature</x:v>
      </x:c>
    </x:row>
    <x:row r="534" ht="38" customHeight="1">
      <x:c r="A534" s="57" t="n">
        <x:v>46009</x:v>
      </x:c>
      <x:c r="B534" s="52" t="str">
        <x:v>enterprise-edu-release-notes</x:v>
      </x:c>
      <x:c r="C534" s="52" t="str">
        <x:v>ChatGPT Enterprise &amp; Edu — Release Notes</x:v>
      </x:c>
      <x:c r="D534" s="52" t="str">
        <x:v>developer_platform</x:v>
      </x:c>
      <x:c r="E534" s="52" t="str">
        <x:v>ChatGPT Apps</x:v>
      </x:c>
      <x:c r="F534" s="52" t="str">
        <x:v>launch</x:v>
      </x:c>
      <x:c r="G534" s="52" t="str">
        <x:v>active</x:v>
      </x:c>
      <x:c r="H534" s="63" t="str">
        <x:v>App directory in ChatGPT with enterprise controls</x:v>
      </x:c>
      <x:c r="I534" s="63" t="str">
        <x:v>ChatGPT App 目錄與企業控制</x:v>
      </x:c>
      <x:c r="J534" s="63" t="str">
        <x:v>ChatGPT added an app directory and renamed connectors as apps; Enterprise and Edu admins received RBAC and action controls, while developers could submit Apps SDK apps for review.</x:v>
      </x:c>
      <x:c r="K534" s="63" t="str">
        <x:v>ChatGPT 新增 App 目錄並將 connectors 統整為 apps；Enterprise/Edu 管理員可用 RBAC 與動作控制，開發者可提交 Apps SDK App 審核。</x:v>
      </x:c>
      <x:c r="L534" s="52" t="str">
        <x:v>https://help.openai.com/en/articles/10128477-chatgpt-enterprise-edu-release-notes</x:v>
      </x:c>
      <x:c r="M534" s="52" t="str">
        <x:v>help_center_release_notes</x:v>
      </x:c>
      <x:c r="N534" s="52" t="str">
        <x:v>parsed</x:v>
      </x:c>
      <x:c r="O534" s="52" t="str">
        <x:v>high</x:v>
      </x:c>
      <x:c r="P534" s="60" t="n">
        <x:v>5</x:v>
      </x:c>
      <x:c r="Q534" s="52" t="str">
        <x:v>apps | apps-sdk | enterprise</x:v>
      </x:c>
    </x:row>
    <x:row r="535" ht="38" customHeight="1">
      <x:c r="A535" s="57" t="n">
        <x:v>46009</x:v>
      </x:c>
      <x:c r="B535" s="52" t="str">
        <x:v>atlas-release-notes</x:v>
      </x:c>
      <x:c r="C535" s="52" t="str">
        <x:v>ChatGPT Atlas — Release Notes</x:v>
      </x:c>
      <x:c r="D535" s="52" t="str">
        <x:v>clients_surfaces</x:v>
      </x:c>
      <x:c r="E535" s="52" t="str">
        <x:v>ChatGPT Atlas</x:v>
      </x:c>
      <x:c r="F535" s="52" t="str">
        <x:v>feature</x:v>
      </x:c>
      <x:c r="G535" s="52" t="str">
        <x:v>active</x:v>
      </x:c>
      <x:c r="H535" s="63" t="str">
        <x:v>Atlas multi-profile and import controls</x:v>
      </x:c>
      <x:c r="I535" s="63" t="str">
        <x:v>Atlas 多設定檔與匯入控制</x:v>
      </x:c>
      <x:c r="J535" s="63" t="str">
        <x:v>Atlas added multiple browser profiles for one ChatGPT login, component-selective imports, DevTools persistence, recently closed tabs and Agent fixes.</x:v>
      </x:c>
      <x:c r="K535" s="63" t="str">
        <x:v>Atlas 為單一 ChatGPT 登入新增多瀏覽器設定檔、可選擇的匯入項目、DevTools 狀態保留、最近關閉分頁與 Agent 修正。</x:v>
      </x:c>
      <x:c r="L535" s="52" t="str">
        <x:v>https://help.openai.com/en/articles/12591856-chatgpt-atlas-release-notes</x:v>
      </x:c>
      <x:c r="M535" s="52" t="str">
        <x:v>help_center_release_notes</x:v>
      </x:c>
      <x:c r="N535" s="52" t="str">
        <x:v>parsed</x:v>
      </x:c>
      <x:c r="O535" s="52" t="str">
        <x:v>high</x:v>
      </x:c>
      <x:c r="P535" s="60" t="n">
        <x:v>3</x:v>
      </x:c>
      <x:c r="Q535" s="52" t="str">
        <x:v>atlas | import | profiles</x:v>
      </x:c>
    </x:row>
    <x:row r="536" ht="38" customHeight="1">
      <x:c r="A536" s="57" t="n">
        <x:v>46009</x:v>
      </x:c>
      <x:c r="B536" s="52" t="str">
        <x:v>atlas-release-notes</x:v>
      </x:c>
      <x:c r="C536" s="52" t="str">
        <x:v>ChatGPT Atlas — Release Notes</x:v>
      </x:c>
      <x:c r="D536" s="52" t="str">
        <x:v>clients_surfaces</x:v>
      </x:c>
      <x:c r="E536" s="52" t="str">
        <x:v>ChatGPT</x:v>
      </x:c>
      <x:c r="F536" s="52" t="str">
        <x:v>feature</x:v>
      </x:c>
      <x:c r="G536" s="52" t="str">
        <x:v>active</x:v>
      </x:c>
      <x:c r="H536" s="63" t="str">
        <x:v>DevTools</x:v>
      </x:c>
      <x:c r="I536" s="63" t="str">
        <x:v>功能更新：DevTools</x:v>
      </x:c>
      <x:c r="J536" s="63" t="str">
        <x:v>Persist size of dev tools per window Pressing any of the keyboard shortcuts for the Dev Tools window (Cmd+Option+I, Cmd+Option+J, Cmd+Option+C) now closes the dev tools window if it's docked.</x:v>
      </x:c>
      <x:c r="K536" s="63" t="str">
        <x:v>OpenAI 於 2025-12-18 為 ChatGPT 新增功能；此節點依官方發布記錄整理，完整能力、適用方案與限制請見來源。</x:v>
      </x:c>
      <x:c r="L536" s="52" t="str">
        <x:v>https://help.openai.com/en/articles/12591856-chatgpt-atlas-release-notes</x:v>
      </x:c>
      <x:c r="M536" s="52" t="str">
        <x:v>help_center_release_notes</x:v>
      </x:c>
      <x:c r="N536" s="52" t="str">
        <x:v>parsed</x:v>
      </x:c>
      <x:c r="O536" s="52" t="str">
        <x:v>high</x:v>
      </x:c>
      <x:c r="P536" s="60" t="n">
        <x:v>0</x:v>
      </x:c>
      <x:c r="Q536" s="52" t="str"/>
    </x:row>
    <x:row r="537" ht="38" customHeight="1">
      <x:c r="A537" s="57" t="n">
        <x:v>46009</x:v>
      </x:c>
      <x:c r="B537" s="52" t="str">
        <x:v>atlas-release-notes</x:v>
      </x:c>
      <x:c r="C537" s="52" t="str">
        <x:v>ChatGPT Atlas — Release Notes</x:v>
      </x:c>
      <x:c r="D537" s="52" t="str">
        <x:v>clients_surfaces</x:v>
      </x:c>
      <x:c r="E537" s="52" t="str">
        <x:v>ChatGPT</x:v>
      </x:c>
      <x:c r="F537" s="52" t="str">
        <x:v>model_update</x:v>
      </x:c>
      <x:c r="G537" s="52" t="str">
        <x:v>active</x:v>
      </x:c>
      <x:c r="H537" s="63" t="str">
        <x:v>Home Page</x:v>
      </x:c>
      <x:c r="I537" s="63" t="str">
        <x:v>模型更新：Home Page</x:v>
      </x:c>
      <x:c r="J537" s="63" t="str">
        <x:v>Draft prompts on the home page will still be there if you go to another site, then press back Copy and paste fix for devtools</x:v>
      </x:c>
      <x:c r="K537" s="63" t="str">
        <x:v>OpenAI 於 2025-12-18 為 ChatGPT 更新模型或體驗；此節點依官方發布記錄整理，完整能力、適用方案與限制請見來源。</x:v>
      </x:c>
      <x:c r="L537" s="52" t="str">
        <x:v>https://help.openai.com/en/articles/12591856-chatgpt-atlas-release-notes</x:v>
      </x:c>
      <x:c r="M537" s="52" t="str">
        <x:v>help_center_release_notes</x:v>
      </x:c>
      <x:c r="N537" s="52" t="str">
        <x:v>parsed</x:v>
      </x:c>
      <x:c r="O537" s="52" t="str">
        <x:v>high</x:v>
      </x:c>
      <x:c r="P537" s="60" t="n">
        <x:v>0</x:v>
      </x:c>
      <x:c r="Q537" s="52" t="str"/>
    </x:row>
    <x:row r="538" ht="38" customHeight="1">
      <x:c r="A538" s="57" t="n">
        <x:v>46009</x:v>
      </x:c>
      <x:c r="B538" s="52" t="str">
        <x:v>atlas-release-notes</x:v>
      </x:c>
      <x:c r="C538" s="52" t="str">
        <x:v>ChatGPT Atlas — Release Notes</x:v>
      </x:c>
      <x:c r="D538" s="52" t="str">
        <x:v>clients_surfaces</x:v>
      </x:c>
      <x:c r="E538" s="52" t="str">
        <x:v>ChatGPT Atlas</x:v>
      </x:c>
      <x:c r="F538" s="52" t="str">
        <x:v>feature</x:v>
      </x:c>
      <x:c r="G538" s="52" t="str">
        <x:v>active</x:v>
      </x:c>
      <x:c r="H538" s="63" t="str">
        <x:v>Import</x:v>
      </x:c>
      <x:c r="I538" s="63" t="str">
        <x:v>功能更新：Import</x:v>
      </x:c>
      <x:c r="J538" s="63" t="str">
        <x:v>You can now select individual components to import at any time (not just initial onboarding) → Passwords, Bookmarks, Extensions, History Atlas will notify users if there are parts of onboarding they haven't completed</x:v>
      </x:c>
      <x:c r="K538" s="63" t="str">
        <x:v>OpenAI 於 2025-12-18 為 ChatGPT Atlas 新增功能；此節點依官方發布記錄整理，完整能力、適用方案與限制請見來源。</x:v>
      </x:c>
      <x:c r="L538" s="52" t="str">
        <x:v>https://help.openai.com/en/articles/12591856-chatgpt-atlas-release-notes</x:v>
      </x:c>
      <x:c r="M538" s="52" t="str">
        <x:v>help_center_release_notes</x:v>
      </x:c>
      <x:c r="N538" s="52" t="str">
        <x:v>parsed</x:v>
      </x:c>
      <x:c r="O538" s="52" t="str">
        <x:v>high</x:v>
      </x:c>
      <x:c r="P538" s="60" t="n">
        <x:v>0</x:v>
      </x:c>
      <x:c r="Q538" s="52" t="str"/>
    </x:row>
    <x:row r="539" ht="38" customHeight="1">
      <x:c r="A539" s="57" t="n">
        <x:v>46009</x:v>
      </x:c>
      <x:c r="B539" s="52" t="str">
        <x:v>codex-changelog</x:v>
      </x:c>
      <x:c r="C539" s="52" t="str">
        <x:v>Codex Changelog</x:v>
      </x:c>
      <x:c r="D539" s="52" t="str">
        <x:v>agents_research</x:v>
      </x:c>
      <x:c r="E539" s="52" t="str">
        <x:v>GPT-5.2</x:v>
      </x:c>
      <x:c r="F539" s="52" t="str">
        <x:v>launch</x:v>
      </x:c>
      <x:c r="G539" s="52" t="str">
        <x:v>active</x:v>
      </x:c>
      <x:c r="H539" s="63" t="str">
        <x:v>Introducing GPT-5.2-Codex</x:v>
      </x:c>
      <x:c r="I539" s="63" t="str">
        <x:v>推出 GPT-5.2-Codex</x:v>
      </x:c>
      <x:c r="J539" s="63" t="str">
        <x:v>Today we are releasing GPT-5.2-Codex , the most advanced agentic coding model yet for complex, real-world software engineering. GPT-5.2-Codex is a version of GPT-5.2 further optimized for agentic coding in Codex, including improvements on long-horizon work through context compaction, stronger performance on large code changes like refactors and migrations, improved performance in Windows environments, and significantly stronger cyber…</x:v>
      </x:c>
      <x:c r="K539" s="63" t="str">
        <x:v>Codex Changelog 在 2025-12-18 記錄了安全與治理、Codex 編碼代理、代理與工具調用相關更新；完整版本與修正內容見官方英文摘要。</x:v>
      </x:c>
      <x:c r="L539" s="52" t="str">
        <x:v>https://developers.openai.com/codex/changelog/</x:v>
      </x:c>
      <x:c r="M539" s="52" t="str">
        <x:v>developer_changelog</x:v>
      </x:c>
      <x:c r="N539" s="52" t="str">
        <x:v>complete</x:v>
      </x:c>
      <x:c r="O539" s="52" t="str">
        <x:v>high</x:v>
      </x:c>
      <x:c r="P539" s="60" t="n">
        <x:v>3</x:v>
      </x:c>
      <x:c r="Q539" s="52" t="str">
        <x:v>codex | release-notes</x:v>
      </x:c>
    </x:row>
    <x:row r="540" ht="38" customHeight="1">
      <x:c r="A540" s="57" t="n">
        <x:v>46009</x:v>
      </x:c>
      <x:c r="B540" s="52" t="str">
        <x:v>lane-introducing-gpt-5-2-codex</x:v>
      </x:c>
      <x:c r="C540" s="52" t="str">
        <x:v>Introducing GPT-5.2-Codex</x:v>
      </x:c>
      <x:c r="D540" s="52" t="str">
        <x:v>agents_research</x:v>
      </x:c>
      <x:c r="E540" s="52" t="str">
        <x:v>GPT-5.2-Codex</x:v>
      </x:c>
      <x:c r="F540" s="52" t="str">
        <x:v>model_release</x:v>
      </x:c>
      <x:c r="G540" s="52" t="str">
        <x:v>active</x:v>
      </x:c>
      <x:c r="H540" s="63" t="str">
        <x:v>Introducing GPT-5.2-Codex</x:v>
      </x:c>
      <x:c r="I540" s="63" t="str">
        <x:v>推出 GPT-5.2-Codex</x:v>
      </x:c>
      <x:c r="J540" s="63" t="str">
        <x:v>OpenAI released GPT-5.2-Codex across paid Codex surfaces with stronger long-horizon software engineering, context compaction, Windows performance, vision, and cybersecurity capabilities.</x:v>
      </x:c>
      <x:c r="K540" s="63" t="str">
        <x:v>OpenAI 已在付費 Codex 介面中推出 GPT-5.2-Codex，具備更強大的長視角軟體工程、上下文壓縮、Windows 效能、視覺及網路安全能力。</x:v>
      </x:c>
      <x:c r="L540" s="52" t="str">
        <x:v>https://openai.com/index/introducing-gpt-5-2-codex/</x:v>
      </x:c>
      <x:c r="M540" s="52" t="str">
        <x:v>official_launch_post</x:v>
      </x:c>
      <x:c r="N540" s="52" t="str">
        <x:v>complete</x:v>
      </x:c>
      <x:c r="O540" s="52" t="str">
        <x:v>high</x:v>
      </x:c>
      <x:c r="P540" s="60" t="n">
        <x:v>4</x:v>
      </x:c>
      <x:c r="Q540" s="52" t="str">
        <x:v>2025 | agents-research | gpt-5.2-codex | model_release</x:v>
      </x:c>
    </x:row>
    <x:row r="541" ht="38" customHeight="1">
      <x:c r="A541" s="57" t="n">
        <x:v>46009</x:v>
      </x:c>
      <x:c r="B541" s="52" t="str">
        <x:v>chatgpt-release-notes</x:v>
      </x:c>
      <x:c r="C541" s="52" t="str">
        <x:v>ChatGPT — Release Notes</x:v>
      </x:c>
      <x:c r="D541" s="52" t="str">
        <x:v>developer_platform</x:v>
      </x:c>
      <x:c r="E541" s="52" t="str">
        <x:v>Apps &amp; Connectors</x:v>
      </x:c>
      <x:c r="F541" s="52" t="str">
        <x:v>launch</x:v>
      </x:c>
      <x:c r="G541" s="52" t="str">
        <x:v>active</x:v>
      </x:c>
      <x:c r="H541" s="63" t="str">
        <x:v>Introducing the app directory in ChatGPT</x:v>
      </x:c>
      <x:c r="I541" s="63" t="str">
        <x:v>推出 ChatGPT 應用程式目錄</x:v>
      </x:c>
      <x:c r="J541" s="63" t="str">
        <x:v>You can now browse and add approved apps in the new app directory. Apps let you work with your tools and data directly inside a conversation—from interactive in-chat experiences to secure connections that allow ChatGPT to search and reference information from third-party services. As part of this update, connectors now appear in the directory as apps, making it easier to manage all your tools in one place. References across the Help…</x:v>
      </x:c>
      <x:c r="K541" s="63" t="str">
        <x:v>您現在可在全新的應用程式目錄中瀏覽並新增經核准的應用程式。這些應用程式讓您能直接在對話中使用工具與資料——從互動式對話體驗，到允許 ChatGPT 搜尋並參照第三方服務資訊的安全連線皆包含在內。</x:v>
      </x:c>
      <x:c r="L541" s="52" t="str">
        <x:v>https://help.openai.com/en/articles/6825453-chatgpt-release-notes</x:v>
      </x:c>
      <x:c r="M541" s="52" t="str">
        <x:v>help_center_release_notes</x:v>
      </x:c>
      <x:c r="N541" s="52" t="str">
        <x:v>complete</x:v>
      </x:c>
      <x:c r="O541" s="52" t="str">
        <x:v>high</x:v>
      </x:c>
      <x:c r="P541" s="60" t="n">
        <x:v>4</x:v>
      </x:c>
      <x:c r="Q541" s="52" t="str">
        <x:v>2025 | apps-connectors | developer-platform | launch</x:v>
      </x:c>
    </x:row>
    <x:row r="542" ht="38" customHeight="1">
      <x:c r="A542" s="57" t="n">
        <x:v>46009</x:v>
      </x:c>
      <x:c r="B542" s="52" t="str">
        <x:v>atlas-release-notes</x:v>
      </x:c>
      <x:c r="C542" s="52" t="str">
        <x:v>ChatGPT Atlas — Release Notes</x:v>
      </x:c>
      <x:c r="D542" s="52" t="str">
        <x:v>clients_surfaces</x:v>
      </x:c>
      <x:c r="E542" s="52" t="str">
        <x:v>ChatGPT</x:v>
      </x:c>
      <x:c r="F542" s="52" t="str">
        <x:v>feature</x:v>
      </x:c>
      <x:c r="G542" s="52" t="str">
        <x:v>active</x:v>
      </x:c>
      <x:c r="H542" s="63" t="str">
        <x:v>Multi-profile</x:v>
      </x:c>
      <x:c r="I542" s="63" t="str">
        <x:v>功能更新：Multi-profile</x:v>
      </x:c>
      <x:c r="J542" s="63" t="str">
        <x:v>For the same ChatGPT login, users can create multiple profiles (i.e. personal, school, work, etc); Each profile can have its own bookmarks, web history, cookies Support for multiple ChatGPT logins is not yet supported (coming soon)</x:v>
      </x:c>
      <x:c r="K542" s="63" t="str">
        <x:v>OpenAI 於 2025-12-18 為 ChatGPT 新增功能；此節點依官方發布記錄整理，完整能力、適用方案與限制請見來源。</x:v>
      </x:c>
      <x:c r="L542" s="52" t="str">
        <x:v>https://help.openai.com/en/articles/12591856-chatgpt-atlas-release-notes</x:v>
      </x:c>
      <x:c r="M542" s="52" t="str">
        <x:v>help_center_release_notes</x:v>
      </x:c>
      <x:c r="N542" s="52" t="str">
        <x:v>parsed</x:v>
      </x:c>
      <x:c r="O542" s="52" t="str">
        <x:v>high</x:v>
      </x:c>
      <x:c r="P542" s="60" t="n">
        <x:v>0</x:v>
      </x:c>
      <x:c r="Q542" s="52" t="str"/>
    </x:row>
    <x:row r="543" ht="38" customHeight="1">
      <x:c r="A543" s="57" t="n">
        <x:v>46009</x:v>
      </x:c>
      <x:c r="B543" s="52" t="str">
        <x:v>atlas-release-notes</x:v>
      </x:c>
      <x:c r="C543" s="52" t="str">
        <x:v>ChatGPT Atlas — Release Notes</x:v>
      </x:c>
      <x:c r="D543" s="52" t="str">
        <x:v>clients_surfaces</x:v>
      </x:c>
      <x:c r="E543" s="52" t="str">
        <x:v>ChatGPT</x:v>
      </x:c>
      <x:c r="F543" s="52" t="str">
        <x:v>feature</x:v>
      </x:c>
      <x:c r="G543" s="52" t="str">
        <x:v>active</x:v>
      </x:c>
      <x:c r="H543" s="63" t="str">
        <x:v>Other</x:v>
      </x:c>
      <x:c r="I543" s="63" t="str">
        <x:v>功能更新：Other</x:v>
      </x:c>
      <x:c r="J543" s="63" t="str">
        <x:v>Recently Closed Tabs added to History menu Permissions prompt UI polish</x:v>
      </x:c>
      <x:c r="K543" s="63" t="str">
        <x:v>OpenAI 於 2025-12-18 為 ChatGPT 新增功能；此節點依官方發布記錄整理，完整能力、適用方案與限制請見來源。</x:v>
      </x:c>
      <x:c r="L543" s="52" t="str">
        <x:v>https://help.openai.com/en/articles/12591856-chatgpt-atlas-release-notes</x:v>
      </x:c>
      <x:c r="M543" s="52" t="str">
        <x:v>help_center_release_notes</x:v>
      </x:c>
      <x:c r="N543" s="52" t="str">
        <x:v>parsed</x:v>
      </x:c>
      <x:c r="O543" s="52" t="str">
        <x:v>high</x:v>
      </x:c>
      <x:c r="P543" s="60" t="n">
        <x:v>0</x:v>
      </x:c>
      <x:c r="Q543" s="52" t="str"/>
    </x:row>
    <x:row r="544" ht="38" customHeight="1">
      <x:c r="A544" s="57" t="n">
        <x:v>46009</x:v>
      </x:c>
      <x:c r="B544" s="52" t="str">
        <x:v>chatgpt-release-notes</x:v>
      </x:c>
      <x:c r="C544" s="52" t="str">
        <x:v>ChatGPT — Release Notes</x:v>
      </x:c>
      <x:c r="D544" s="52" t="str">
        <x:v>chatgpt_core</x:v>
      </x:c>
      <x:c r="E544" s="52" t="str">
        <x:v>ChatGPT Atlas</x:v>
      </x:c>
      <x:c r="F544" s="52" t="str">
        <x:v>feature</x:v>
      </x:c>
      <x:c r="G544" s="52" t="str">
        <x:v>active</x:v>
      </x:c>
      <x:c r="H544" s="63" t="str">
        <x:v>Pinned chats in ChatGPT</x:v>
      </x:c>
      <x:c r="I544" s="63" t="str">
        <x:v>ChatGPT 聊天釘選功能</x:v>
      </x:c>
      <x:c r="J544" s="63" t="str">
        <x:v>You can now pin chats to the top of your list for quick access to important conversations. Pinned chats are available on iOS, Android, Web, and Atlas. On web, hover over a chat in the left-hand sidebar, click ⋯, and select Pin chat. On mobile, long-press a chat and select Pin chat.</x:v>
      </x:c>
      <x:c r="K544" s="63" t="str">
        <x:v>您現在可將對話釘選至清單頂端，以便快速存取重要對話。聊天釘選功能適用於 iOS、Android、網頁版及 Atlas。在網頁版上，將滑鼠懸停於左側邊欄的對話，點擊 ⋯，然後選擇「釘選聊天」。在行動裝置上，長按對話並選擇「釘選聊天」。</x:v>
      </x:c>
      <x:c r="L544" s="52" t="str">
        <x:v>https://help.openai.com/en/articles/6825453-chatgpt-release-notes</x:v>
      </x:c>
      <x:c r="M544" s="52" t="str">
        <x:v>help_center_release_notes</x:v>
      </x:c>
      <x:c r="N544" s="52" t="str">
        <x:v>complete</x:v>
      </x:c>
      <x:c r="O544" s="52" t="str">
        <x:v>high</x:v>
      </x:c>
      <x:c r="P544" s="60" t="n">
        <x:v>3</x:v>
      </x:c>
      <x:c r="Q544" s="52" t="str">
        <x:v>2025 | chatgpt | chatgpt-core | feature</x:v>
      </x:c>
    </x:row>
    <x:row r="545" ht="38" customHeight="1">
      <x:c r="A545" s="57" t="n">
        <x:v>46009</x:v>
      </x:c>
      <x:c r="B545" s="52" t="str">
        <x:v>atlas-release-notes</x:v>
      </x:c>
      <x:c r="C545" s="52" t="str">
        <x:v>ChatGPT Atlas — Release Notes</x:v>
      </x:c>
      <x:c r="D545" s="52" t="str">
        <x:v>clients_surfaces</x:v>
      </x:c>
      <x:c r="E545" s="52" t="str">
        <x:v>ChatGPT</x:v>
      </x:c>
      <x:c r="F545" s="52" t="str">
        <x:v>feature</x:v>
      </x:c>
      <x:c r="G545" s="52" t="str">
        <x:v>active</x:v>
      </x:c>
      <x:c r="H545" s="63" t="str">
        <x:v>Shortcuts</x:v>
      </x:c>
      <x:c r="I545" s="63" t="str">
        <x:v>功能更新：Shortcuts</x:v>
      </x:c>
      <x:c r="J545" s="63" t="str">
        <x:v>Ctrl+Cmd+Left (or Right/Up/Down) now moves the selected tab one space</x:v>
      </x:c>
      <x:c r="K545" s="63" t="str">
        <x:v>OpenAI 於 2025-12-18 為 ChatGPT 新增功能；此節點依官方發布記錄整理，完整能力、適用方案與限制請見來源。</x:v>
      </x:c>
      <x:c r="L545" s="52" t="str">
        <x:v>https://help.openai.com/en/articles/12591856-chatgpt-atlas-release-notes</x:v>
      </x:c>
      <x:c r="M545" s="52" t="str">
        <x:v>help_center_release_notes</x:v>
      </x:c>
      <x:c r="N545" s="52" t="str">
        <x:v>parsed</x:v>
      </x:c>
      <x:c r="O545" s="52" t="str">
        <x:v>high</x:v>
      </x:c>
      <x:c r="P545" s="60" t="n">
        <x:v>0</x:v>
      </x:c>
      <x:c r="Q545" s="52" t="str"/>
    </x:row>
    <x:row r="546" ht="38" customHeight="1">
      <x:c r="A546" s="57" t="n">
        <x:v>46009</x:v>
      </x:c>
      <x:c r="B546" s="52" t="str">
        <x:v>model-release-notes</x:v>
      </x:c>
      <x:c r="C546" s="52" t="str">
        <x:v>Model Release Notes</x:v>
      </x:c>
      <x:c r="D546" s="52" t="str">
        <x:v>models_reasoning</x:v>
      </x:c>
      <x:c r="E546" s="52" t="str">
        <x:v>ChatGPT</x:v>
      </x:c>
      <x:c r="F546" s="52" t="str">
        <x:v>safety</x:v>
      </x:c>
      <x:c r="G546" s="52" t="str">
        <x:v>active</x:v>
      </x:c>
      <x:c r="H546" s="63" t="str">
        <x:v>Updates to the OpenAI Model Spec</x:v>
      </x:c>
      <x:c r="I546" s="63" t="str">
        <x:v>更新：the OpenAI Model Spec</x:v>
      </x:c>
      <x:c r="J546" s="63" t="str">
        <x:v>We’ve updated the Model Spec, our living document outlining intended model behavior, to strengthen and more clearly codify the principles that reflect how we build experiences for teen users. New section: Under-18 (U18) Principles</x:v>
      </x:c>
      <x:c r="K546" s="63" t="str">
        <x:v>OpenAI 於 2025-12-18 為 ChatGPT 更新安全與治理機制；此節點依官方發布記錄整理，完整能力、適用方案與限制請見來源。</x:v>
      </x:c>
      <x:c r="L546" s="52" t="str">
        <x:v>https://help.openai.com/en/articles/9624314-model-release-notes</x:v>
      </x:c>
      <x:c r="M546" s="52" t="str">
        <x:v>help_center_release_notes</x:v>
      </x:c>
      <x:c r="N546" s="52" t="str">
        <x:v>parsed</x:v>
      </x:c>
      <x:c r="O546" s="52" t="str">
        <x:v>high</x:v>
      </x:c>
      <x:c r="P546" s="60" t="n">
        <x:v>0</x:v>
      </x:c>
      <x:c r="Q546" s="52" t="str"/>
    </x:row>
    <x:row r="547" ht="38" customHeight="1">
      <x:c r="A547" s="57" t="n">
        <x:v>46010</x:v>
      </x:c>
      <x:c r="B547" s="52" t="str">
        <x:v>lane-openai-api-changelog</x:v>
      </x:c>
      <x:c r="C547" s="52" t="str">
        <x:v>OpenAI API Changelog</x:v>
      </x:c>
      <x:c r="D547" s="52" t="str">
        <x:v>agents_research</x:v>
      </x:c>
      <x:c r="E547" s="52" t="str">
        <x:v>Responses API</x:v>
      </x:c>
      <x:c r="F547" s="52" t="str">
        <x:v>platform</x:v>
      </x:c>
      <x:c r="G547" s="52" t="str">
        <x:v>active</x:v>
      </x:c>
      <x:c r="H547" s="63" t="str">
        <x:v>Added gpt-image-1.5 and chatgpt-image-latest to the Responses API image generation tool.</x:v>
      </x:c>
      <x:c r="I547" s="63" t="str">
        <x:v>平台更新：Responses API</x:v>
      </x:c>
      <x:c r="J547" s="63" t="str">
        <x:v>Added gpt-image-1.5 and chatgpt-image-latest to the Responses API image generation tool.</x:v>
      </x:c>
      <x:c r="K547" s="63" t="str">
        <x:v>新增：gpt-image-1.5 and chatgpt-image-latest to Responses API image generation tool。OpenAI 將此列為 2025-12-19 的更新；重點涉及代理與工具調用、圖像與影片，模型、端點與參數名稱依官方英文保留。</x:v>
      </x:c>
      <x:c r="L547" s="52" t="str">
        <x:v>https://developers.openai.com/api/docs/changelog</x:v>
      </x:c>
      <x:c r="M547" s="52" t="str">
        <x:v>official_changelog</x:v>
      </x:c>
      <x:c r="N547" s="52" t="str">
        <x:v>complete</x:v>
      </x:c>
      <x:c r="O547" s="52" t="str">
        <x:v>high</x:v>
      </x:c>
      <x:c r="P547" s="60" t="n">
        <x:v>2</x:v>
      </x:c>
      <x:c r="Q547" s="52" t="str">
        <x:v>agents | responses-api | update</x:v>
      </x:c>
    </x:row>
    <x:row r="548" ht="38" customHeight="1">
      <x:c r="A548" s="57" t="n">
        <x:v>46010</x:v>
      </x:c>
      <x:c r="B548" s="52" t="str">
        <x:v>codex-changelog</x:v>
      </x:c>
      <x:c r="C548" s="52" t="str">
        <x:v>Codex Changelog</x:v>
      </x:c>
      <x:c r="D548" s="52" t="str">
        <x:v>agents_research</x:v>
      </x:c>
      <x:c r="E548" s="52" t="str">
        <x:v>Codex</x:v>
      </x:c>
      <x:c r="F548" s="52" t="str">
        <x:v>pricing_quota</x:v>
      </x:c>
      <x:c r="G548" s="52" t="str">
        <x:v>active</x:v>
      </x:c>
      <x:c r="H548" s="63" t="str">
        <x:v>Agent skills in Codex</x:v>
      </x:c>
      <x:c r="I548" s="63" t="str">
        <x:v>Agent skills in Codex 更新</x:v>
      </x:c>
      <x:c r="J548" s="63" t="str">
        <x:v>Codex now supports agent skills : reusable bundles of instructions (plus optional scripts and resources) that help Codex reliably complete specific tasks. Skills are available in both the Codex CLI and IDE extensions. You can invoke a skill explicitly by typing $skill-name (for example, $skill-installer or the experimental $create-plan skill after installing it), or let Codex select a skill automatically based on your prompt. Learn m…</x:v>
      </x:c>
      <x:c r="K548" s="63" t="str">
        <x:v>Codex Changelog 在 2025-12-19 記錄了Codex 編碼代理、代理與工具調用相關更新；完整版本與修正內容見官方英文摘要。</x:v>
      </x:c>
      <x:c r="L548" s="52" t="str">
        <x:v>https://developers.openai.com/codex/changelog/</x:v>
      </x:c>
      <x:c r="M548" s="52" t="str">
        <x:v>developer_changelog</x:v>
      </x:c>
      <x:c r="N548" s="52" t="str">
        <x:v>complete</x:v>
      </x:c>
      <x:c r="O548" s="52" t="str">
        <x:v>high</x:v>
      </x:c>
      <x:c r="P548" s="60" t="n">
        <x:v>2</x:v>
      </x:c>
      <x:c r="Q548" s="52" t="str">
        <x:v>codex | release-notes</x:v>
      </x:c>
    </x:row>
    <x:row r="549" ht="38" customHeight="1">
      <x:c r="A549" s="57" t="n">
        <x:v>46010</x:v>
      </x:c>
      <x:c r="B549" s="52" t="str">
        <x:v>api-changelog</x:v>
      </x:c>
      <x:c r="C549" s="52" t="str">
        <x:v>OpenAI API Changelog</x:v>
      </x:c>
      <x:c r="D549" s="52" t="str">
        <x:v>multimodal</x:v>
      </x:c>
      <x:c r="E549" s="52" t="str">
        <x:v>ChatGPT Images</x:v>
      </x:c>
      <x:c r="F549" s="52" t="str">
        <x:v>platform</x:v>
      </x:c>
      <x:c r="G549" s="52" t="str">
        <x:v>active</x:v>
      </x:c>
      <x:c r="H549" s="63" t="str">
        <x:v>chatgpt-image-latest</x:v>
      </x:c>
      <x:c r="I549" s="63" t="str">
        <x:v>平台更新：chatgpt-image-latest</x:v>
      </x:c>
      <x:c r="J549" s="63" t="str">
        <x:v>chatgpt-image-latest Added gpt-image-1.5 and chatgpt-image-latest to the Responses API image generation tool.</x:v>
      </x:c>
      <x:c r="K549" s="63" t="str">
        <x:v>OpenAI 於 2025-12-19 為 ChatGPT Images 更新開發者平台；此節點依官方發布記錄整理，完整能力、適用方案與限制請見來源。</x:v>
      </x:c>
      <x:c r="L549" s="52" t="str">
        <x:v>https://platform.openai.com/docs/changelog</x:v>
      </x:c>
      <x:c r="M549" s="52" t="str">
        <x:v>developer_changelog</x:v>
      </x:c>
      <x:c r="N549" s="52" t="str">
        <x:v>parsed</x:v>
      </x:c>
      <x:c r="O549" s="52" t="str">
        <x:v>high</x:v>
      </x:c>
      <x:c r="P549" s="60" t="n">
        <x:v>0</x:v>
      </x:c>
      <x:c r="Q549" s="52" t="str"/>
    </x:row>
    <x:row r="550" ht="38" customHeight="1">
      <x:c r="A550" s="57" t="n">
        <x:v>46010</x:v>
      </x:c>
      <x:c r="B550" s="52" t="str">
        <x:v>chatgpt-release-notes</x:v>
      </x:c>
      <x:c r="C550" s="52" t="str">
        <x:v>ChatGPT — Release Notes</x:v>
      </x:c>
      <x:c r="D550" s="52" t="str">
        <x:v>chatgpt_core</x:v>
      </x:c>
      <x:c r="E550" s="52" t="str">
        <x:v>ChatGPT</x:v>
      </x:c>
      <x:c r="F550" s="52" t="str">
        <x:v>feature</x:v>
      </x:c>
      <x:c r="G550" s="52" t="str">
        <x:v>active</x:v>
      </x:c>
      <x:c r="H550" s="63" t="str">
        <x:v>New detailed characteristic controls</x:v>
      </x:c>
      <x:c r="I550" s="63" t="str">
        <x:v>全新詳細特性控制選項</x:v>
      </x:c>
      <x:c r="J550" s="63" t="str">
        <x:v>In addition to selecting a base style and tone preset—like candid and friendly—you can now adjust specific characteristics individually. From the ‘personalization’ pane in settings, you can adjust ChatGPT to: Be more or less warm Be more or less enthusiastic Use more or fewer headers &amp; lists Use more or fewer emojis</x:v>
      </x:c>
      <x:c r="K550" s="63" t="str">
        <x:v>除了選擇基礎風格與語氣預設值（如直率、友善）外，您現在可以個別調整特定特性。從設定中的「個人化」面板，您可以調整 ChatGPT 的表現：增加或減少溫暖度、增加或減少熱情度、增加或減少標題與清單的使用、增加或減少表情符號的使用。</x:v>
      </x:c>
      <x:c r="L550" s="52" t="str">
        <x:v>https://help.openai.com/en/articles/6825453-chatgpt-release-notes</x:v>
      </x:c>
      <x:c r="M550" s="52" t="str">
        <x:v>help_center_release_notes</x:v>
      </x:c>
      <x:c r="N550" s="52" t="str">
        <x:v>complete</x:v>
      </x:c>
      <x:c r="O550" s="52" t="str">
        <x:v>high</x:v>
      </x:c>
      <x:c r="P550" s="60" t="n">
        <x:v>3</x:v>
      </x:c>
      <x:c r="Q550" s="52" t="str">
        <x:v>2025 | chatgpt | chatgpt-core | feature</x:v>
      </x:c>
    </x:row>
    <x:row r="551" ht="38" customHeight="1">
      <x:c r="A551" s="57" t="n">
        <x:v>46013</x:v>
      </x:c>
      <x:c r="B551" s="52" t="str">
        <x:v>chatgpt-release-notes</x:v>
      </x:c>
      <x:c r="C551" s="52" t="str">
        <x:v>ChatGPT — Release Notes</x:v>
      </x:c>
      <x:c r="D551" s="52" t="str">
        <x:v>chatgpt_core</x:v>
      </x:c>
      <x:c r="E551" s="52" t="str">
        <x:v>ChatGPT</x:v>
      </x:c>
      <x:c r="F551" s="52" t="str">
        <x:v>feature</x:v>
      </x:c>
      <x:c r="G551" s="52" t="str">
        <x:v>active</x:v>
      </x:c>
      <x:c r="H551" s="63" t="str">
        <x:v>Your Year with ChatGPT</x:v>
      </x:c>
      <x:c r="I551" s="63" t="str">
        <x:v>ChatGPT 年度回顧</x:v>
      </x:c>
      <x:c r="J551" s="63" t="str">
        <x:v>Today we’re rolling out Your Year with ChatGPT, an optional, personalized end-of-year experience that reflects on how you interacted with ChatGPT in 2025. It highlights high-level themes from your conversations and includes summary statistics about your usage over the year. This experience is rolling out gradually throughout the day, so it may not be available to everyone immediately. It’s available to Free, Plus, and Pro users in Un…</x:v>
      </x:c>
      <x:c r="K551" s="63" t="str">
        <x:v>我們今日推出「ChatGPT 年度回顧」，這是一項選擇性的個人化年底體驗，回顧您在 2025 年與 ChatGPT 的互動方式。它會強調您對話中的主要主題，並包含您全年的使用統計摘要。</x:v>
      </x:c>
      <x:c r="L551" s="52" t="str">
        <x:v>https://help.openai.com/en/articles/6825453-chatgpt-release-notes</x:v>
      </x:c>
      <x:c r="M551" s="52" t="str">
        <x:v>help_center_release_notes</x:v>
      </x:c>
      <x:c r="N551" s="52" t="str">
        <x:v>complete</x:v>
      </x:c>
      <x:c r="O551" s="52" t="str">
        <x:v>high</x:v>
      </x:c>
      <x:c r="P551" s="60" t="n">
        <x:v>3</x:v>
      </x:c>
      <x:c r="Q551" s="52" t="str">
        <x:v>2025 | chatgpt | chatgpt-core | feature</x:v>
      </x:c>
    </x:row>
    <x:row r="552" ht="38" customHeight="1">
      <x:c r="A552" s="57" t="n">
        <x:v>46029</x:v>
      </x:c>
      <x:c r="B552" s="52" t="str">
        <x:v>chatgpt-release-notes</x:v>
      </x:c>
      <x:c r="C552" s="52" t="str">
        <x:v>ChatGPT — Release Notes</x:v>
      </x:c>
      <x:c r="D552" s="52" t="str">
        <x:v>enterprise_vertical</x:v>
      </x:c>
      <x:c r="E552" s="52" t="str">
        <x:v>ChatGPT Health</x:v>
      </x:c>
      <x:c r="F552" s="52" t="str">
        <x:v>launch</x:v>
      </x:c>
      <x:c r="G552" s="52" t="str">
        <x:v>active</x:v>
      </x:c>
      <x:c r="H552" s="63" t="str">
        <x:v>Health in ChatGPT</x:v>
      </x:c>
      <x:c r="I552" s="63" t="str">
        <x:v>ChatGPT 健康功能</x:v>
      </x:c>
      <x:c r="J552" s="63" t="str">
        <x:v>We’re starting to roll out Health, a dedicated space in ChatGPT for health and wellness conversations. You can securely connect medical records, Apple Health and supported wellness apps so answers can be grounded in your own data. Health is designed to help you navigate medical care, not replace it. Health conversations, memory, and files are kept separate from the rest of ChatGPT and are not used to train our foundation models. Heal…</x:v>
      </x:c>
      <x:c r="K552" s="63" t="str">
        <x:v>我們開始推出「健康」功能，這是 ChatGPT 中專為健康與保健對話設計的空間。您可以安全地連結醫療記錄、Apple Health 及受支援的保健應用程式，讓 AI 回覆能基於您的個人資料。此功能旨在協助您了解醫療護理，而非取代醫療服務。</x:v>
      </x:c>
      <x:c r="L552" s="52" t="str">
        <x:v>https://help.openai.com/en/articles/6825453-chatgpt-release-notes</x:v>
      </x:c>
      <x:c r="M552" s="52" t="str">
        <x:v>help_center_release_notes</x:v>
      </x:c>
      <x:c r="N552" s="52" t="str">
        <x:v>complete</x:v>
      </x:c>
      <x:c r="O552" s="52" t="str">
        <x:v>high</x:v>
      </x:c>
      <x:c r="P552" s="60" t="n">
        <x:v>4</x:v>
      </x:c>
      <x:c r="Q552" s="52" t="str">
        <x:v>2026 | chatgpt-health | enterprise-vertical | launch</x:v>
      </x:c>
    </x:row>
    <x:row r="553" ht="38" customHeight="1">
      <x:c r="A553" s="57" t="n">
        <x:v>46031</x:v>
      </x:c>
      <x:c r="B553" s="52" t="str">
        <x:v>api-changelog</x:v>
      </x:c>
      <x:c r="C553" s="52" t="str">
        <x:v>OpenAI API Changelog</x:v>
      </x:c>
      <x:c r="D553" s="52" t="str">
        <x:v>multimodal</x:v>
      </x:c>
      <x:c r="E553" s="52" t="str">
        <x:v>ChatGPT Images</x:v>
      </x:c>
      <x:c r="F553" s="52" t="str">
        <x:v>model_update</x:v>
      </x:c>
      <x:c r="G553" s="52" t="str">
        <x:v>active</x:v>
      </x:c>
      <x:c r="H553" s="63" t="str">
        <x:v>chatgpt-image-latest</x:v>
      </x:c>
      <x:c r="I553" s="63" t="str">
        <x:v>模型更新：chatgpt-image-latest</x:v>
      </x:c>
      <x:c r="J553" s="63" t="str">
        <x:v>chatgpt-image-latest Fixed an issue where gpt-image-1.5 and chatgpt-image-latest were incorrectly using high fidelity for image edits through /v1/images/edits, even when fidelity was explicitly set to low (the default).</x:v>
      </x:c>
      <x:c r="K553" s="63" t="str">
        <x:v>OpenAI 於 2026-01-09 為 ChatGPT Images 更新模型或體驗；此節點依官方發布記錄整理，完整能力、適用方案與限制請見來源。</x:v>
      </x:c>
      <x:c r="L553" s="52" t="str">
        <x:v>https://platform.openai.com/docs/changelog</x:v>
      </x:c>
      <x:c r="M553" s="52" t="str">
        <x:v>developer_changelog</x:v>
      </x:c>
      <x:c r="N553" s="52" t="str">
        <x:v>parsed</x:v>
      </x:c>
      <x:c r="O553" s="52" t="str">
        <x:v>high</x:v>
      </x:c>
      <x:c r="P553" s="60" t="n">
        <x:v>0</x:v>
      </x:c>
      <x:c r="Q553" s="52" t="str"/>
    </x:row>
    <x:row r="554" ht="38" customHeight="1">
      <x:c r="A554" s="57" t="n">
        <x:v>46031</x:v>
      </x:c>
      <x:c r="B554" s="52" t="str">
        <x:v>lane-openai-api-changelog</x:v>
      </x:c>
      <x:c r="C554" s="52" t="str">
        <x:v>OpenAI API Changelog</x:v>
      </x:c>
      <x:c r="D554" s="52" t="str">
        <x:v>multimodal</x:v>
      </x:c>
      <x:c r="E554" s="52" t="str">
        <x:v>Image API</x:v>
      </x:c>
      <x:c r="F554" s="52" t="str">
        <x:v>model_update</x:v>
      </x:c>
      <x:c r="G554" s="52" t="str">
        <x:v>active</x:v>
      </x:c>
      <x:c r="H554" s="63" t="str">
        <x:v>Fixed an issue where gpt-image-1.5 and chatgpt-image-latest were incorrectly using high fidelity for image edits through…</x:v>
      </x:c>
      <x:c r="I554" s="63" t="str">
        <x:v>模型更新：Image API</x:v>
      </x:c>
      <x:c r="J554" s="63" t="str">
        <x:v>Fixed an issue where gpt-image-1.5 and chatgpt-image-latest were incorrectly using high fidelity for image edits through /v1/images/edits , even when fidelity was explicitly set to low (the default).</x:v>
      </x:c>
      <x:c r="K554" s="63" t="str">
        <x:v>修正：an issue where gpt-image-1.5 and chatgpt-image-latest were incorrectly using high fidelity for image edits through /v1/images/edits , even when fidelity was explicitly set to…。OpenAI 將此列為 2026-01-09 的修正；重點涉及圖像與影片、可靠性與效能修正，模型、端點與參數名稱依官方英文保留。</x:v>
      </x:c>
      <x:c r="L554" s="52" t="str">
        <x:v>https://developers.openai.com/api/docs/changelog</x:v>
      </x:c>
      <x:c r="M554" s="52" t="str">
        <x:v>official_changelog</x:v>
      </x:c>
      <x:c r="N554" s="52" t="str">
        <x:v>complete</x:v>
      </x:c>
      <x:c r="O554" s="52" t="str">
        <x:v>high</x:v>
      </x:c>
      <x:c r="P554" s="60" t="n">
        <x:v>1</x:v>
      </x:c>
      <x:c r="Q554" s="52" t="str">
        <x:v>fix | image-generation | multimodal</x:v>
      </x:c>
    </x:row>
    <x:row r="555" ht="38" customHeight="1">
      <x:c r="A555" s="57" t="n">
        <x:v>46034</x:v>
      </x:c>
      <x:c r="B555" s="52" t="str">
        <x:v>chatgpt-release-notes</x:v>
      </x:c>
      <x:c r="C555" s="52" t="str">
        <x:v>ChatGPT — Release Notes</x:v>
      </x:c>
      <x:c r="D555" s="52" t="str">
        <x:v>multimodal</x:v>
      </x:c>
      <x:c r="E555" s="52" t="str">
        <x:v>ChatGPT Enterprise &amp; Edu</x:v>
      </x:c>
      <x:c r="F555" s="52" t="str">
        <x:v>feature</x:v>
      </x:c>
      <x:c r="G555" s="52" t="str">
        <x:v>active</x:v>
      </x:c>
      <x:c r="H555" s="63" t="str">
        <x:v>Dictation Updates</x:v>
      </x:c>
      <x:c r="I555" s="63" t="str">
        <x:v>聽寫功能更新</x:v>
      </x:c>
      <x:c r="J555" s="63" t="str">
        <x:v>We’re improving our dictation capabilities in ChatGPT for all logged-in users, significantly reducing empty transcriptions and improving accuracy.</x:v>
      </x:c>
      <x:c r="K555" s="63" t="str">
        <x:v>OpenAI 於 2026-01-12 為 ChatGPT Enterprise &amp; Edu 擴大開放範圍；此節點依官方發布記錄整理，完整能力、適用方案與限制請見來源。</x:v>
      </x:c>
      <x:c r="L555" s="52" t="str">
        <x:v>https://help.openai.com/en/articles/6825453-chatgpt-release-notes</x:v>
      </x:c>
      <x:c r="M555" s="52" t="str">
        <x:v>help_center_release_notes</x:v>
      </x:c>
      <x:c r="N555" s="52" t="str">
        <x:v>complete</x:v>
      </x:c>
      <x:c r="O555" s="52" t="str">
        <x:v>high</x:v>
      </x:c>
      <x:c r="P555" s="60" t="n">
        <x:v>3</x:v>
      </x:c>
      <x:c r="Q555" s="52" t="str">
        <x:v>2026 | chatgpt-voice | feature | multimodal</x:v>
      </x:c>
    </x:row>
    <x:row r="556" ht="38" customHeight="1">
      <x:c r="A556" s="57" t="n">
        <x:v>46035</x:v>
      </x:c>
      <x:c r="B556" s="52" t="str">
        <x:v>api-changelog</x:v>
      </x:c>
      <x:c r="C556" s="52" t="str">
        <x:v>OpenAI API Changelog</x:v>
      </x:c>
      <x:c r="D556" s="52" t="str">
        <x:v>developer_platform</x:v>
      </x:c>
      <x:c r="E556" s="52" t="str">
        <x:v>Realtime API</x:v>
      </x:c>
      <x:c r="F556" s="52" t="str">
        <x:v>platform</x:v>
      </x:c>
      <x:c r="G556" s="52" t="str">
        <x:v>active</x:v>
      </x:c>
      <x:c r="H556" s="63" t="str">
        <x:v>Added dedicated SIP IP ranges for Realtime API.</x:v>
      </x:c>
      <x:c r="I556" s="63" t="str">
        <x:v>平台更新：Added dedicated SIP IP ranges for Realtime API.</x:v>
      </x:c>
      <x:c r="J556" s="63" t="str">
        <x:v>Added dedicated SIP IP ranges for Realtime API. sip.api.openai.com does GeoIP routing, and will direct SIP traffic to the closest region. Learn more.</x:v>
      </x:c>
      <x:c r="K556" s="63" t="str">
        <x:v>OpenAI 於 2026-01-13 為 Realtime API 更新開發者平台；此節點依官方發布記錄整理，完整能力、適用方案與限制請見來源。</x:v>
      </x:c>
      <x:c r="L556" s="52" t="str">
        <x:v>https://platform.openai.com/docs/changelog</x:v>
      </x:c>
      <x:c r="M556" s="52" t="str">
        <x:v>developer_changelog</x:v>
      </x:c>
      <x:c r="N556" s="52" t="str">
        <x:v>parsed</x:v>
      </x:c>
      <x:c r="O556" s="52" t="str">
        <x:v>high</x:v>
      </x:c>
      <x:c r="P556" s="60" t="n">
        <x:v>0</x:v>
      </x:c>
      <x:c r="Q556" s="52" t="str"/>
    </x:row>
    <x:row r="557" ht="38" customHeight="1">
      <x:c r="A557" s="57" t="n">
        <x:v>46035</x:v>
      </x:c>
      <x:c r="B557" s="52" t="str">
        <x:v>lane-openai-api-changelog</x:v>
      </x:c>
      <x:c r="C557" s="52" t="str">
        <x:v>OpenAI API Changelog</x:v>
      </x:c>
      <x:c r="D557" s="52" t="str">
        <x:v>multimodal</x:v>
      </x:c>
      <x:c r="E557" s="52" t="str">
        <x:v>Realtime &amp; Audio API</x:v>
      </x:c>
      <x:c r="F557" s="52" t="str">
        <x:v>platform</x:v>
      </x:c>
      <x:c r="G557" s="52" t="str">
        <x:v>active</x:v>
      </x:c>
      <x:c r="H557" s="63" t="str">
        <x:v>Added dedicated SIP IP ranges for Realtime API.</x:v>
      </x:c>
      <x:c r="I557" s="63" t="str">
        <x:v>新增：dedicated SIP IP ranges for Realtime API.</x:v>
      </x:c>
      <x:c r="J557" s="63" t="str">
        <x:v>Added dedicated SIP IP ranges for Realtime API. sip.api.openai.com does GeoIP routing, and will direct SIP traffic to the closest region. Learn more .</x:v>
      </x:c>
      <x:c r="K557" s="63" t="str">
        <x:v>新增：dedicated SIP IP ranges for Realtime API。OpenAI 將此列為 2026-01-13 的功能；重點涉及即時語音與音訊，模型、端點與參數名稱依官方英文保留。</x:v>
      </x:c>
      <x:c r="L557" s="52" t="str">
        <x:v>https://developers.openai.com/api/docs/changelog</x:v>
      </x:c>
      <x:c r="M557" s="52" t="str">
        <x:v>official_changelog</x:v>
      </x:c>
      <x:c r="N557" s="52" t="str">
        <x:v>complete</x:v>
      </x:c>
      <x:c r="O557" s="52" t="str">
        <x:v>high</x:v>
      </x:c>
      <x:c r="P557" s="60" t="n">
        <x:v>2</x:v>
      </x:c>
      <x:c r="Q557" s="52" t="str">
        <x:v>audio | feature | realtime</x:v>
      </x:c>
    </x:row>
    <x:row r="558" ht="38" customHeight="1">
      <x:c r="A558" s="57" t="n">
        <x:v>46035</x:v>
      </x:c>
      <x:c r="B558" s="52" t="str">
        <x:v>api-changelog</x:v>
      </x:c>
      <x:c r="C558" s="52" t="str">
        <x:v>OpenAI API Changelog</x:v>
      </x:c>
      <x:c r="D558" s="52" t="str">
        <x:v>models_reasoning</x:v>
      </x:c>
      <x:c r="E558" s="52" t="str">
        <x:v>GPT-4o</x:v>
      </x:c>
      <x:c r="F558" s="52" t="str">
        <x:v>model_update</x:v>
      </x:c>
      <x:c r="G558" s="52" t="str">
        <x:v>active</x:v>
      </x:c>
      <x:c r="H558" s="63" t="str">
        <x:v>gpt-4o-mini-transcribe</x:v>
      </x:c>
      <x:c r="I558" s="63" t="str">
        <x:v>模型更新：gpt-4o-mini-transcribe</x:v>
      </x:c>
      <x:c r="J558" s="63" t="str">
        <x:v>gpt-4o-mini-transcribe Updated the gpt-4o-mini-tts and gpt-4o-mini-transcribe slugs to point to the 2025-12-15 snapshots. If you need the previous model snapshots, use gpt-4o-mini-tts-2025-03-20 and gpt-4o-mini-transcribe-2025-03-20. We currently recomend using gpt-4o-mini-transcribe over gpt-4o-transcribe for the best results.</x:v>
      </x:c>
      <x:c r="K558" s="63" t="str">
        <x:v>OpenAI 於 2026-01-13 為 GPT-4o 更新模型或體驗；此節點依官方發布記錄整理，完整能力、適用方案與限制請見來源。</x:v>
      </x:c>
      <x:c r="L558" s="52" t="str">
        <x:v>https://platform.openai.com/docs/changelog</x:v>
      </x:c>
      <x:c r="M558" s="52" t="str">
        <x:v>developer_changelog</x:v>
      </x:c>
      <x:c r="N558" s="52" t="str">
        <x:v>parsed</x:v>
      </x:c>
      <x:c r="O558" s="52" t="str">
        <x:v>high</x:v>
      </x:c>
      <x:c r="P558" s="60" t="n">
        <x:v>0</x:v>
      </x:c>
      <x:c r="Q558" s="52" t="str"/>
    </x:row>
    <x:row r="559" ht="38" customHeight="1">
      <x:c r="A559" s="57" t="n">
        <x:v>46035</x:v>
      </x:c>
      <x:c r="B559" s="52" t="str">
        <x:v>lane-openai-api-changelog</x:v>
      </x:c>
      <x:c r="C559" s="52" t="str">
        <x:v>OpenAI API Changelog</x:v>
      </x:c>
      <x:c r="D559" s="52" t="str">
        <x:v>models_reasoning</x:v>
      </x:c>
      <x:c r="E559" s="52" t="str">
        <x:v>Model Platform</x:v>
      </x:c>
      <x:c r="F559" s="52" t="str">
        <x:v>model_update</x:v>
      </x:c>
      <x:c r="G559" s="52" t="str">
        <x:v>active</x:v>
      </x:c>
      <x:c r="H559" s="63" t="str">
        <x:v>Updated the gpt-4o-mini-tts and gpt-4o-mini-transcribe slugs to point to the 2025-12-15 snapshots.</x:v>
      </x:c>
      <x:c r="I559" s="63" t="str">
        <x:v>模型更新：Model Platform</x:v>
      </x:c>
      <x:c r="J559" s="63" t="str">
        <x:v>Updated the gpt-4o-mini-tts and gpt-4o-mini-transcribe slugs to point to the 2025-12-15 snapshots. If you need the previous model snapshots, use gpt-4o-mini-tts-2025-03-20 and gpt-4o-mini-transcribe-2025-03-20 . We currently recomend using gpt-4o-mini-transcribe over gpt-4o-transcribe for the best results.</x:v>
      </x:c>
      <x:c r="K559" s="63" t="str">
        <x:v>更新：gpt-4o-mini-tts and gpt-4o-mini-transcribe slugs to point to 2025-12-15 snapshots。OpenAI 將此列為 2026-01-13 的更新；重點涉及平台功能與可用性，模型、端點與參數名稱依官方英文保留。</x:v>
      </x:c>
      <x:c r="L559" s="52" t="str">
        <x:v>https://developers.openai.com/api/docs/changelog</x:v>
      </x:c>
      <x:c r="M559" s="52" t="str">
        <x:v>official_changelog</x:v>
      </x:c>
      <x:c r="N559" s="52" t="str">
        <x:v>complete</x:v>
      </x:c>
      <x:c r="O559" s="52" t="str">
        <x:v>high</x:v>
      </x:c>
      <x:c r="P559" s="60" t="n">
        <x:v>2</x:v>
      </x:c>
      <x:c r="Q559" s="52" t="str">
        <x:v>api | models | update</x:v>
      </x:c>
    </x:row>
    <x:row r="560" ht="38" customHeight="1">
      <x:c r="A560" s="57" t="n">
        <x:v>46035</x:v>
      </x:c>
      <x:c r="B560" s="52" t="str">
        <x:v>api-changelog</x:v>
      </x:c>
      <x:c r="C560" s="52" t="str">
        <x:v>OpenAI API Changelog</x:v>
      </x:c>
      <x:c r="D560" s="52" t="str">
        <x:v>multimodal</x:v>
      </x:c>
      <x:c r="E560" s="52" t="str">
        <x:v>ChatGPT Voice</x:v>
      </x:c>
      <x:c r="F560" s="52" t="str">
        <x:v>model_update</x:v>
      </x:c>
      <x:c r="G560" s="52" t="str">
        <x:v>active</x:v>
      </x:c>
      <x:c r="H560" s="63" t="str">
        <x:v>Updated the gpt-realtime-mini and gpt-audio-mini slugs to point to the 2025-12-15 snapshots.</x:v>
      </x:c>
      <x:c r="I560" s="63" t="str">
        <x:v>模型更新：ChatGPT Voice</x:v>
      </x:c>
      <x:c r="J560" s="63" t="str">
        <x:v>Updated the gpt-realtime-mini and gpt-audio-mini slugs to point to the 2025-12-15 snapshots. If you need the previous model snapshots, use gpt-realtime-mini-2025-10-06 and gpt-audio-mini-2025-10-06.</x:v>
      </x:c>
      <x:c r="K560" s="63" t="str">
        <x:v>OpenAI 於 2026-01-13 為 ChatGPT Voice 更新模型或體驗；此節點依官方發布記錄整理，完整能力、適用方案與限制請見來源。</x:v>
      </x:c>
      <x:c r="L560" s="52" t="str">
        <x:v>https://platform.openai.com/docs/changelog</x:v>
      </x:c>
      <x:c r="M560" s="52" t="str">
        <x:v>developer_changelog</x:v>
      </x:c>
      <x:c r="N560" s="52" t="str">
        <x:v>parsed</x:v>
      </x:c>
      <x:c r="O560" s="52" t="str">
        <x:v>high</x:v>
      </x:c>
      <x:c r="P560" s="60" t="n">
        <x:v>0</x:v>
      </x:c>
      <x:c r="Q560" s="52" t="str"/>
    </x:row>
    <x:row r="561" ht="38" customHeight="1">
      <x:c r="A561" s="57" t="n">
        <x:v>46035</x:v>
      </x:c>
      <x:c r="B561" s="52" t="str">
        <x:v>lane-openai-api-changelog</x:v>
      </x:c>
      <x:c r="C561" s="52" t="str">
        <x:v>OpenAI API Changelog</x:v>
      </x:c>
      <x:c r="D561" s="52" t="str">
        <x:v>multimodal</x:v>
      </x:c>
      <x:c r="E561" s="52" t="str">
        <x:v>Realtime &amp; Audio API</x:v>
      </x:c>
      <x:c r="F561" s="52" t="str">
        <x:v>model_update</x:v>
      </x:c>
      <x:c r="G561" s="52" t="str">
        <x:v>active</x:v>
      </x:c>
      <x:c r="H561" s="63" t="str">
        <x:v>Updated the gpt-realtime-mini and gpt-audio-mini slugs to point to the 2025-12-15 snapshots.</x:v>
      </x:c>
      <x:c r="I561" s="63" t="str">
        <x:v>模型更新：Realtime &amp; Audio API</x:v>
      </x:c>
      <x:c r="J561" s="63" t="str">
        <x:v>Updated the gpt-realtime-mini and gpt-audio-mini slugs to point to the 2025-12-15 snapshots. If you need the previous model snapshots, use gpt-realtime-mini-2025-10-06 and gpt-audio-mini-2025-10-06 .</x:v>
      </x:c>
      <x:c r="K561" s="63" t="str">
        <x:v>更新：gpt-realtime-mini and gpt-audio-mini slugs to point to 2025-12-15 snapshots。OpenAI 將此列為 2026-01-13 的更新；重點涉及即時語音與音訊，模型、端點與參數名稱依官方英文保留。</x:v>
      </x:c>
      <x:c r="L561" s="52" t="str">
        <x:v>https://developers.openai.com/api/docs/changelog</x:v>
      </x:c>
      <x:c r="M561" s="52" t="str">
        <x:v>official_changelog</x:v>
      </x:c>
      <x:c r="N561" s="52" t="str">
        <x:v>complete</x:v>
      </x:c>
      <x:c r="O561" s="52" t="str">
        <x:v>high</x:v>
      </x:c>
      <x:c r="P561" s="60" t="n">
        <x:v>2</x:v>
      </x:c>
      <x:c r="Q561" s="52" t="str">
        <x:v>audio | realtime | update</x:v>
      </x:c>
    </x:row>
    <x:row r="562" ht="38" customHeight="1">
      <x:c r="A562" s="57" t="n">
        <x:v>46035</x:v>
      </x:c>
      <x:c r="B562" s="52" t="str">
        <x:v>api-changelog</x:v>
      </x:c>
      <x:c r="C562" s="52" t="str">
        <x:v>OpenAI API Changelog</x:v>
      </x:c>
      <x:c r="D562" s="52" t="str">
        <x:v>multimodal</x:v>
      </x:c>
      <x:c r="E562" s="52" t="str">
        <x:v>Sora</x:v>
      </x:c>
      <x:c r="F562" s="52" t="str">
        <x:v>model_update</x:v>
      </x:c>
      <x:c r="G562" s="52" t="str">
        <x:v>active</x:v>
      </x:c>
      <x:c r="H562" s="63" t="str">
        <x:v>Updated the sora-2 slug to point to sora-2-2025-12-08.</x:v>
      </x:c>
      <x:c r="I562" s="63" t="str">
        <x:v>模型更新：Sora</x:v>
      </x:c>
      <x:c r="J562" s="63" t="str">
        <x:v>Updated the sora-2 slug to point to sora-2-2025-12-08. If you need the previous model snapshot, use sora-2-2025-10-06.</x:v>
      </x:c>
      <x:c r="K562" s="63" t="str">
        <x:v>OpenAI 於 2026-01-13 為 Sora 更新模型或體驗；此節點依官方發布記錄整理，完整能力、適用方案與限制請見來源。</x:v>
      </x:c>
      <x:c r="L562" s="52" t="str">
        <x:v>https://platform.openai.com/docs/changelog</x:v>
      </x:c>
      <x:c r="M562" s="52" t="str">
        <x:v>developer_changelog</x:v>
      </x:c>
      <x:c r="N562" s="52" t="str">
        <x:v>parsed</x:v>
      </x:c>
      <x:c r="O562" s="52" t="str">
        <x:v>high</x:v>
      </x:c>
      <x:c r="P562" s="60" t="n">
        <x:v>0</x:v>
      </x:c>
      <x:c r="Q562" s="52" t="str"/>
    </x:row>
    <x:row r="563" ht="38" customHeight="1">
      <x:c r="A563" s="57" t="n">
        <x:v>46035</x:v>
      </x:c>
      <x:c r="B563" s="52" t="str">
        <x:v>lane-openai-api-changelog</x:v>
      </x:c>
      <x:c r="C563" s="52" t="str">
        <x:v>OpenAI API Changelog</x:v>
      </x:c>
      <x:c r="D563" s="52" t="str">
        <x:v>multimodal</x:v>
      </x:c>
      <x:c r="E563" s="52" t="str">
        <x:v>Videos API</x:v>
      </x:c>
      <x:c r="F563" s="52" t="str">
        <x:v>model_update</x:v>
      </x:c>
      <x:c r="G563" s="52" t="str">
        <x:v>active</x:v>
      </x:c>
      <x:c r="H563" s="63" t="str">
        <x:v>Updated the sora-2 slug to point to sora-2-2025-12-08.</x:v>
      </x:c>
      <x:c r="I563" s="63" t="str">
        <x:v>模型更新：Videos API</x:v>
      </x:c>
      <x:c r="J563" s="63" t="str">
        <x:v>Updated the sora-2 slug to point to sora-2-2025-12-08 . If you need the previous model snapshot, use sora-2-2025-10-06 .</x:v>
      </x:c>
      <x:c r="K563" s="63" t="str">
        <x:v>更新：sora-2 slug to point to sora-2-2025-12-08。OpenAI 將此列為 2026-01-13 的更新；重點涉及圖像與影片，模型、端點與參數名稱依官方英文保留。</x:v>
      </x:c>
      <x:c r="L563" s="52" t="str">
        <x:v>https://developers.openai.com/api/docs/changelog</x:v>
      </x:c>
      <x:c r="M563" s="52" t="str">
        <x:v>official_changelog</x:v>
      </x:c>
      <x:c r="N563" s="52" t="str">
        <x:v>complete</x:v>
      </x:c>
      <x:c r="O563" s="52" t="str">
        <x:v>high</x:v>
      </x:c>
      <x:c r="P563" s="60" t="n">
        <x:v>2</x:v>
      </x:c>
      <x:c r="Q563" s="52" t="str">
        <x:v>sora | update | video</x:v>
      </x:c>
    </x:row>
    <x:row r="564" ht="38" customHeight="1">
      <x:c r="A564" s="57" t="n">
        <x:v>46036</x:v>
      </x:c>
      <x:c r="B564" s="52" t="str">
        <x:v>codex-changelog</x:v>
      </x:c>
      <x:c r="C564" s="52" t="str">
        <x:v>Codex Changelog</x:v>
      </x:c>
      <x:c r="D564" s="52" t="str">
        <x:v>agents_research</x:v>
      </x:c>
      <x:c r="E564" s="52" t="str">
        <x:v>GPT-5.2</x:v>
      </x:c>
      <x:c r="F564" s="52" t="str">
        <x:v>availability</x:v>
      </x:c>
      <x:c r="G564" s="52" t="str">
        <x:v>active</x:v>
      </x:c>
      <x:c r="H564" s="63" t="str">
        <x:v>GPT-5.2-Codex API availability</x:v>
      </x:c>
      <x:c r="I564" s="63" t="str">
        <x:v>GPT-5.2-Codex API availability 更新</x:v>
      </x:c>
      <x:c r="J564" s="63" t="str">
        <x:v>GPT-5.2-Codex is now available in the API and for users who sign into Codex with the API. To learn more about using GPT-5.2-Codex check out our API documentation .</x:v>
      </x:c>
      <x:c r="K564" s="63" t="str">
        <x:v>OpenAI 於 2026-01-14 為 GPT-5.2 擴大開放範圍；此節點依官方發布記錄整理，完整能力、適用方案與限制請見來源。</x:v>
      </x:c>
      <x:c r="L564" s="52" t="str">
        <x:v>https://developers.openai.com/codex/changelog/</x:v>
      </x:c>
      <x:c r="M564" s="52" t="str">
        <x:v>developer_changelog</x:v>
      </x:c>
      <x:c r="N564" s="52" t="str">
        <x:v>complete</x:v>
      </x:c>
      <x:c r="O564" s="52" t="str">
        <x:v>high</x:v>
      </x:c>
      <x:c r="P564" s="60" t="n">
        <x:v>2</x:v>
      </x:c>
      <x:c r="Q564" s="52" t="str">
        <x:v>codex | release-notes</x:v>
      </x:c>
    </x:row>
    <x:row r="565" ht="38" customHeight="1">
      <x:c r="A565" s="57" t="n">
        <x:v>46036</x:v>
      </x:c>
      <x:c r="B565" s="52" t="str">
        <x:v>api-changelog</x:v>
      </x:c>
      <x:c r="C565" s="52" t="str">
        <x:v>OpenAI API Changelog</x:v>
      </x:c>
      <x:c r="D565" s="52" t="str">
        <x:v>agents_research</x:v>
      </x:c>
      <x:c r="E565" s="52" t="str">
        <x:v>GPT-5.2</x:v>
      </x:c>
      <x:c r="F565" s="52" t="str">
        <x:v>model_release</x:v>
      </x:c>
      <x:c r="G565" s="52" t="str">
        <x:v>active</x:v>
      </x:c>
      <x:c r="H565" s="63" t="str">
        <x:v>Released gpt-5.2-codex to the Responses API.</x:v>
      </x:c>
      <x:c r="I565" s="63" t="str">
        <x:v>模型發布：GPT-5.2</x:v>
      </x:c>
      <x:c r="J565" s="63" t="str">
        <x:v>Released gpt-5.2-codex to the Responses API. GPT-5.2-Codex is a version of GPT-5.2 optimized for agentic coding tasks in Codex or similar environments. Read more here.</x:v>
      </x:c>
      <x:c r="K565" s="63" t="str">
        <x:v>OpenAI 於 2026-01-14 為 GPT-5.2 發布模型；此節點依官方發布記錄整理，完整能力、適用方案與限制請見來源。</x:v>
      </x:c>
      <x:c r="L565" s="52" t="str">
        <x:v>https://platform.openai.com/docs/changelog</x:v>
      </x:c>
      <x:c r="M565" s="52" t="str">
        <x:v>developer_changelog</x:v>
      </x:c>
      <x:c r="N565" s="52" t="str">
        <x:v>parsed</x:v>
      </x:c>
      <x:c r="O565" s="52" t="str">
        <x:v>high</x:v>
      </x:c>
      <x:c r="P565" s="60" t="n">
        <x:v>0</x:v>
      </x:c>
      <x:c r="Q565" s="52" t="str"/>
    </x:row>
    <x:row r="566" ht="38" customHeight="1">
      <x:c r="A566" s="57" t="n">
        <x:v>46036</x:v>
      </x:c>
      <x:c r="B566" s="52" t="str">
        <x:v>lane-openai-api-changelog</x:v>
      </x:c>
      <x:c r="C566" s="52" t="str">
        <x:v>OpenAI API Changelog</x:v>
      </x:c>
      <x:c r="D566" s="52" t="str">
        <x:v>agents_research</x:v>
      </x:c>
      <x:c r="E566" s="52" t="str">
        <x:v>Codex</x:v>
      </x:c>
      <x:c r="F566" s="52" t="str">
        <x:v>model_release</x:v>
      </x:c>
      <x:c r="G566" s="52" t="str">
        <x:v>active</x:v>
      </x:c>
      <x:c r="H566" s="63" t="str">
        <x:v>Released gpt-5.2-codex to the Responses API.</x:v>
      </x:c>
      <x:c r="I566" s="63" t="str">
        <x:v>API 推出 GPT‑5.2</x:v>
      </x:c>
      <x:c r="J566" s="63" t="str">
        <x:v>Released gpt-5.2-codex to the Responses API. GPT-5.2-Codex is a version of GPT-5.2 optimized for agentic coding tasks in Codex or similar environments. Read more here .</x:v>
      </x:c>
      <x:c r="K566" s="63" t="str">
        <x:v>API 推出 GPT‑5.2。OpenAI 將此列為 2026-01-14 的功能；重點涉及Codex 編碼代理、代理與工具調用，模型、端點與參數名稱依官方英文保留。</x:v>
      </x:c>
      <x:c r="L566" s="52" t="str">
        <x:v>https://developers.openai.com/api/docs/changelog</x:v>
      </x:c>
      <x:c r="M566" s="52" t="str">
        <x:v>official_changelog</x:v>
      </x:c>
      <x:c r="N566" s="52" t="str">
        <x:v>complete</x:v>
      </x:c>
      <x:c r="O566" s="52" t="str">
        <x:v>high</x:v>
      </x:c>
      <x:c r="P566" s="60" t="n">
        <x:v>4</x:v>
      </x:c>
      <x:c r="Q566" s="52" t="str">
        <x:v>codex | coding-agent | feature</x:v>
      </x:c>
    </x:row>
    <x:row r="567" ht="38" customHeight="1">
      <x:c r="A567" s="57" t="n">
        <x:v>46037</x:v>
      </x:c>
      <x:c r="B567" s="52" t="str">
        <x:v>atlas-release-notes</x:v>
      </x:c>
      <x:c r="C567" s="52" t="str">
        <x:v>ChatGPT Atlas — Release Notes</x:v>
      </x:c>
      <x:c r="D567" s="52" t="str">
        <x:v>clients_surfaces</x:v>
      </x:c>
      <x:c r="E567" s="52" t="str">
        <x:v>ChatGPT</x:v>
      </x:c>
      <x:c r="F567" s="52" t="str">
        <x:v>feature</x:v>
      </x:c>
      <x:c r="G567" s="52" t="str">
        <x:v>active</x:v>
      </x:c>
      <x:c r="H567" s="63" t="str">
        <x:v>Address Bar, Find, and Typeahead</x:v>
      </x:c>
      <x:c r="I567" s="63" t="str">
        <x:v>功能更新：Address Bar, Find, and Typeahead</x:v>
      </x:c>
      <x:c r="J567" s="63" t="str">
        <x:v>Comma-separated numbers work for calculations in address bar (and support for decimal/comma locales) Handle multi-line paste in find panel</x:v>
      </x:c>
      <x:c r="K567" s="63" t="str">
        <x:v>OpenAI 於 2026-01-15 為 ChatGPT 新增功能；此節點依官方發布記錄整理，完整能力、適用方案與限制請見來源。</x:v>
      </x:c>
      <x:c r="L567" s="52" t="str">
        <x:v>https://help.openai.com/en/articles/12591856-chatgpt-atlas-release-notes</x:v>
      </x:c>
      <x:c r="M567" s="52" t="str">
        <x:v>help_center_release_notes</x:v>
      </x:c>
      <x:c r="N567" s="52" t="str">
        <x:v>parsed</x:v>
      </x:c>
      <x:c r="O567" s="52" t="str">
        <x:v>high</x:v>
      </x:c>
      <x:c r="P567" s="60" t="n">
        <x:v>0</x:v>
      </x:c>
      <x:c r="Q567" s="52" t="str"/>
    </x:row>
    <x:row r="568" ht="38" customHeight="1">
      <x:c r="A568" s="57" t="n">
        <x:v>46037</x:v>
      </x:c>
      <x:c r="B568" s="52" t="str">
        <x:v>api-changelog</x:v>
      </x:c>
      <x:c r="C568" s="52" t="str">
        <x:v>OpenAI API Changelog</x:v>
      </x:c>
      <x:c r="D568" s="52" t="str">
        <x:v>developer_platform</x:v>
      </x:c>
      <x:c r="E568" s="52" t="str">
        <x:v>Responses API</x:v>
      </x:c>
      <x:c r="F568" s="52" t="str">
        <x:v>platform</x:v>
      </x:c>
      <x:c r="G568" s="52" t="str">
        <x:v>active</x:v>
      </x:c>
      <x:c r="H568" s="63" t="str">
        <x:v>Announced Open Responses</x:v>
      </x:c>
      <x:c r="I568" s="63" t="str">
        <x:v>平台更新：Announced Open Responses</x:v>
      </x:c>
      <x:c r="J568" s="63" t="str">
        <x:v>Announced Open Responses: an open-source spec for building multi-provider, interoperable LLM interfaces built on top of the original OpenAI Responses API.</x:v>
      </x:c>
      <x:c r="K568" s="63" t="str">
        <x:v>OpenAI 於 2026-01-15 為 Responses API 更新開發者平台；此節點依官方發布記錄整理，完整能力、適用方案與限制請見來源。</x:v>
      </x:c>
      <x:c r="L568" s="52" t="str">
        <x:v>https://platform.openai.com/docs/changelog</x:v>
      </x:c>
      <x:c r="M568" s="52" t="str">
        <x:v>developer_changelog</x:v>
      </x:c>
      <x:c r="N568" s="52" t="str">
        <x:v>parsed</x:v>
      </x:c>
      <x:c r="O568" s="52" t="str">
        <x:v>high</x:v>
      </x:c>
      <x:c r="P568" s="60" t="n">
        <x:v>0</x:v>
      </x:c>
      <x:c r="Q568" s="52" t="str"/>
    </x:row>
    <x:row r="569" ht="38" customHeight="1">
      <x:c r="A569" s="57" t="n">
        <x:v>46037</x:v>
      </x:c>
      <x:c r="B569" s="52" t="str">
        <x:v>lane-openai-api-changelog</x:v>
      </x:c>
      <x:c r="C569" s="52" t="str">
        <x:v>OpenAI API Changelog</x:v>
      </x:c>
      <x:c r="D569" s="52" t="str">
        <x:v>agents_research</x:v>
      </x:c>
      <x:c r="E569" s="52" t="str">
        <x:v>Responses API</x:v>
      </x:c>
      <x:c r="F569" s="52" t="str">
        <x:v>platform</x:v>
      </x:c>
      <x:c r="G569" s="52" t="str">
        <x:v>active</x:v>
      </x:c>
      <x:c r="H569" s="63" t="str">
        <x:v>Announced Open Responses</x:v>
      </x:c>
      <x:c r="I569" s="63" t="str">
        <x:v>宣布 Open Responses 開源規格</x:v>
      </x:c>
      <x:c r="J569" s="63" t="str">
        <x:v>Announced Open Responses : an open-source spec for building multi-provider, interoperable LLM interfaces built on top of the original OpenAI Responses API.</x:v>
      </x:c>
      <x:c r="K569" s="63" t="str">
        <x:v>宣布 Open Responses 開源規格。OpenAI 將此列為 2026-01-15 的公告；重點涉及代理與工具調用，模型、端點與參數名稱依官方英文保留。</x:v>
      </x:c>
      <x:c r="L569" s="52" t="str">
        <x:v>https://developers.openai.com/api/docs/changelog</x:v>
      </x:c>
      <x:c r="M569" s="52" t="str">
        <x:v>official_changelog</x:v>
      </x:c>
      <x:c r="N569" s="52" t="str">
        <x:v>complete</x:v>
      </x:c>
      <x:c r="O569" s="52" t="str">
        <x:v>high</x:v>
      </x:c>
      <x:c r="P569" s="60" t="n">
        <x:v>3</x:v>
      </x:c>
      <x:c r="Q569" s="52" t="str">
        <x:v>agents | announcement | responses-api</x:v>
      </x:c>
    </x:row>
    <x:row r="570" ht="38" customHeight="1">
      <x:c r="A570" s="57" t="n">
        <x:v>46037</x:v>
      </x:c>
      <x:c r="B570" s="52" t="str">
        <x:v>atlas-release-notes</x:v>
      </x:c>
      <x:c r="C570" s="52" t="str">
        <x:v>ChatGPT Atlas — Release Notes</x:v>
      </x:c>
      <x:c r="D570" s="52" t="str">
        <x:v>clients_surfaces</x:v>
      </x:c>
      <x:c r="E570" s="52" t="str">
        <x:v>ChatGPT</x:v>
      </x:c>
      <x:c r="F570" s="52" t="str">
        <x:v>feature</x:v>
      </x:c>
      <x:c r="G570" s="52" t="str">
        <x:v>active</x:v>
      </x:c>
      <x:c r="H570" s="63" t="str">
        <x:v>Ask ChatGPT sidebar</x:v>
      </x:c>
      <x:c r="I570" s="63" t="str">
        <x:v>功能更新：Ask ChatGPT sidebar</x:v>
      </x:c>
      <x:c r="J570" s="63" t="str">
        <x:v>When sidebar is closed, users will see relevant suggestions on what to ask ChatGPT next</x:v>
      </x:c>
      <x:c r="K570" s="63" t="str">
        <x:v>OpenAI 於 2026-01-15 為 ChatGPT 新增功能；此節點依官方發布記錄整理，完整能力、適用方案與限制請見來源。</x:v>
      </x:c>
      <x:c r="L570" s="52" t="str">
        <x:v>https://help.openai.com/en/articles/12591856-chatgpt-atlas-release-notes</x:v>
      </x:c>
      <x:c r="M570" s="52" t="str">
        <x:v>help_center_release_notes</x:v>
      </x:c>
      <x:c r="N570" s="52" t="str">
        <x:v>parsed</x:v>
      </x:c>
      <x:c r="O570" s="52" t="str">
        <x:v>high</x:v>
      </x:c>
      <x:c r="P570" s="60" t="n">
        <x:v>0</x:v>
      </x:c>
      <x:c r="Q570" s="52" t="str"/>
    </x:row>
    <x:row r="571" ht="38" customHeight="1">
      <x:c r="A571" s="57" t="n">
        <x:v>46037</x:v>
      </x:c>
      <x:c r="B571" s="52" t="str">
        <x:v>atlas-release-notes</x:v>
      </x:c>
      <x:c r="C571" s="52" t="str">
        <x:v>ChatGPT Atlas — Release Notes</x:v>
      </x:c>
      <x:c r="D571" s="52" t="str">
        <x:v>clients_surfaces</x:v>
      </x:c>
      <x:c r="E571" s="52" t="str">
        <x:v>ChatGPT Atlas</x:v>
      </x:c>
      <x:c r="F571" s="52" t="str">
        <x:v>model_update</x:v>
      </x:c>
      <x:c r="G571" s="52" t="str">
        <x:v>active</x:v>
      </x:c>
      <x:c r="H571" s="63" t="str">
        <x:v>Atlas performance, profiles, tabs, imports and DevTools</x:v>
      </x:c>
      <x:c r="I571" s="63" t="str">
        <x:v>Atlas 效能、設定檔、分頁與 DevTools 改善</x:v>
      </x:c>
      <x:c r="J571" s="63" t="str">
        <x:v>Atlas reduced memory overuse and improved the Ask ChatGPT sidebar, profiles, tab search, address-bar behavior, imports, downloads and DevTools.</x:v>
      </x:c>
      <x:c r="K571" s="63" t="str">
        <x:v>Atlas 降低記憶體過度使用，並改善 Ask ChatGPT 側欄、設定檔、分頁搜尋、網址列、匯入、下載與 DevTools。</x:v>
      </x:c>
      <x:c r="L571" s="52" t="str">
        <x:v>https://help.openai.com/en/articles/12591856-chatgpt-atlas-release-notes</x:v>
      </x:c>
      <x:c r="M571" s="52" t="str">
        <x:v>help_center_release_notes</x:v>
      </x:c>
      <x:c r="N571" s="52" t="str">
        <x:v>parsed</x:v>
      </x:c>
      <x:c r="O571" s="52" t="str">
        <x:v>high</x:v>
      </x:c>
      <x:c r="P571" s="60" t="n">
        <x:v>2</x:v>
      </x:c>
      <x:c r="Q571" s="52" t="str">
        <x:v>atlas | performance</x:v>
      </x:c>
    </x:row>
    <x:row r="572" ht="38" customHeight="1">
      <x:c r="A572" s="57" t="n">
        <x:v>46037</x:v>
      </x:c>
      <x:c r="B572" s="52" t="str">
        <x:v>atlas-release-notes</x:v>
      </x:c>
      <x:c r="C572" s="52" t="str">
        <x:v>ChatGPT Atlas — Release Notes</x:v>
      </x:c>
      <x:c r="D572" s="52" t="str">
        <x:v>clients_surfaces</x:v>
      </x:c>
      <x:c r="E572" s="52" t="str">
        <x:v>ChatGPT</x:v>
      </x:c>
      <x:c r="F572" s="52" t="str">
        <x:v>feature</x:v>
      </x:c>
      <x:c r="G572" s="52" t="str">
        <x:v>active</x:v>
      </x:c>
      <x:c r="H572" s="63" t="str">
        <x:v>Import, Downloads &amp; History</x:v>
      </x:c>
      <x:c r="I572" s="63" t="str">
        <x:v>功能更新：Import, Downloads &amp; History</x:v>
      </x:c>
      <x:c r="J572" s="63" t="str">
        <x:v>Added "Site Data" import from Chrome (cookies and more) Added a sub-menu to "Import from another browser" menu</x:v>
      </x:c>
      <x:c r="K572" s="63" t="str">
        <x:v>OpenAI 於 2026-01-15 為 ChatGPT 新增功能；此節點依官方發布記錄整理，完整能力、適用方案與限制請見來源。</x:v>
      </x:c>
      <x:c r="L572" s="52" t="str">
        <x:v>https://help.openai.com/en/articles/12591856-chatgpt-atlas-release-notes</x:v>
      </x:c>
      <x:c r="M572" s="52" t="str">
        <x:v>help_center_release_notes</x:v>
      </x:c>
      <x:c r="N572" s="52" t="str">
        <x:v>parsed</x:v>
      </x:c>
      <x:c r="O572" s="52" t="str">
        <x:v>high</x:v>
      </x:c>
      <x:c r="P572" s="60" t="n">
        <x:v>0</x:v>
      </x:c>
      <x:c r="Q572" s="52" t="str"/>
    </x:row>
    <x:row r="573" ht="38" customHeight="1">
      <x:c r="A573" s="57" t="n">
        <x:v>46037</x:v>
      </x:c>
      <x:c r="B573" s="52" t="str">
        <x:v>chatgpt-release-notes</x:v>
      </x:c>
      <x:c r="C573" s="52" t="str">
        <x:v>ChatGPT — Release Notes</x:v>
      </x:c>
      <x:c r="D573" s="52" t="str">
        <x:v>memory_knowledge</x:v>
      </x:c>
      <x:c r="E573" s="52" t="str">
        <x:v>ChatGPT Memory</x:v>
      </x:c>
      <x:c r="F573" s="52" t="str">
        <x:v>feature</x:v>
      </x:c>
      <x:c r="G573" s="52" t="str">
        <x:v>active</x:v>
      </x:c>
      <x:c r="H573" s="63" t="str">
        <x:v>Improved memory for finding details from past chats (Plus &amp; Pro)</x:v>
      </x:c>
      <x:c r="I573" s="63" t="str">
        <x:v>改進對過去對話細節的查找記憶功能 (Plus 與 Pro)</x:v>
      </x:c>
      <x:c r="J573" s="63" t="str">
        <x:v>When reference chat history is enabled, ChatGPT can now more reliably find specific details from your past chats when you ask. Any past chat used to answer your question now appears as a source so you can open and review the original context. This memory improvement is now available for Plus and Pro users globally.</x:v>
      </x:c>
      <x:c r="K573" s="63" t="str">
        <x:v>當啟用參考對話記錄時，ChatGPT 現在能更可靠地在您詢問時找到過去對話中的具體細節。任何用於回答您問題的過去對話現在都會作為來源顯示，以便您開啟並查看原始上下文。這項記憶改進功能現已向全球 Plus 和 Pro 用戶開放。</x:v>
      </x:c>
      <x:c r="L573" s="52" t="str">
        <x:v>https://help.openai.com/en/articles/6825453-chatgpt-release-notes</x:v>
      </x:c>
      <x:c r="M573" s="52" t="str">
        <x:v>help_center_release_notes</x:v>
      </x:c>
      <x:c r="N573" s="52" t="str">
        <x:v>complete</x:v>
      </x:c>
      <x:c r="O573" s="52" t="str">
        <x:v>high</x:v>
      </x:c>
      <x:c r="P573" s="60" t="n">
        <x:v>3</x:v>
      </x:c>
      <x:c r="Q573" s="52" t="str">
        <x:v>2026 | feature | memory | memory-knowledge</x:v>
      </x:c>
    </x:row>
    <x:row r="574" ht="38" customHeight="1">
      <x:c r="A574" s="57" t="n">
        <x:v>46037</x:v>
      </x:c>
      <x:c r="B574" s="52" t="str">
        <x:v>atlas-release-notes</x:v>
      </x:c>
      <x:c r="C574" s="52" t="str">
        <x:v>ChatGPT Atlas — Release Notes</x:v>
      </x:c>
      <x:c r="D574" s="52" t="str">
        <x:v>clients_surfaces</x:v>
      </x:c>
      <x:c r="E574" s="52" t="str">
        <x:v>ChatGPT Memory</x:v>
      </x:c>
      <x:c r="F574" s="52" t="str">
        <x:v>model_update</x:v>
      </x:c>
      <x:c r="G574" s="52" t="str">
        <x:v>active</x:v>
      </x:c>
      <x:c r="H574" s="63" t="str">
        <x:v>Performance &amp; Stability</x:v>
      </x:c>
      <x:c r="I574" s="63" t="str">
        <x:v>模型更新：Performance &amp; Stability</x:v>
      </x:c>
      <x:c r="J574" s="63" t="str">
        <x:v>Fixed bug to prevent memory over-use</x:v>
      </x:c>
      <x:c r="K574" s="63" t="str">
        <x:v>OpenAI 於 2026-01-15 為 ChatGPT Memory 更新模型或體驗；此節點依官方發布記錄整理，完整能力、適用方案與限制請見來源。</x:v>
      </x:c>
      <x:c r="L574" s="52" t="str">
        <x:v>https://help.openai.com/en/articles/12591856-chatgpt-atlas-release-notes</x:v>
      </x:c>
      <x:c r="M574" s="52" t="str">
        <x:v>help_center_release_notes</x:v>
      </x:c>
      <x:c r="N574" s="52" t="str">
        <x:v>parsed</x:v>
      </x:c>
      <x:c r="O574" s="52" t="str">
        <x:v>high</x:v>
      </x:c>
      <x:c r="P574" s="60" t="n">
        <x:v>0</x:v>
      </x:c>
      <x:c r="Q574" s="52" t="str"/>
    </x:row>
    <x:row r="575" ht="38" customHeight="1">
      <x:c r="A575" s="57" t="n">
        <x:v>46037</x:v>
      </x:c>
      <x:c r="B575" s="52" t="str">
        <x:v>atlas-release-notes</x:v>
      </x:c>
      <x:c r="C575" s="52" t="str">
        <x:v>ChatGPT Atlas — Release Notes</x:v>
      </x:c>
      <x:c r="D575" s="52" t="str">
        <x:v>clients_surfaces</x:v>
      </x:c>
      <x:c r="E575" s="52" t="str">
        <x:v>ChatGPT</x:v>
      </x:c>
      <x:c r="F575" s="52" t="str">
        <x:v>model_update</x:v>
      </x:c>
      <x:c r="G575" s="52" t="str">
        <x:v>active</x:v>
      </x:c>
      <x:c r="H575" s="63" t="str">
        <x:v>Profiles &amp; Settings</x:v>
      </x:c>
      <x:c r="I575" s="63" t="str">
        <x:v>模型更新：Profiles &amp; Settings</x:v>
      </x:c>
      <x:c r="J575" s="63" t="str">
        <x:v>Improved Profile Management in Settings Fix a bug where the profile menu button looked blank when the image did not load</x:v>
      </x:c>
      <x:c r="K575" s="63" t="str">
        <x:v>OpenAI 於 2026-01-15 為 ChatGPT 更新模型或體驗；此節點依官方發布記錄整理，完整能力、適用方案與限制請見來源。</x:v>
      </x:c>
      <x:c r="L575" s="52" t="str">
        <x:v>https://help.openai.com/en/articles/12591856-chatgpt-atlas-release-notes</x:v>
      </x:c>
      <x:c r="M575" s="52" t="str">
        <x:v>help_center_release_notes</x:v>
      </x:c>
      <x:c r="N575" s="52" t="str">
        <x:v>parsed</x:v>
      </x:c>
      <x:c r="O575" s="52" t="str">
        <x:v>high</x:v>
      </x:c>
      <x:c r="P575" s="60" t="n">
        <x:v>0</x:v>
      </x:c>
      <x:c r="Q575" s="52" t="str"/>
    </x:row>
    <x:row r="576" ht="38" customHeight="1">
      <x:c r="A576" s="57" t="n">
        <x:v>46037</x:v>
      </x:c>
      <x:c r="B576" s="52" t="str">
        <x:v>apps-sdk-changelog</x:v>
      </x:c>
      <x:c r="C576" s="52" t="str">
        <x:v>Apps SDK Changelog</x:v>
      </x:c>
      <x:c r="D576" s="52" t="str">
        <x:v>developer_platform</x:v>
      </x:c>
      <x:c r="E576" s="52" t="str">
        <x:v>Apps SDK</x:v>
      </x:c>
      <x:c r="F576" s="52" t="str">
        <x:v>model_update</x:v>
      </x:c>
      <x:c r="G576" s="52" t="str">
        <x:v>active</x:v>
      </x:c>
      <x:c r="H576" s="63" t="str">
        <x:v>Session metadata for tool calls &amp; requestModal template switching</x:v>
      </x:c>
      <x:c r="I576" s="63" t="str">
        <x:v>Session metadata for tool calls &amp; requestModal template switching 更新</x:v>
      </x:c>
      <x:c r="J576" s="63" t="str">
        <x:v>Fixes &amp; improvements Tool calls now include meta["openai/session"] , an anonymized conversation id you can use to correlate requests within a ChatGPT session. window.openai.requestModal({ template }) now supports opening a different registered UI template by passing the template URI from registerResource .</x:v>
      </x:c>
      <x:c r="K576" s="63" t="str">
        <x:v>Apps SDK Changelog 在 2026-01-15 記錄了代理與工具調用、可靠性與效能修正相關更新；完整版本與修正內容見官方英文摘要。</x:v>
      </x:c>
      <x:c r="L576" s="52" t="str">
        <x:v>https://developers.openai.com/apps-sdk/changelog/</x:v>
      </x:c>
      <x:c r="M576" s="52" t="str">
        <x:v>developer_changelog</x:v>
      </x:c>
      <x:c r="N576" s="52" t="str">
        <x:v>complete</x:v>
      </x:c>
      <x:c r="O576" s="52" t="str">
        <x:v>high</x:v>
      </x:c>
      <x:c r="P576" s="60" t="n">
        <x:v>2</x:v>
      </x:c>
      <x:c r="Q576" s="52" t="str">
        <x:v>apps-sdk | chatgpt-apps | mcp</x:v>
      </x:c>
    </x:row>
    <x:row r="577" ht="38" customHeight="1">
      <x:c r="A577" s="57" t="n">
        <x:v>46037</x:v>
      </x:c>
      <x:c r="B577" s="52" t="str">
        <x:v>atlas-release-notes</x:v>
      </x:c>
      <x:c r="C577" s="52" t="str">
        <x:v>ChatGPT Atlas — Release Notes</x:v>
      </x:c>
      <x:c r="D577" s="52" t="str">
        <x:v>clients_surfaces</x:v>
      </x:c>
      <x:c r="E577" s="52" t="str">
        <x:v>ChatGPT</x:v>
      </x:c>
      <x:c r="F577" s="52" t="str">
        <x:v>model_update</x:v>
      </x:c>
      <x:c r="G577" s="52" t="str">
        <x:v>active</x:v>
      </x:c>
      <x:c r="H577" s="63" t="str">
        <x:v>Shortcuts &amp; window interaction</x:v>
      </x:c>
      <x:c r="I577" s="63" t="str">
        <x:v>模型更新：Shortcuts &amp; window interaction</x:v>
      </x:c>
      <x:c r="J577" s="63" t="str">
        <x:v>Show page zoom level banner after page zoom adjustment; clickable UI to adjust Fix possible crash when moving tabs to a new window</x:v>
      </x:c>
      <x:c r="K577" s="63" t="str">
        <x:v>OpenAI 於 2026-01-15 為 ChatGPT 更新模型或體驗；此節點依官方發布記錄整理，完整能力、適用方案與限制請見來源。</x:v>
      </x:c>
      <x:c r="L577" s="52" t="str">
        <x:v>https://help.openai.com/en/articles/12591856-chatgpt-atlas-release-notes</x:v>
      </x:c>
      <x:c r="M577" s="52" t="str">
        <x:v>help_center_release_notes</x:v>
      </x:c>
      <x:c r="N577" s="52" t="str">
        <x:v>parsed</x:v>
      </x:c>
      <x:c r="O577" s="52" t="str">
        <x:v>high</x:v>
      </x:c>
      <x:c r="P577" s="60" t="n">
        <x:v>0</x:v>
      </x:c>
      <x:c r="Q577" s="52" t="str"/>
    </x:row>
    <x:row r="578" ht="38" customHeight="1">
      <x:c r="A578" s="57" t="n">
        <x:v>46037</x:v>
      </x:c>
      <x:c r="B578" s="52" t="str">
        <x:v>atlas-release-notes</x:v>
      </x:c>
      <x:c r="C578" s="52" t="str">
        <x:v>ChatGPT Atlas — Release Notes</x:v>
      </x:c>
      <x:c r="D578" s="52" t="str">
        <x:v>clients_surfaces</x:v>
      </x:c>
      <x:c r="E578" s="52" t="str">
        <x:v>ChatGPT Search</x:v>
      </x:c>
      <x:c r="F578" s="52" t="str">
        <x:v>feature</x:v>
      </x:c>
      <x:c r="G578" s="52" t="str">
        <x:v>active</x:v>
      </x:c>
      <x:c r="H578" s="63" t="str">
        <x:v>Tabs</x:v>
      </x:c>
      <x:c r="I578" s="63" t="str">
        <x:v>功能更新：Tabs</x:v>
      </x:c>
      <x:c r="J578" s="63" t="str">
        <x:v>Show five most recent tabs when Tab Search is empty Command+K as alternate shortcut for tab search</x:v>
      </x:c>
      <x:c r="K578" s="63" t="str">
        <x:v>OpenAI 於 2026-01-15 為 ChatGPT Search 新增功能；此節點依官方發布記錄整理，完整能力、適用方案與限制請見來源。</x:v>
      </x:c>
      <x:c r="L578" s="52" t="str">
        <x:v>https://help.openai.com/en/articles/12591856-chatgpt-atlas-release-notes</x:v>
      </x:c>
      <x:c r="M578" s="52" t="str">
        <x:v>help_center_release_notes</x:v>
      </x:c>
      <x:c r="N578" s="52" t="str">
        <x:v>parsed</x:v>
      </x:c>
      <x:c r="O578" s="52" t="str">
        <x:v>high</x:v>
      </x:c>
      <x:c r="P578" s="60" t="n">
        <x:v>0</x:v>
      </x:c>
      <x:c r="Q578" s="52" t="str"/>
    </x:row>
    <x:row r="579" ht="38" customHeight="1">
      <x:c r="A579" s="57" t="n">
        <x:v>46042</x:v>
      </x:c>
      <x:c r="B579" s="52" t="str">
        <x:v>chatgpt-release-notes</x:v>
      </x:c>
      <x:c r="C579" s="52" t="str">
        <x:v>ChatGPT — Release Notes</x:v>
      </x:c>
      <x:c r="D579" s="52" t="str">
        <x:v>safety_lifecycle</x:v>
      </x:c>
      <x:c r="E579" s="52" t="str">
        <x:v>ChatGPT</x:v>
      </x:c>
      <x:c r="F579" s="52" t="str">
        <x:v>safety</x:v>
      </x:c>
      <x:c r="G579" s="52" t="str">
        <x:v>active</x:v>
      </x:c>
      <x:c r="H579" s="63" t="str">
        <x:v>Rolling out age prediction</x:v>
      </x:c>
      <x:c r="I579" s="63" t="str">
        <x:v>推出年齡預測功能</x:v>
      </x:c>
      <x:c r="J579" s="63" t="str">
        <x:v>We're rolling out an age prediction model on ChatGPT consumer plans to help determine whether an account likely belongs to someone under 18, so we can apply the right experience and safeguards for teens. The model looks at a combination of behavioral and account-level signals, including how long an account has existed, typical times of day when someone is active, usage patterns over time, and a user’s stated age.…</x:v>
      </x:c>
      <x:c r="K579" s="63" t="str">
        <x:v>我們正在 ChatGPT 消費者方案中推出年齡預測模型，以協助判斷帳號是否屬於 18 歲以下的使用者，進而為青少年應用合適的體驗與保護措施。</x:v>
      </x:c>
      <x:c r="L579" s="52" t="str">
        <x:v>https://help.openai.com/en/articles/6825453-chatgpt-release-notes</x:v>
      </x:c>
      <x:c r="M579" s="52" t="str">
        <x:v>help_center_release_notes</x:v>
      </x:c>
      <x:c r="N579" s="52" t="str">
        <x:v>complete</x:v>
      </x:c>
      <x:c r="O579" s="52" t="str">
        <x:v>high</x:v>
      </x:c>
      <x:c r="P579" s="60" t="n">
        <x:v>3</x:v>
      </x:c>
      <x:c r="Q579" s="52" t="str">
        <x:v>2026 | chatgpt | safety | safety-lifecycle</x:v>
      </x:c>
    </x:row>
    <x:row r="580" ht="38" customHeight="1">
      <x:c r="A580" s="57" t="n">
        <x:v>46042</x:v>
      </x:c>
      <x:c r="B580" s="52" t="str">
        <x:v>chatgpt-release-notes</x:v>
      </x:c>
      <x:c r="C580" s="52" t="str">
        <x:v>ChatGPT — Release Notes</x:v>
      </x:c>
      <x:c r="D580" s="52" t="str">
        <x:v>multimodal</x:v>
      </x:c>
      <x:c r="E580" s="52" t="str">
        <x:v>ChatGPT Voice</x:v>
      </x:c>
      <x:c r="F580" s="52" t="str">
        <x:v>feature</x:v>
      </x:c>
      <x:c r="G580" s="52" t="str">
        <x:v>active</x:v>
      </x:c>
      <x:c r="H580" s="63" t="str">
        <x:v>Voice Updates</x:v>
      </x:c>
      <x:c r="I580" s="63" t="str">
        <x:v>語音功能更新</x:v>
      </x:c>
      <x:c r="J580" s="63" t="str">
        <x:v>We’re making an update to ChatGPT Voice for paid users that improves its ability to follow user instructions, as well as fixes a bug where Voice can sometimes repeat back custom instructions.</x:v>
      </x:c>
      <x:c r="K580" s="63" t="str">
        <x:v>OpenAI 於 2026-01-20 為 ChatGPT Voice 更新模型或體驗；此節點依官方發布記錄整理，完整能力、適用方案與限制請見來源。</x:v>
      </x:c>
      <x:c r="L580" s="52" t="str">
        <x:v>https://help.openai.com/en/articles/6825453-chatgpt-release-notes</x:v>
      </x:c>
      <x:c r="M580" s="52" t="str">
        <x:v>help_center_release_notes</x:v>
      </x:c>
      <x:c r="N580" s="52" t="str">
        <x:v>complete</x:v>
      </x:c>
      <x:c r="O580" s="52" t="str">
        <x:v>high</x:v>
      </x:c>
      <x:c r="P580" s="60" t="n">
        <x:v>3</x:v>
      </x:c>
      <x:c r="Q580" s="52" t="str">
        <x:v>2026 | chatgpt-voice | feature | multimodal</x:v>
      </x:c>
    </x:row>
    <x:row r="581" ht="38" customHeight="1">
      <x:c r="A581" s="57" t="n">
        <x:v>46043</x:v>
      </x:c>
      <x:c r="B581" s="52" t="str">
        <x:v>atlas-release-notes</x:v>
      </x:c>
      <x:c r="C581" s="52" t="str">
        <x:v>ChatGPT Atlas — Release Notes</x:v>
      </x:c>
      <x:c r="D581" s="52" t="str">
        <x:v>clients_surfaces</x:v>
      </x:c>
      <x:c r="E581" s="52" t="str">
        <x:v>ChatGPT Atlas</x:v>
      </x:c>
      <x:c r="F581" s="52" t="str">
        <x:v>feature</x:v>
      </x:c>
      <x:c r="G581" s="52" t="str">
        <x:v>active</x:v>
      </x:c>
      <x:c r="H581" s="63" t="str">
        <x:v>Atlas tab groups and Auto search</x:v>
      </x:c>
      <x:c r="I581" s="63" t="str">
        <x:v>Atlas 分頁群組與 Auto 搜尋</x:v>
      </x:c>
      <x:c r="J581" s="63" t="str">
        <x:v>Atlas added tab groups and an Auto search mode that switches between ChatGPT and Google, plus improved search links and Safari import onboarding.</x:v>
      </x:c>
      <x:c r="K581" s="63" t="str">
        <x:v>Atlas 新增分頁群組與在 ChatGPT/Google 間切換的 Auto 搜尋，並改善搜尋連結與 Safari 匯入流程。</x:v>
      </x:c>
      <x:c r="L581" s="52" t="str">
        <x:v>https://help.openai.com/en/articles/12591856-chatgpt-atlas-release-notes</x:v>
      </x:c>
      <x:c r="M581" s="52" t="str">
        <x:v>help_center_release_notes</x:v>
      </x:c>
      <x:c r="N581" s="52" t="str">
        <x:v>parsed</x:v>
      </x:c>
      <x:c r="O581" s="52" t="str">
        <x:v>high</x:v>
      </x:c>
      <x:c r="P581" s="60" t="n">
        <x:v>3</x:v>
      </x:c>
      <x:c r="Q581" s="52" t="str">
        <x:v>atlas | search | tabs</x:v>
      </x:c>
    </x:row>
    <x:row r="582" ht="38" customHeight="1">
      <x:c r="A582" s="57" t="n">
        <x:v>46043</x:v>
      </x:c>
      <x:c r="B582" s="52" t="str">
        <x:v>apps-sdk-changelog</x:v>
      </x:c>
      <x:c r="C582" s="52" t="str">
        <x:v>Apps SDK Changelog</x:v>
      </x:c>
      <x:c r="D582" s="52" t="str">
        <x:v>developer_platform</x:v>
      </x:c>
      <x:c r="E582" s="52" t="str">
        <x:v>ChatGPT Search</x:v>
      </x:c>
      <x:c r="F582" s="52" t="str">
        <x:v>model_update</x:v>
      </x:c>
      <x:c r="G582" s="52" t="str">
        <x:v>active</x:v>
      </x:c>
      <x:c r="H582" s="63" t="str">
        <x:v>Company knowledge compatibility guidance</x:v>
      </x:c>
      <x:c r="I582" s="63" t="str">
        <x:v>Company knowledge compatibility guidance 更新</x:v>
      </x:c>
      <x:c r="J582" s="63" t="str">
        <x:v>Fixes &amp; improvements Added company knowledge in ChatGPT compatibility guidance for the search / fetch tools. Click here to learn more .</x:v>
      </x:c>
      <x:c r="K582" s="63" t="str">
        <x:v>OpenAI 於 2026-01-21 為 ChatGPT Search 更新模型或體驗；此節點依官方發布記錄整理，完整能力、適用方案與限制請見來源。</x:v>
      </x:c>
      <x:c r="L582" s="52" t="str">
        <x:v>https://developers.openai.com/apps-sdk/changelog/</x:v>
      </x:c>
      <x:c r="M582" s="52" t="str">
        <x:v>developer_changelog</x:v>
      </x:c>
      <x:c r="N582" s="52" t="str">
        <x:v>complete</x:v>
      </x:c>
      <x:c r="O582" s="52" t="str">
        <x:v>high</x:v>
      </x:c>
      <x:c r="P582" s="60" t="n">
        <x:v>2</x:v>
      </x:c>
      <x:c r="Q582" s="52" t="str">
        <x:v>apps-sdk | chatgpt-apps | mcp</x:v>
      </x:c>
    </x:row>
    <x:row r="583" ht="38" customHeight="1">
      <x:c r="A583" s="57" t="n">
        <x:v>46043</x:v>
      </x:c>
      <x:c r="B583" s="52" t="str">
        <x:v>atlas-release-notes</x:v>
      </x:c>
      <x:c r="C583" s="52" t="str">
        <x:v>ChatGPT Atlas — Release Notes</x:v>
      </x:c>
      <x:c r="D583" s="52" t="str">
        <x:v>clients_surfaces</x:v>
      </x:c>
      <x:c r="E583" s="52" t="str">
        <x:v>ChatGPT</x:v>
      </x:c>
      <x:c r="F583" s="52" t="str">
        <x:v>model_update</x:v>
      </x:c>
      <x:c r="G583" s="52" t="str">
        <x:v>active</x:v>
      </x:c>
      <x:c r="H583" s="63" t="str">
        <x:v>Import</x:v>
      </x:c>
      <x:c r="I583" s="63" t="str">
        <x:v>模型更新：Import</x:v>
      </x:c>
      <x:c r="J583" s="63" t="str">
        <x:v>Onboarding now prompts Safari importers to install iCloud passwords extension and other improvements on iCloud extension, along with copy changes</x:v>
      </x:c>
      <x:c r="K583" s="63" t="str">
        <x:v>OpenAI 於 2026-01-21 為 ChatGPT 更新模型或體驗；此節點依官方發布記錄整理，完整能力、適用方案與限制請見來源。</x:v>
      </x:c>
      <x:c r="L583" s="52" t="str">
        <x:v>https://help.openai.com/en/articles/12591856-chatgpt-atlas-release-notes</x:v>
      </x:c>
      <x:c r="M583" s="52" t="str">
        <x:v>help_center_release_notes</x:v>
      </x:c>
      <x:c r="N583" s="52" t="str">
        <x:v>parsed</x:v>
      </x:c>
      <x:c r="O583" s="52" t="str">
        <x:v>high</x:v>
      </x:c>
      <x:c r="P583" s="60" t="n">
        <x:v>0</x:v>
      </x:c>
      <x:c r="Q583" s="52" t="str"/>
    </x:row>
    <x:row r="584" ht="38" customHeight="1">
      <x:c r="A584" s="57" t="n">
        <x:v>46043</x:v>
      </x:c>
      <x:c r="B584" s="52" t="str">
        <x:v>atlas-release-notes</x:v>
      </x:c>
      <x:c r="C584" s="52" t="str">
        <x:v>ChatGPT Atlas — Release Notes</x:v>
      </x:c>
      <x:c r="D584" s="52" t="str">
        <x:v>clients_surfaces</x:v>
      </x:c>
      <x:c r="E584" s="52" t="str">
        <x:v>ChatGPT Search</x:v>
      </x:c>
      <x:c r="F584" s="52" t="str">
        <x:v>model_update</x:v>
      </x:c>
      <x:c r="G584" s="52" t="str">
        <x:v>active</x:v>
      </x:c>
      <x:c r="H584" s="63" t="str">
        <x:v>Search</x:v>
      </x:c>
      <x:c r="I584" s="63" t="str">
        <x:v>模型更新：Search</x:v>
      </x:c>
      <x:c r="J584" s="63" t="str">
        <x:v>"Auto" mode to auto switch between ChatGPT and Google depending on the user query Updated "search result links" UI that more prominently shows search links in answers in a vertical layout</x:v>
      </x:c>
      <x:c r="K584" s="63" t="str">
        <x:v>OpenAI 於 2026-01-21 為 ChatGPT Search 更新模型或體驗；此節點依官方發布記錄整理，完整能力、適用方案與限制請見來源。</x:v>
      </x:c>
      <x:c r="L584" s="52" t="str">
        <x:v>https://help.openai.com/en/articles/12591856-chatgpt-atlas-release-notes</x:v>
      </x:c>
      <x:c r="M584" s="52" t="str">
        <x:v>help_center_release_notes</x:v>
      </x:c>
      <x:c r="N584" s="52" t="str">
        <x:v>parsed</x:v>
      </x:c>
      <x:c r="O584" s="52" t="str">
        <x:v>high</x:v>
      </x:c>
      <x:c r="P584" s="60" t="n">
        <x:v>0</x:v>
      </x:c>
      <x:c r="Q584" s="52" t="str"/>
    </x:row>
    <x:row r="585" ht="38" customHeight="1">
      <x:c r="A585" s="57" t="n">
        <x:v>46043</x:v>
      </x:c>
      <x:c r="B585" s="52" t="str">
        <x:v>atlas-release-notes</x:v>
      </x:c>
      <x:c r="C585" s="52" t="str">
        <x:v>ChatGPT Atlas — Release Notes</x:v>
      </x:c>
      <x:c r="D585" s="52" t="str">
        <x:v>clients_surfaces</x:v>
      </x:c>
      <x:c r="E585" s="52" t="str">
        <x:v>ChatGPT</x:v>
      </x:c>
      <x:c r="F585" s="52" t="str">
        <x:v>availability</x:v>
      </x:c>
      <x:c r="G585" s="52" t="str">
        <x:v>active</x:v>
      </x:c>
      <x:c r="H585" s="63" t="str">
        <x:v>Tabs</x:v>
      </x:c>
      <x:c r="I585" s="63" t="str">
        <x:v>開放使用：Tabs</x:v>
      </x:c>
      <x:c r="J585" s="63" t="str">
        <x:v>Tab Groups are now available Fixes for Vertical tab "Mini mode" (when the tab sidebar is very narrow)</x:v>
      </x:c>
      <x:c r="K585" s="63" t="str">
        <x:v>OpenAI 於 2026-01-21 為 ChatGPT 擴大開放範圍；此節點依官方發布記錄整理，完整能力、適用方案與限制請見來源。</x:v>
      </x:c>
      <x:c r="L585" s="52" t="str">
        <x:v>https://help.openai.com/en/articles/12591856-chatgpt-atlas-release-notes</x:v>
      </x:c>
      <x:c r="M585" s="52" t="str">
        <x:v>help_center_release_notes</x:v>
      </x:c>
      <x:c r="N585" s="52" t="str">
        <x:v>parsed</x:v>
      </x:c>
      <x:c r="O585" s="52" t="str">
        <x:v>high</x:v>
      </x:c>
      <x:c r="P585" s="60" t="n">
        <x:v>0</x:v>
      </x:c>
      <x:c r="Q585" s="52" t="str"/>
    </x:row>
    <x:row r="586" ht="38" customHeight="1">
      <x:c r="A586" s="57" t="n">
        <x:v>46044</x:v>
      </x:c>
      <x:c r="B586" s="52" t="str">
        <x:v>chatgpt-release-notes</x:v>
      </x:c>
      <x:c r="C586" s="52" t="str">
        <x:v>ChatGPT — Release Notes</x:v>
      </x:c>
      <x:c r="D586" s="52" t="str">
        <x:v>models_reasoning</x:v>
      </x:c>
      <x:c r="E586" s="52" t="str">
        <x:v>GPT-5.2</x:v>
      </x:c>
      <x:c r="F586" s="52" t="str">
        <x:v>model_update</x:v>
      </x:c>
      <x:c r="G586" s="52" t="str">
        <x:v>active</x:v>
      </x:c>
      <x:c r="H586" s="63" t="str">
        <x:v>5.2 Personality System Prompt Update</x:v>
      </x:c>
      <x:c r="I586" s="63" t="str">
        <x:v>5.2 個性系統提示詞更新</x:v>
      </x:c>
      <x:c r="J586" s="63" t="str">
        <x:v>We’re updating GPT-5.2 Instant’s default personality to be more conversational and better at adapting its tone contextually, making exchanges feel smoother and more natural. You can still select a different base style and tone for ChatGPT, along with tuning characteristics like warmth and emoji use, within the Personalization menu in settings.</x:v>
      </x:c>
      <x:c r="K586" s="63" t="str">
        <x:v>我們正在更新 GPT-5.2 Instant 的預設個性，使其更具對話感，並能更好地根據上下文調整語氣，讓交流感覺更流暢、更自然。您仍可在設定的個人化選單中為 ChatGPT 選擇不同的基礎風格和語氣，並調整溫暖度與表情符號使用等特性。</x:v>
      </x:c>
      <x:c r="L586" s="52" t="str">
        <x:v>https://help.openai.com/en/articles/6825453-chatgpt-release-notes</x:v>
      </x:c>
      <x:c r="M586" s="52" t="str">
        <x:v>help_center_release_notes</x:v>
      </x:c>
      <x:c r="N586" s="52" t="str">
        <x:v>complete</x:v>
      </x:c>
      <x:c r="O586" s="52" t="str">
        <x:v>high</x:v>
      </x:c>
      <x:c r="P586" s="60" t="n">
        <x:v>3</x:v>
      </x:c>
      <x:c r="Q586" s="52" t="str">
        <x:v>2026 | gpt-5.2 | model_update | models-reasoning</x:v>
      </x:c>
    </x:row>
    <x:row r="587" ht="38" customHeight="1">
      <x:c r="A587" s="57" t="n">
        <x:v>46044</x:v>
      </x:c>
      <x:c r="B587" s="52" t="str">
        <x:v>model-release-notes</x:v>
      </x:c>
      <x:c r="C587" s="52" t="str">
        <x:v>Model Release Notes</x:v>
      </x:c>
      <x:c r="D587" s="52" t="str">
        <x:v>models_reasoning</x:v>
      </x:c>
      <x:c r="E587" s="52" t="str">
        <x:v>GPT-5.2</x:v>
      </x:c>
      <x:c r="F587" s="52" t="str">
        <x:v>model_update</x:v>
      </x:c>
      <x:c r="G587" s="52" t="str">
        <x:v>active</x:v>
      </x:c>
      <x:c r="H587" s="63" t="str">
        <x:v>5.2 Personality System Prompt Update</x:v>
      </x:c>
      <x:c r="I587" s="63" t="str">
        <x:v>模型更新：5.2 Personality System Prompt Update</x:v>
      </x:c>
      <x:c r="J587" s="63" t="str">
        <x:v>We’re updating GPT-5.2 Instant’s default personality to be more conversational and better at adapting its tone contextually, making exchanges feel smoother and more natural. You can still select a different base style and tone for ChatGPT, along with tuning characteristics like warmth and emoji use, within the Personalization menu in settings.</x:v>
      </x:c>
      <x:c r="K587" s="63" t="str">
        <x:v>OpenAI 於 2026-01-22 為 GPT-5.2 更新模型或體驗；此節點依官方發布記錄整理，完整能力、適用方案與限制請見來源。</x:v>
      </x:c>
      <x:c r="L587" s="52" t="str">
        <x:v>https://help.openai.com/en/articles/9624314-model-release-notes</x:v>
      </x:c>
      <x:c r="M587" s="52" t="str">
        <x:v>help_center_release_notes</x:v>
      </x:c>
      <x:c r="N587" s="52" t="str">
        <x:v>parsed</x:v>
      </x:c>
      <x:c r="O587" s="52" t="str">
        <x:v>high</x:v>
      </x:c>
      <x:c r="P587" s="60" t="n">
        <x:v>0</x:v>
      </x:c>
      <x:c r="Q587" s="52" t="str"/>
    </x:row>
    <x:row r="588" ht="38" customHeight="1">
      <x:c r="A588" s="57" t="n">
        <x:v>46044</x:v>
      </x:c>
      <x:c r="B588" s="52" t="str">
        <x:v>codex-changelog</x:v>
      </x:c>
      <x:c r="C588" s="52" t="str">
        <x:v>Codex Changelog</x:v>
      </x:c>
      <x:c r="D588" s="52" t="str">
        <x:v>agents_research</x:v>
      </x:c>
      <x:c r="E588" s="52" t="str">
        <x:v>ChatGPT</x:v>
      </x:c>
      <x:c r="F588" s="52" t="str">
        <x:v>deprecation</x:v>
      </x:c>
      <x:c r="G588" s="52" t="str">
        <x:v>deprecated</x:v>
      </x:c>
      <x:c r="H588" s="63" t="str">
        <x:v>Custom prompts deprecated</x:v>
      </x:c>
      <x:c r="I588" s="63" t="str">
        <x:v>Custom prompts 已棄用</x:v>
      </x:c>
      <x:c r="J588" s="63" t="str">
        <x:v>Custom prompts are now deprecated. Use skills for reusable instructions and workflows instead.</x:v>
      </x:c>
      <x:c r="K588" s="63" t="str">
        <x:v>OpenAI 於 2026-01-22 為 ChatGPT 公布淘汰計畫；此節點依官方發布記錄整理，完整能力、適用方案與限制請見來源。</x:v>
      </x:c>
      <x:c r="L588" s="52" t="str">
        <x:v>https://developers.openai.com/codex/changelog/</x:v>
      </x:c>
      <x:c r="M588" s="52" t="str">
        <x:v>developer_changelog</x:v>
      </x:c>
      <x:c r="N588" s="52" t="str">
        <x:v>complete</x:v>
      </x:c>
      <x:c r="O588" s="52" t="str">
        <x:v>high</x:v>
      </x:c>
      <x:c r="P588" s="60" t="n">
        <x:v>4</x:v>
      </x:c>
      <x:c r="Q588" s="52" t="str">
        <x:v>codex | release-notes</x:v>
      </x:c>
    </x:row>
    <x:row r="589" ht="38" customHeight="1">
      <x:c r="A589" s="57" t="n">
        <x:v>46045</x:v>
      </x:c>
      <x:c r="B589" s="52" t="str">
        <x:v>codex-changelog</x:v>
      </x:c>
      <x:c r="C589" s="52" t="str">
        <x:v>Codex Changelog</x:v>
      </x:c>
      <x:c r="D589" s="52" t="str">
        <x:v>agents_research</x:v>
      </x:c>
      <x:c r="E589" s="52" t="str">
        <x:v>Codex</x:v>
      </x:c>
      <x:c r="F589" s="52" t="str">
        <x:v>feature</x:v>
      </x:c>
      <x:c r="G589" s="52" t="str">
        <x:v>active</x:v>
      </x:c>
      <x:c r="H589" s="63" t="str">
        <x:v>Team Config for shared configuration</x:v>
      </x:c>
      <x:c r="I589" s="63" t="str">
        <x:v>Team Config for shared configuration 更新</x:v>
      </x:c>
      <x:c r="J589" s="63" t="str">
        <x:v>Team Config groups the files teams use to standardize Codex across repositories and machines. Use it to share: config.toml defaults rules/ for command controls outside the sandbox skills/ for reusable workflows Codex loads these layers from .codex/ folders in the current working directory, parent folders, and the repo root, plus user ( ~/.codex/ ) and system ( /etc/codex/ ) locations. Higher-precedence locations override lower-preced…</x:v>
      </x:c>
      <x:c r="K589" s="63" t="str">
        <x:v>Codex Changelog 在 2026-01-23 記錄了Codex 編碼代理、企業管理控制相關更新；完整版本與修正內容見官方英文摘要。</x:v>
      </x:c>
      <x:c r="L589" s="52" t="str">
        <x:v>https://developers.openai.com/codex/changelog/</x:v>
      </x:c>
      <x:c r="M589" s="52" t="str">
        <x:v>developer_changelog</x:v>
      </x:c>
      <x:c r="N589" s="52" t="str">
        <x:v>complete</x:v>
      </x:c>
      <x:c r="O589" s="52" t="str">
        <x:v>high</x:v>
      </x:c>
      <x:c r="P589" s="60" t="n">
        <x:v>3</x:v>
      </x:c>
      <x:c r="Q589" s="52" t="str">
        <x:v>codex | release-notes</x:v>
      </x:c>
    </x:row>
    <x:row r="590" ht="38" customHeight="1">
      <x:c r="A590" s="57" t="n">
        <x:v>46048</x:v>
      </x:c>
      <x:c r="B590" s="52" t="str">
        <x:v>chatgpt-release-notes</x:v>
      </x:c>
      <x:c r="C590" s="52" t="str">
        <x:v>ChatGPT — Release Notes</x:v>
      </x:c>
      <x:c r="D590" s="52" t="str">
        <x:v>multimodal</x:v>
      </x:c>
      <x:c r="E590" s="52" t="str">
        <x:v>ChatGPT Voice</x:v>
      </x:c>
      <x:c r="F590" s="52" t="str">
        <x:v>feature</x:v>
      </x:c>
      <x:c r="G590" s="52" t="str">
        <x:v>active</x:v>
      </x:c>
      <x:c r="H590" s="63" t="str">
        <x:v>Improvements to search response quality in Voice</x:v>
      </x:c>
      <x:c r="I590" s="63" t="str">
        <x:v>改進語音功能的搜尋回應品質</x:v>
      </x:c>
      <x:c r="J590" s="63" t="str">
        <x:v>We’ve improved search responses in ChatGPT Voice to deliver more complete, up-to-date answers, including better access to shopping results.</x:v>
      </x:c>
      <x:c r="K590" s="63" t="str">
        <x:v>OpenAI 於 2026-01-26 為 ChatGPT Voice 更新模型或體驗；此節點依官方發布記錄整理，完整能力、適用方案與限制請見來源。</x:v>
      </x:c>
      <x:c r="L590" s="52" t="str">
        <x:v>https://help.openai.com/en/articles/6825453-chatgpt-release-notes</x:v>
      </x:c>
      <x:c r="M590" s="52" t="str">
        <x:v>help_center_release_notes</x:v>
      </x:c>
      <x:c r="N590" s="52" t="str">
        <x:v>complete</x:v>
      </x:c>
      <x:c r="O590" s="52" t="str">
        <x:v>high</x:v>
      </x:c>
      <x:c r="P590" s="60" t="n">
        <x:v>3</x:v>
      </x:c>
      <x:c r="Q590" s="52" t="str">
        <x:v>2026 | chatgpt-voice | feature | multimodal</x:v>
      </x:c>
    </x:row>
    <x:row r="591" ht="38" customHeight="1">
      <x:c r="A591" s="57" t="n">
        <x:v>46050</x:v>
      </x:c>
      <x:c r="B591" s="52" t="str">
        <x:v>atlas-release-notes</x:v>
      </x:c>
      <x:c r="C591" s="52" t="str">
        <x:v>ChatGPT Atlas — Release Notes</x:v>
      </x:c>
      <x:c r="D591" s="52" t="str">
        <x:v>clients_surfaces</x:v>
      </x:c>
      <x:c r="E591" s="52" t="str">
        <x:v>ChatGPT Atlas</x:v>
      </x:c>
      <x:c r="F591" s="52" t="str">
        <x:v>model_update</x:v>
      </x:c>
      <x:c r="G591" s="52" t="str">
        <x:v>active</x:v>
      </x:c>
      <x:c r="H591" s="63" t="str">
        <x:v>Atlas bug-fix build 1.2026.21.3</x:v>
      </x:c>
      <x:c r="I591" s="63" t="str">
        <x:v>Atlas 1.2026.21.3 錯誤修正</x:v>
      </x:c>
      <x:c r="J591" s="63" t="str">
        <x:v>OpenAI shipped an Atlas maintenance build focused on bug fixes.</x:v>
      </x:c>
      <x:c r="K591" s="63" t="str">
        <x:v>OpenAI 發布以錯誤修正為主的 Atlas 維護版本。</x:v>
      </x:c>
      <x:c r="L591" s="52" t="str">
        <x:v>https://help.openai.com/en/articles/12591856-chatgpt-atlas-release-notes</x:v>
      </x:c>
      <x:c r="M591" s="52" t="str">
        <x:v>help_center_release_notes</x:v>
      </x:c>
      <x:c r="N591" s="52" t="str">
        <x:v>parsed</x:v>
      </x:c>
      <x:c r="O591" s="52" t="str">
        <x:v>high</x:v>
      </x:c>
      <x:c r="P591" s="60" t="n">
        <x:v>1</x:v>
      </x:c>
      <x:c r="Q591" s="52" t="str">
        <x:v>atlas | fix</x:v>
      </x:c>
    </x:row>
    <x:row r="592" ht="38" customHeight="1">
      <x:c r="A592" s="57" t="n">
        <x:v>46050</x:v>
      </x:c>
      <x:c r="B592" s="52" t="str">
        <x:v>codex-changelog</x:v>
      </x:c>
      <x:c r="C592" s="52" t="str">
        <x:v>Codex Changelog</x:v>
      </x:c>
      <x:c r="D592" s="52" t="str">
        <x:v>agents_research</x:v>
      </x:c>
      <x:c r="E592" s="52" t="str">
        <x:v>Codex</x:v>
      </x:c>
      <x:c r="F592" s="52" t="str">
        <x:v>feature</x:v>
      </x:c>
      <x:c r="G592" s="52" t="str">
        <x:v>active</x:v>
      </x:c>
      <x:c r="H592" s="63" t="str">
        <x:v>Web search is now enabled by default</x:v>
      </x:c>
      <x:c r="I592" s="63" t="str">
        <x:v>Web search 現已預設啟用</x:v>
      </x:c>
      <x:c r="J592" s="63" t="str">
        <x:v>Codex now enables web search for local tasks in the Codex CLI and IDE Extension. By default, Codex uses a web search cache, which is an OpenAI-maintained index of web results. Cached mode returns pre-indexed results instead of fetching live pages, while live mode fetches the most recent data from the web. If you are using --yolo or another full access sandbox setting, web search defaults to live results. To disable this behavior or s…</x:v>
      </x:c>
      <x:c r="K592" s="63" t="str">
        <x:v>Codex Changelog 在 2026-01-28 記錄了Codex 編碼代理、代理與工具調用相關更新；完整版本與修正內容見官方英文摘要。</x:v>
      </x:c>
      <x:c r="L592" s="52" t="str">
        <x:v>https://developers.openai.com/codex/changelog/</x:v>
      </x:c>
      <x:c r="M592" s="52" t="str">
        <x:v>developer_changelog</x:v>
      </x:c>
      <x:c r="N592" s="52" t="str">
        <x:v>complete</x:v>
      </x:c>
      <x:c r="O592" s="52" t="str">
        <x:v>high</x:v>
      </x:c>
      <x:c r="P592" s="60" t="n">
        <x:v>2</x:v>
      </x:c>
      <x:c r="Q592" s="52" t="str">
        <x:v>codex | release-notes</x:v>
      </x:c>
    </x:row>
    <x:row r="593" ht="38" customHeight="1">
      <x:c r="A593" s="57" t="n">
        <x:v>46051</x:v>
      </x:c>
      <x:c r="B593" s="52" t="str">
        <x:v>chatgpt-release-notes</x:v>
      </x:c>
      <x:c r="C593" s="52" t="str">
        <x:v>ChatGPT — Release Notes</x:v>
      </x:c>
      <x:c r="D593" s="52" t="str">
        <x:v>models_reasoning</x:v>
      </x:c>
      <x:c r="E593" s="52" t="str">
        <x:v>GPT-4o</x:v>
      </x:c>
      <x:c r="F593" s="52" t="str">
        <x:v>deprecation</x:v>
      </x:c>
      <x:c r="G593" s="52" t="str">
        <x:v>deprecated</x:v>
      </x:c>
      <x:c r="H593" s="63" t="str">
        <x:v>Retiring GPT-4o and other legacy models</x:v>
      </x:c>
      <x:c r="I593" s="63" t="str">
        <x:v>停用 GPT-4o 及其他舊版模型</x:v>
      </x:c>
      <x:c r="J593" s="63" t="str">
        <x:v>On February 13, 2026, alongside the previously announced retirement⁠ of GPT‑5 (Instant and Thinking), we will retire GPT‑4o, GPT‑4.1, GPT‑4.1 mini, and OpenAI o4-mini from ChatGPT. In the API, there are no changes at this time. For more, see our blog post or help center.</x:v>
      </x:c>
      <x:c r="K593" s="63" t="str">
        <x:v>於 2026 年 2 月 13 日，除了先前宣佈停用的 GPT‑5 (Instant 與 Thinking) 外，我們將從 ChatGPT 中停用 GPT‑4o、GPT‑4.1、GPT‑4.1 mini 以及 OpenAI o4-mini。API 目前沒有變動。欲了解更多資訊，請參閱我們的部落格文章或說明中心。</x:v>
      </x:c>
      <x:c r="L593" s="52" t="str">
        <x:v>https://help.openai.com/en/articles/6825453-chatgpt-release-notes</x:v>
      </x:c>
      <x:c r="M593" s="52" t="str">
        <x:v>help_center_release_notes</x:v>
      </x:c>
      <x:c r="N593" s="52" t="str">
        <x:v>complete</x:v>
      </x:c>
      <x:c r="O593" s="52" t="str">
        <x:v>high</x:v>
      </x:c>
      <x:c r="P593" s="60" t="n">
        <x:v>3</x:v>
      </x:c>
      <x:c r="Q593" s="52" t="str">
        <x:v>2026 | deprecation | gpt-4o | models-reasoning</x:v>
      </x:c>
    </x:row>
    <x:row r="594" ht="38" customHeight="1">
      <x:c r="A594" s="57" t="n">
        <x:v>46051</x:v>
      </x:c>
      <x:c r="B594" s="52" t="str">
        <x:v>model-release-notes</x:v>
      </x:c>
      <x:c r="C594" s="52" t="str">
        <x:v>Model Release Notes</x:v>
      </x:c>
      <x:c r="D594" s="52" t="str">
        <x:v>models_reasoning</x:v>
      </x:c>
      <x:c r="E594" s="52" t="str">
        <x:v>GPT-4o</x:v>
      </x:c>
      <x:c r="F594" s="52" t="str">
        <x:v>retirement</x:v>
      </x:c>
      <x:c r="G594" s="52" t="str">
        <x:v>retired</x:v>
      </x:c>
      <x:c r="H594" s="63" t="str">
        <x:v>Retiring GPT-4o and other legacy models</x:v>
      </x:c>
      <x:c r="I594" s="63" t="str">
        <x:v>退役：GPT-4o and other legacy models</x:v>
      </x:c>
      <x:c r="J594" s="63" t="str">
        <x:v>On February 13, 2026, alongside the previously announced retirement⁠ of GPT‑5 (Instant and Thinking), we will retire GPT‑4o, GPT‑4.1, GPT‑4.1 mini, and OpenAI o4-mini from ChatGPT. In the API, there are no changes at this time. For more, see our blog post or help center.</x:v>
      </x:c>
      <x:c r="K594" s="63" t="str">
        <x:v>OpenAI 於 2026-01-29 為 GPT-4o 完成退役或停止服務；此節點依官方發布記錄整理，完整能力、適用方案與限制請見來源。</x:v>
      </x:c>
      <x:c r="L594" s="52" t="str">
        <x:v>https://help.openai.com/en/articles/9624314-model-release-notes</x:v>
      </x:c>
      <x:c r="M594" s="52" t="str">
        <x:v>help_center_release_notes</x:v>
      </x:c>
      <x:c r="N594" s="52" t="str">
        <x:v>parsed</x:v>
      </x:c>
      <x:c r="O594" s="52" t="str">
        <x:v>high</x:v>
      </x:c>
      <x:c r="P594" s="60" t="n">
        <x:v>0</x:v>
      </x:c>
      <x:c r="Q594" s="52" t="str"/>
    </x:row>
    <x:row r="595" ht="38" customHeight="1">
      <x:c r="A595" s="57" t="n">
        <x:v>46052</x:v>
      </x:c>
      <x:c r="B595" s="52" t="str">
        <x:v>chatgpt-release-notes</x:v>
      </x:c>
      <x:c r="C595" s="52" t="str">
        <x:v>ChatGPT — Release Notes</x:v>
      </x:c>
      <x:c r="D595" s="52" t="str">
        <x:v>multimodal</x:v>
      </x:c>
      <x:c r="E595" s="52" t="str">
        <x:v>ChatGPT Business</x:v>
      </x:c>
      <x:c r="F595" s="52" t="str">
        <x:v>feature</x:v>
      </x:c>
      <x:c r="G595" s="52" t="str">
        <x:v>active</x:v>
      </x:c>
      <x:c r="H595" s="63" t="str">
        <x:v>More visual responses</x:v>
      </x:c>
      <x:c r="I595" s="63" t="str">
        <x:v>更直觀的視覺化回應</x:v>
      </x:c>
      <x:c r="J595" s="63" t="str">
        <x:v>Responses in ChatGPT are now more visual and easier to scan. For everyday questions, responses may include at-a-glance visuals—like checking your team’s latest stats, converting units, or doing a quick calculation. Answers now also highlight important people, places, products, and ideas. You can tap any highlight to open a side panel with key facts and trusted sources, making it easy to understand the context without asking follow-up…</x:v>
      </x:c>
      <x:c r="K595" s="63" t="str">
        <x:v>ChatGPT 的回應現在更具視覺效果且更易於快速瀏覽。針對日常問題，回應可能包含一目了然的視覺內容，例如查看您團隊的最新數據、單位換算或進行快速計算。回答內容現在也會突顯重要的人事物、地點、產品與概念。</x:v>
      </x:c>
      <x:c r="L595" s="52" t="str">
        <x:v>https://help.openai.com/en/articles/6825453-chatgpt-release-notes</x:v>
      </x:c>
      <x:c r="M595" s="52" t="str">
        <x:v>help_center_release_notes</x:v>
      </x:c>
      <x:c r="N595" s="52" t="str">
        <x:v>complete</x:v>
      </x:c>
      <x:c r="O595" s="52" t="str">
        <x:v>high</x:v>
      </x:c>
      <x:c r="P595" s="60" t="n">
        <x:v>3</x:v>
      </x:c>
      <x:c r="Q595" s="52" t="str">
        <x:v>2026 | chatgpt-images | feature | multimodal</x:v>
      </x:c>
    </x:row>
    <x:row r="596" ht="38" customHeight="1">
      <x:c r="A596" s="57" t="n">
        <x:v>46055</x:v>
      </x:c>
      <x:c r="B596" s="52" t="str">
        <x:v>apps-sdk-changelog</x:v>
      </x:c>
      <x:c r="C596" s="52" t="str">
        <x:v>Apps SDK Changelog</x:v>
      </x:c>
      <x:c r="D596" s="52" t="str">
        <x:v>developer_platform</x:v>
      </x:c>
      <x:c r="E596" s="52" t="str">
        <x:v>Apps SDK</x:v>
      </x:c>
      <x:c r="F596" s="52" t="str">
        <x:v>platform</x:v>
      </x:c>
      <x:c r="G596" s="52" t="str">
        <x:v>active</x:v>
      </x:c>
      <x:c r="H596" s="63" t="str">
        <x:v>Apps SDK updates for redirects, widget descriptions, and follow-up scrolling</x:v>
      </x:c>
      <x:c r="I596" s="63" t="str">
        <x:v>平台更新：Apps SDK</x:v>
      </x:c>
      <x:c r="J596" s="63" t="str">
        <x:v>Fixes &amp; improvements window.openai.openExternal({ href, redirectUrl }) supports redirectUrl: false , which prevents the host from appending ?redirectUrl=... to external links. window.openai.setOpenInAppUrl({ href }) is the supported way to override the fullscreen “Open in ” destination; if you do not call it, ChatGPT keeps opening the widget’s current iframe path. openai/widgetDescription is honored during resource construction and t…</x:v>
      </x:c>
      <x:c r="K596" s="63" t="str">
        <x:v>OpenAI 於 2026-02-02 為 Apps SDK 更新開發者平台；此節點依官方發布記錄整理，完整能力、適用方案與限制請見來源。</x:v>
      </x:c>
      <x:c r="L596" s="52" t="str">
        <x:v>https://developers.openai.com/apps-sdk/changelog/</x:v>
      </x:c>
      <x:c r="M596" s="52" t="str">
        <x:v>developer_changelog</x:v>
      </x:c>
      <x:c r="N596" s="52" t="str">
        <x:v>complete</x:v>
      </x:c>
      <x:c r="O596" s="52" t="str">
        <x:v>high</x:v>
      </x:c>
      <x:c r="P596" s="60" t="n">
        <x:v>4</x:v>
      </x:c>
      <x:c r="Q596" s="52" t="str">
        <x:v>apps-sdk | chatgpt-apps | mcp</x:v>
      </x:c>
    </x:row>
    <x:row r="597" ht="38" customHeight="1">
      <x:c r="A597" s="57" t="n">
        <x:v>46055</x:v>
      </x:c>
      <x:c r="B597" s="52" t="str">
        <x:v>chatgpt-release-notes</x:v>
      </x:c>
      <x:c r="C597" s="52" t="str">
        <x:v>ChatGPT — Release Notes</x:v>
      </x:c>
      <x:c r="D597" s="52" t="str">
        <x:v>agents_research</x:v>
      </x:c>
      <x:c r="E597" s="52" t="str">
        <x:v>Codex</x:v>
      </x:c>
      <x:c r="F597" s="52" t="str">
        <x:v>launch</x:v>
      </x:c>
      <x:c r="G597" s="52" t="str">
        <x:v>active</x:v>
      </x:c>
      <x:c r="H597" s="63" t="str">
        <x:v>Introducing the Codex app</x:v>
      </x:c>
      <x:c r="I597" s="63" t="str">
        <x:v>推出 Codex 應用程式</x:v>
      </x:c>
      <x:c r="J597" s="63" t="str">
        <x:v>Today we’re releasing the Codex app for MacOS, a command center for managing multiple coding agents in parallel. The app lets you run long‑horizon and background tasks, review clean diffs from isolated worktrees, see agent progress and decisions, and execute reusable skills and automations. Available with ChatGPT plans that include Codex, with a limited‑time promo: Free and Go can try Codex with included limits, while Plus, and Pro u…</x:v>
      </x:c>
      <x:c r="K597" s="63" t="str">
        <x:v>今天我們推出適用於 MacOS 的 Codex 應用程式，這是一個用於並行管理多個程式開發代理的指揮中心。該應用程式讓您能夠執行長週期與後台任務、檢視隔離工作樹中清晰的差異、查看代理的進度與決策，並執行可重複使用的技能與自動化流程。</x:v>
      </x:c>
      <x:c r="L597" s="52" t="str">
        <x:v>https://help.openai.com/en/articles/6825453-chatgpt-release-notes</x:v>
      </x:c>
      <x:c r="M597" s="52" t="str">
        <x:v>help_center_release_notes</x:v>
      </x:c>
      <x:c r="N597" s="52" t="str">
        <x:v>complete</x:v>
      </x:c>
      <x:c r="O597" s="52" t="str">
        <x:v>high</x:v>
      </x:c>
      <x:c r="P597" s="60" t="n">
        <x:v>4</x:v>
      </x:c>
      <x:c r="Q597" s="52" t="str">
        <x:v>2026 | agents-research | codex | launch</x:v>
      </x:c>
    </x:row>
    <x:row r="598" ht="38" customHeight="1">
      <x:c r="A598" s="57" t="n">
        <x:v>46055</x:v>
      </x:c>
      <x:c r="B598" s="52" t="str">
        <x:v>codex-changelog</x:v>
      </x:c>
      <x:c r="C598" s="52" t="str">
        <x:v>Codex Changelog</x:v>
      </x:c>
      <x:c r="D598" s="52" t="str">
        <x:v>agents_research</x:v>
      </x:c>
      <x:c r="E598" s="52" t="str">
        <x:v>Codex</x:v>
      </x:c>
      <x:c r="F598" s="52" t="str">
        <x:v>launch</x:v>
      </x:c>
      <x:c r="G598" s="52" t="str">
        <x:v>active</x:v>
      </x:c>
      <x:c r="H598" s="63" t="str">
        <x:v>Introducing the Codex app</x:v>
      </x:c>
      <x:c r="I598" s="63" t="str">
        <x:v>推出 the Codex app</x:v>
      </x:c>
      <x:c r="J598" s="63" t="str">
        <x:v>Codex app The Codex app for macOS is a desktop interface for running agent threads in parallel and collaborating with agents on long-running tasks. It includes a project sidebar, thread list, and review pane for tracking work across projects. Key features: Multitask across projects Built-in worktree support Voice dictation Built-in Git tooling Skills Automations For a limited time, ChatGPT Free and Go include Codex , and Plus, Pro, B…</x:v>
      </x:c>
      <x:c r="K598" s="63" t="str">
        <x:v>Codex Changelog 在 2026-02-02 記錄了Codex 編碼代理、代理與工具調用、即時語音與音訊相關更新；完整版本與修正內容見官方英文摘要。</x:v>
      </x:c>
      <x:c r="L598" s="52" t="str">
        <x:v>https://developers.openai.com/codex/changelog/</x:v>
      </x:c>
      <x:c r="M598" s="52" t="str">
        <x:v>developer_changelog</x:v>
      </x:c>
      <x:c r="N598" s="52" t="str">
        <x:v>complete</x:v>
      </x:c>
      <x:c r="O598" s="52" t="str">
        <x:v>high</x:v>
      </x:c>
      <x:c r="P598" s="60" t="n">
        <x:v>5</x:v>
      </x:c>
      <x:c r="Q598" s="52" t="str">
        <x:v>codex | release-notes</x:v>
      </x:c>
    </x:row>
    <x:row r="599" ht="38" customHeight="1">
      <x:c r="A599" s="57" t="n">
        <x:v>46056</x:v>
      </x:c>
      <x:c r="B599" s="52" t="str">
        <x:v>codex-changelog</x:v>
      </x:c>
      <x:c r="C599" s="52" t="str">
        <x:v>Codex Changelog</x:v>
      </x:c>
      <x:c r="D599" s="52" t="str">
        <x:v>agents_research</x:v>
      </x:c>
      <x:c r="E599" s="52" t="str">
        <x:v>Codex</x:v>
      </x:c>
      <x:c r="F599" s="52" t="str">
        <x:v>model_update</x:v>
      </x:c>
      <x:c r="G599" s="52" t="str">
        <x:v>active</x:v>
      </x:c>
      <x:c r="H599" s="63" t="str">
        <x:v>Codex app 26.203</x:v>
      </x:c>
      <x:c r="I599" s="63" t="str">
        <x:v>Codex app 26.203 更新</x:v>
      </x:c>
      <x:c r="J599" s="63" t="str">
        <x:v>New features Added thread renaming on double-click in the thread list. Improvements and bug fixes Renamed Sync to Handoff and added clearer source/destination stats in the handoff UI. Additional performance improvements and bug fixes.</x:v>
      </x:c>
      <x:c r="K599" s="63" t="str">
        <x:v>Codex Changelog 在 2026-02-03 記錄了Codex 編碼代理、可靠性與效能修正相關更新；完整版本與修正內容見官方英文摘要。</x:v>
      </x:c>
      <x:c r="L599" s="52" t="str">
        <x:v>https://developers.openai.com/codex/changelog/</x:v>
      </x:c>
      <x:c r="M599" s="52" t="str">
        <x:v>developer_changelog</x:v>
      </x:c>
      <x:c r="N599" s="52" t="str">
        <x:v>complete</x:v>
      </x:c>
      <x:c r="O599" s="52" t="str">
        <x:v>high</x:v>
      </x:c>
      <x:c r="P599" s="60" t="n">
        <x:v>2</x:v>
      </x:c>
      <x:c r="Q599" s="52" t="str">
        <x:v>codex | release-notes</x:v>
      </x:c>
    </x:row>
    <x:row r="600" ht="38" customHeight="1">
      <x:c r="A600" s="57" t="n">
        <x:v>46056</x:v>
      </x:c>
      <x:c r="B600" s="52" t="str">
        <x:v>api-changelog</x:v>
      </x:c>
      <x:c r="C600" s="52" t="str">
        <x:v>OpenAI API Changelog</x:v>
      </x:c>
      <x:c r="D600" s="52" t="str">
        <x:v>agents_research</x:v>
      </x:c>
      <x:c r="E600" s="52" t="str">
        <x:v>GPT-5.2</x:v>
      </x:c>
      <x:c r="F600" s="52" t="str">
        <x:v>platform</x:v>
      </x:c>
      <x:c r="G600" s="52" t="str">
        <x:v>active</x:v>
      </x:c>
      <x:c r="H600" s="63" t="str">
        <x:v>We have optimized our inference stack for API customers and GPT-5.2 and GPT-5.2-Codex now run ~40% faster.</x:v>
      </x:c>
      <x:c r="I600" s="63" t="str">
        <x:v>平台更新：GPT-5.2</x:v>
      </x:c>
      <x:c r="J600" s="63" t="str">
        <x:v>We have optimized our inference stack for API customers and GPT-5.2 and GPT-5.2-Codex now run ~40% faster. Model and model weights are unchanged.</x:v>
      </x:c>
      <x:c r="K600" s="63" t="str">
        <x:v>OpenAI 於 2026-02-03 為 GPT-5.2 更新開發者平台；此節點依官方發布記錄整理，完整能力、適用方案與限制請見來源。</x:v>
      </x:c>
      <x:c r="L600" s="52" t="str">
        <x:v>https://platform.openai.com/docs/changelog</x:v>
      </x:c>
      <x:c r="M600" s="52" t="str">
        <x:v>developer_changelog</x:v>
      </x:c>
      <x:c r="N600" s="52" t="str">
        <x:v>parsed</x:v>
      </x:c>
      <x:c r="O600" s="52" t="str">
        <x:v>high</x:v>
      </x:c>
      <x:c r="P600" s="60" t="n">
        <x:v>0</x:v>
      </x:c>
      <x:c r="Q600" s="52" t="str"/>
    </x:row>
    <x:row r="601" ht="38" customHeight="1">
      <x:c r="A601" s="57" t="n">
        <x:v>46056</x:v>
      </x:c>
      <x:c r="B601" s="52" t="str">
        <x:v>lane-openai-api-changelog</x:v>
      </x:c>
      <x:c r="C601" s="52" t="str">
        <x:v>OpenAI API Changelog</x:v>
      </x:c>
      <x:c r="D601" s="52" t="str">
        <x:v>agents_research</x:v>
      </x:c>
      <x:c r="E601" s="52" t="str">
        <x:v>Codex</x:v>
      </x:c>
      <x:c r="F601" s="52" t="str">
        <x:v>platform</x:v>
      </x:c>
      <x:c r="G601" s="52" t="str">
        <x:v>active</x:v>
      </x:c>
      <x:c r="H601" s="63" t="str">
        <x:v>We have optimized our inference stack for API customers and GPT-5.2 and GPT-5.2-Codex now run ~40% faster.</x:v>
      </x:c>
      <x:c r="I601" s="63" t="str">
        <x:v>平台更新：Codex</x:v>
      </x:c>
      <x:c r="J601" s="63" t="str">
        <x:v>We have optimized our inference stack for API customers and GPT-5.2 and GPT-5.2-Codex now run ~40% faster. Model and model weights are unchanged.</x:v>
      </x:c>
      <x:c r="K601" s="63" t="str">
        <x:v>API 更新：We have optimized our inference stack for API customers and GPT-5.2 and GPT-5.2-Codex now run ~40% faster。OpenAI 將此列為 2026-02-03 的更新；重點涉及Codex 編碼代理，模型、端點與參數名稱依官方英文保留。</x:v>
      </x:c>
      <x:c r="L601" s="52" t="str">
        <x:v>https://developers.openai.com/api/docs/changelog</x:v>
      </x:c>
      <x:c r="M601" s="52" t="str">
        <x:v>official_changelog</x:v>
      </x:c>
      <x:c r="N601" s="52" t="str">
        <x:v>complete</x:v>
      </x:c>
      <x:c r="O601" s="52" t="str">
        <x:v>high</x:v>
      </x:c>
      <x:c r="P601" s="60" t="n">
        <x:v>2</x:v>
      </x:c>
      <x:c r="Q601" s="52" t="str">
        <x:v>codex | coding-agent | update</x:v>
      </x:c>
    </x:row>
    <x:row r="602" ht="38" customHeight="1">
      <x:c r="A602" s="57" t="n">
        <x:v>46057</x:v>
      </x:c>
      <x:c r="B602" s="52" t="str">
        <x:v>atlas-release-notes</x:v>
      </x:c>
      <x:c r="C602" s="52" t="str">
        <x:v>ChatGPT Atlas — Release Notes</x:v>
      </x:c>
      <x:c r="D602" s="52" t="str">
        <x:v>clients_surfaces</x:v>
      </x:c>
      <x:c r="E602" s="52" t="str">
        <x:v>ChatGPT Atlas</x:v>
      </x:c>
      <x:c r="F602" s="52" t="str">
        <x:v>feature</x:v>
      </x:c>
      <x:c r="G602" s="52" t="str">
        <x:v>active</x:v>
      </x:c>
      <x:c r="H602" s="63" t="str">
        <x:v>Atlas saved prompts, device emulation and tab renaming</x:v>
      </x:c>
      <x:c r="I602" s="63" t="str">
        <x:v>Atlas 已存提示、裝置模擬與分頁重新命名</x:v>
      </x:c>
      <x:c r="J602" s="63" t="str">
        <x:v>Atlas added saved prompts, a Device tab in DevTools, tab renaming, smarter Agent/chat transitions and multiple browser fixes.</x:v>
      </x:c>
      <x:c r="K602" s="63" t="str">
        <x:v>Atlas 新增已存提示、DevTools 裝置模擬、分頁重新命名、更智慧的 Agent/聊天切換與多項修正。</x:v>
      </x:c>
      <x:c r="L602" s="52" t="str">
        <x:v>https://help.openai.com/en/articles/12591856-chatgpt-atlas-release-notes</x:v>
      </x:c>
      <x:c r="M602" s="52" t="str">
        <x:v>help_center_release_notes</x:v>
      </x:c>
      <x:c r="N602" s="52" t="str">
        <x:v>parsed</x:v>
      </x:c>
      <x:c r="O602" s="52" t="str">
        <x:v>high</x:v>
      </x:c>
      <x:c r="P602" s="60" t="n">
        <x:v>3</x:v>
      </x:c>
      <x:c r="Q602" s="52" t="str">
        <x:v>atlas | devtools | prompts</x:v>
      </x:c>
    </x:row>
    <x:row r="603" ht="38" customHeight="1">
      <x:c r="A603" s="57" t="n">
        <x:v>46057</x:v>
      </x:c>
      <x:c r="B603" s="52" t="str">
        <x:v>atlas-release-notes</x:v>
      </x:c>
      <x:c r="C603" s="52" t="str">
        <x:v>ChatGPT Atlas — Release Notes</x:v>
      </x:c>
      <x:c r="D603" s="52" t="str">
        <x:v>clients_surfaces</x:v>
      </x:c>
      <x:c r="E603" s="52" t="str">
        <x:v>ChatGPT</x:v>
      </x:c>
      <x:c r="F603" s="52" t="str">
        <x:v>model_update</x:v>
      </x:c>
      <x:c r="G603" s="52" t="str">
        <x:v>active</x:v>
      </x:c>
      <x:c r="H603" s="63" t="str">
        <x:v>Bug Fixes</x:v>
      </x:c>
      <x:c r="I603" s="63" t="str">
        <x:v>模型更新：Bug Fixes</x:v>
      </x:c>
      <x:c r="J603" s="63" t="str">
        <x:v>Fixed an issue where autofill could remain visible after navigating away Fixed UI flickering issues in bookmarks and the tab bar</x:v>
      </x:c>
      <x:c r="K603" s="63" t="str">
        <x:v>OpenAI 於 2026-02-04 為 ChatGPT 更新模型或體驗；此節點依官方發布記錄整理，完整能力、適用方案與限制請見來源。</x:v>
      </x:c>
      <x:c r="L603" s="52" t="str">
        <x:v>https://help.openai.com/en/articles/12591856-chatgpt-atlas-release-notes</x:v>
      </x:c>
      <x:c r="M603" s="52" t="str">
        <x:v>help_center_release_notes</x:v>
      </x:c>
      <x:c r="N603" s="52" t="str">
        <x:v>parsed</x:v>
      </x:c>
      <x:c r="O603" s="52" t="str">
        <x:v>high</x:v>
      </x:c>
      <x:c r="P603" s="60" t="n">
        <x:v>0</x:v>
      </x:c>
      <x:c r="Q603" s="52" t="str"/>
    </x:row>
    <x:row r="604" ht="38" customHeight="1">
      <x:c r="A604" s="57" t="n">
        <x:v>46057</x:v>
      </x:c>
      <x:c r="B604" s="52" t="str">
        <x:v>codex-changelog</x:v>
      </x:c>
      <x:c r="C604" s="52" t="str">
        <x:v>Codex Changelog</x:v>
      </x:c>
      <x:c r="D604" s="52" t="str">
        <x:v>agents_research</x:v>
      </x:c>
      <x:c r="E604" s="52" t="str">
        <x:v>Codex</x:v>
      </x:c>
      <x:c r="F604" s="52" t="str">
        <x:v>model_update</x:v>
      </x:c>
      <x:c r="G604" s="52" t="str">
        <x:v>active</x:v>
      </x:c>
      <x:c r="H604" s="63" t="str">
        <x:v>Codex app 26.204</x:v>
      </x:c>
      <x:c r="I604" s="63" t="str">
        <x:v>Codex app 26.204 更新</x:v>
      </x:c>
      <x:c r="J604" s="63" t="str">
        <x:v>New features Added Zed and Textmate as options to open files and folders. Added PDF preview in the review panel. Bug fixes Performance improvements.</x:v>
      </x:c>
      <x:c r="K604" s="63" t="str">
        <x:v>Codex Changelog 在 2026-02-04 記錄了Codex 編碼代理、可靠性與效能修正相關更新；完整版本與修正內容見官方英文摘要。</x:v>
      </x:c>
      <x:c r="L604" s="52" t="str">
        <x:v>https://developers.openai.com/codex/changelog/</x:v>
      </x:c>
      <x:c r="M604" s="52" t="str">
        <x:v>developer_changelog</x:v>
      </x:c>
      <x:c r="N604" s="52" t="str">
        <x:v>complete</x:v>
      </x:c>
      <x:c r="O604" s="52" t="str">
        <x:v>high</x:v>
      </x:c>
      <x:c r="P604" s="60" t="n">
        <x:v>2</x:v>
      </x:c>
      <x:c r="Q604" s="52" t="str">
        <x:v>codex | release-notes</x:v>
      </x:c>
    </x:row>
    <x:row r="605" ht="38" customHeight="1">
      <x:c r="A605" s="57" t="n">
        <x:v>46057</x:v>
      </x:c>
      <x:c r="B605" s="52" t="str">
        <x:v>atlas-release-notes</x:v>
      </x:c>
      <x:c r="C605" s="52" t="str">
        <x:v>ChatGPT Atlas — Release Notes</x:v>
      </x:c>
      <x:c r="D605" s="52" t="str">
        <x:v>clients_surfaces</x:v>
      </x:c>
      <x:c r="E605" s="52" t="str">
        <x:v>ChatGPT</x:v>
      </x:c>
      <x:c r="F605" s="52" t="str">
        <x:v>platform</x:v>
      </x:c>
      <x:c r="G605" s="52" t="str">
        <x:v>active</x:v>
      </x:c>
      <x:c r="H605" s="63" t="str">
        <x:v>Device Tab on DevTools</x:v>
      </x:c>
      <x:c r="I605" s="63" t="str">
        <x:v>平台更新：Device Tab on DevTools</x:v>
      </x:c>
      <x:c r="J605" s="63" t="str">
        <x:v>For the devs out there: you can now enable device emulation mode in Developer Tools. Switch your view into popular mobile devices and customize the viewport</x:v>
      </x:c>
      <x:c r="K605" s="63" t="str">
        <x:v>OpenAI 於 2026-02-04 為 ChatGPT 更新開發者平台；此節點依官方發布記錄整理，完整能力、適用方案與限制請見來源。</x:v>
      </x:c>
      <x:c r="L605" s="52" t="str">
        <x:v>https://help.openai.com/en/articles/12591856-chatgpt-atlas-release-notes</x:v>
      </x:c>
      <x:c r="M605" s="52" t="str">
        <x:v>help_center_release_notes</x:v>
      </x:c>
      <x:c r="N605" s="52" t="str">
        <x:v>parsed</x:v>
      </x:c>
      <x:c r="O605" s="52" t="str">
        <x:v>high</x:v>
      </x:c>
      <x:c r="P605" s="60" t="n">
        <x:v>0</x:v>
      </x:c>
      <x:c r="Q605" s="52" t="str"/>
    </x:row>
    <x:row r="606" ht="38" customHeight="1">
      <x:c r="A606" s="57" t="n">
        <x:v>46057</x:v>
      </x:c>
      <x:c r="B606" s="52" t="str">
        <x:v>atlas-release-notes</x:v>
      </x:c>
      <x:c r="C606" s="52" t="str">
        <x:v>ChatGPT Atlas — Release Notes</x:v>
      </x:c>
      <x:c r="D606" s="52" t="str">
        <x:v>clients_surfaces</x:v>
      </x:c>
      <x:c r="E606" s="52" t="str">
        <x:v>ChatGPT</x:v>
      </x:c>
      <x:c r="F606" s="52" t="str">
        <x:v>feature</x:v>
      </x:c>
      <x:c r="G606" s="52" t="str">
        <x:v>active</x:v>
      </x:c>
      <x:c r="H606" s="63" t="str">
        <x:v>Renaming Tabs</x:v>
      </x:c>
      <x:c r="I606" s="63" t="str">
        <x:v>功能更新：Renaming Tabs</x:v>
      </x:c>
      <x:c r="J606" s="63" t="str">
        <x:v>Customize your tabs with tab renaming. Double click or right-click any tab, and give it any name that works for you</x:v>
      </x:c>
      <x:c r="K606" s="63" t="str">
        <x:v>OpenAI 於 2026-02-04 為 ChatGPT 新增功能；此節點依官方發布記錄整理，完整能力、適用方案與限制請見來源。</x:v>
      </x:c>
      <x:c r="L606" s="52" t="str">
        <x:v>https://help.openai.com/en/articles/12591856-chatgpt-atlas-release-notes</x:v>
      </x:c>
      <x:c r="M606" s="52" t="str">
        <x:v>help_center_release_notes</x:v>
      </x:c>
      <x:c r="N606" s="52" t="str">
        <x:v>parsed</x:v>
      </x:c>
      <x:c r="O606" s="52" t="str">
        <x:v>high</x:v>
      </x:c>
      <x:c r="P606" s="60" t="n">
        <x:v>0</x:v>
      </x:c>
      <x:c r="Q606" s="52" t="str"/>
    </x:row>
    <x:row r="607" ht="38" customHeight="1">
      <x:c r="A607" s="57" t="n">
        <x:v>46057</x:v>
      </x:c>
      <x:c r="B607" s="52" t="str">
        <x:v>atlas-release-notes</x:v>
      </x:c>
      <x:c r="C607" s="52" t="str">
        <x:v>ChatGPT Atlas — Release Notes</x:v>
      </x:c>
      <x:c r="D607" s="52" t="str">
        <x:v>clients_surfaces</x:v>
      </x:c>
      <x:c r="E607" s="52" t="str">
        <x:v>ChatGPT</x:v>
      </x:c>
      <x:c r="F607" s="52" t="str">
        <x:v>feature</x:v>
      </x:c>
      <x:c r="G607" s="52" t="str">
        <x:v>active</x:v>
      </x:c>
      <x:c r="H607" s="63" t="str">
        <x:v>Saved Prompts</x:v>
      </x:c>
      <x:c r="I607" s="63" t="str">
        <x:v>功能更新：Saved Prompts</x:v>
      </x:c>
      <x:c r="J607" s="63" t="str">
        <x:v>Save prompts that you use frequently and reference them anytime in chat. Save a prompt from any chat using the bookmark icon, and you can use it anywhere with "@" or using the bookmarks bar</x:v>
      </x:c>
      <x:c r="K607" s="63" t="str">
        <x:v>OpenAI 於 2026-02-04 為 ChatGPT 新增功能；此節點依官方發布記錄整理，完整能力、適用方案與限制請見來源。</x:v>
      </x:c>
      <x:c r="L607" s="52" t="str">
        <x:v>https://help.openai.com/en/articles/12591856-chatgpt-atlas-release-notes</x:v>
      </x:c>
      <x:c r="M607" s="52" t="str">
        <x:v>help_center_release_notes</x:v>
      </x:c>
      <x:c r="N607" s="52" t="str">
        <x:v>parsed</x:v>
      </x:c>
      <x:c r="O607" s="52" t="str">
        <x:v>high</x:v>
      </x:c>
      <x:c r="P607" s="60" t="n">
        <x:v>0</x:v>
      </x:c>
      <x:c r="Q607" s="52" t="str"/>
    </x:row>
    <x:row r="608" ht="38" customHeight="1">
      <x:c r="A608" s="57" t="n">
        <x:v>46057</x:v>
      </x:c>
      <x:c r="B608" s="52" t="str">
        <x:v>atlas-release-notes</x:v>
      </x:c>
      <x:c r="C608" s="52" t="str">
        <x:v>ChatGPT Atlas — Release Notes</x:v>
      </x:c>
      <x:c r="D608" s="52" t="str">
        <x:v>clients_surfaces</x:v>
      </x:c>
      <x:c r="E608" s="52" t="str">
        <x:v>ChatGPT Agent</x:v>
      </x:c>
      <x:c r="F608" s="52" t="str">
        <x:v>model_update</x:v>
      </x:c>
      <x:c r="G608" s="52" t="str">
        <x:v>active</x:v>
      </x:c>
      <x:c r="H608" s="63" t="str">
        <x:v>Smarter agent/chat transition</x:v>
      </x:c>
      <x:c r="I608" s="63" t="str">
        <x:v>模型更新：Smarter agent/chat transition</x:v>
      </x:c>
      <x:c r="J608" s="63" t="str">
        <x:v>We’ve improved auto-switching between agent mode and chat. Fewer users should now get stuck accidentally sending chat messages into agent mode.</x:v>
      </x:c>
      <x:c r="K608" s="63" t="str">
        <x:v>OpenAI 於 2026-02-04 為 ChatGPT Agent 更新模型或體驗；此節點依官方發布記錄整理，完整能力、適用方案與限制請見來源。</x:v>
      </x:c>
      <x:c r="L608" s="52" t="str">
        <x:v>https://help.openai.com/en/articles/12591856-chatgpt-atlas-release-notes</x:v>
      </x:c>
      <x:c r="M608" s="52" t="str">
        <x:v>help_center_release_notes</x:v>
      </x:c>
      <x:c r="N608" s="52" t="str">
        <x:v>parsed</x:v>
      </x:c>
      <x:c r="O608" s="52" t="str">
        <x:v>high</x:v>
      </x:c>
      <x:c r="P608" s="60" t="n">
        <x:v>0</x:v>
      </x:c>
      <x:c r="Q608" s="52" t="str"/>
    </x:row>
    <x:row r="609" ht="38" customHeight="1">
      <x:c r="A609" s="57" t="n">
        <x:v>46057</x:v>
      </x:c>
      <x:c r="B609" s="52" t="str">
        <x:v>chatgpt-release-notes</x:v>
      </x:c>
      <x:c r="C609" s="52" t="str">
        <x:v>ChatGPT — Release Notes</x:v>
      </x:c>
      <x:c r="D609" s="52" t="str">
        <x:v>models_reasoning</x:v>
      </x:c>
      <x:c r="E609" s="52" t="str">
        <x:v>GPT-5.2</x:v>
      </x:c>
      <x:c r="F609" s="52" t="str">
        <x:v>model_release</x:v>
      </x:c>
      <x:c r="G609" s="52" t="str">
        <x:v>active</x:v>
      </x:c>
      <x:c r="H609" s="63" t="str">
        <x:v>Update on thinking time settings for GPT-5.2 Thinking in ChatGPT</x:v>
      </x:c>
      <x:c r="I609" s="63" t="str">
        <x:v>更新 ChatGPT 中 GPT-5.2 Thinking 的思考時間設定</x:v>
      </x:c>
      <x:c r="J609" s="63" t="str">
        <x:v>Jan 10, 2026: We lowered the Standard and Light thinking time as we observed users prefer faster responses. As part of this update, the Extended thinking setting for GPT-5.2 was unintentionally changed to be lower which we have now fixed. February 3, 2026: We made another small reduction to Standard thinking time based on testing. February 4, 2026: We’re restoring the Extended thinking level for GPT-5.2 Thinking to its prior setting,…</x:v>
      </x:c>
      <x:c r="K609" s="63" t="str">
        <x:v>2026 年 1 月 10 日：我們降低了「標準」與「輕量」思考時間，因為我們觀察到用戶偏好更快速的回應。作為此更新的一部分，GPT-5.2 的「延長」思考設定被無意間調低，我們現已修正。2026 年 2 月 3 日：根據測試，我們再次小幅縮減了「標準」思考時間。</x:v>
      </x:c>
      <x:c r="L609" s="52" t="str">
        <x:v>https://help.openai.com/en/articles/6825453-chatgpt-release-notes</x:v>
      </x:c>
      <x:c r="M609" s="52" t="str">
        <x:v>help_center_release_notes</x:v>
      </x:c>
      <x:c r="N609" s="52" t="str">
        <x:v>complete</x:v>
      </x:c>
      <x:c r="O609" s="52" t="str">
        <x:v>high</x:v>
      </x:c>
      <x:c r="P609" s="60" t="n">
        <x:v>4</x:v>
      </x:c>
      <x:c r="Q609" s="52" t="str">
        <x:v>2026 | gpt-5.2 | model_release | models-reasoning</x:v>
      </x:c>
    </x:row>
    <x:row r="610" ht="38" customHeight="1">
      <x:c r="A610" s="57" t="n">
        <x:v>46057</x:v>
      </x:c>
      <x:c r="B610" s="52" t="str">
        <x:v>model-release-notes</x:v>
      </x:c>
      <x:c r="C610" s="52" t="str">
        <x:v>Model Release Notes</x:v>
      </x:c>
      <x:c r="D610" s="52" t="str">
        <x:v>models_reasoning</x:v>
      </x:c>
      <x:c r="E610" s="52" t="str">
        <x:v>GPT-5.2</x:v>
      </x:c>
      <x:c r="F610" s="52" t="str">
        <x:v>model_update</x:v>
      </x:c>
      <x:c r="G610" s="52" t="str">
        <x:v>active</x:v>
      </x:c>
      <x:c r="H610" s="63" t="str">
        <x:v>Update on thinking time settings for GPT-5.2 Thinking in ChatGPT</x:v>
      </x:c>
      <x:c r="I610" s="63" t="str">
        <x:v>模型更新：GPT-5.2</x:v>
      </x:c>
      <x:c r="J610" s="63" t="str">
        <x:v>Jan 10, 2026: We lowered the Standard and Light thinking time as we observed users prefer faster responses. As part of this update, the Extended thinking setting for GPT-5.2 was unintentionally changed to be lower which we have now fixed. February 3, 2026:We made another small reduction to Standard thinking time based on testing.</x:v>
      </x:c>
      <x:c r="K610" s="63" t="str">
        <x:v>OpenAI 於 2026-02-04 為 GPT-5.2 更新模型或體驗；此節點依官方發布記錄整理，完整能力、適用方案與限制請見來源。</x:v>
      </x:c>
      <x:c r="L610" s="52" t="str">
        <x:v>https://help.openai.com/en/articles/9624314-model-release-notes</x:v>
      </x:c>
      <x:c r="M610" s="52" t="str">
        <x:v>help_center_release_notes</x:v>
      </x:c>
      <x:c r="N610" s="52" t="str">
        <x:v>parsed</x:v>
      </x:c>
      <x:c r="O610" s="52" t="str">
        <x:v>high</x:v>
      </x:c>
      <x:c r="P610" s="60" t="n">
        <x:v>0</x:v>
      </x:c>
      <x:c r="Q610" s="52" t="str"/>
    </x:row>
    <x:row r="611" ht="38" customHeight="1">
      <x:c r="A611" s="57" t="n">
        <x:v>46058</x:v>
      </x:c>
      <x:c r="B611" s="52" t="str">
        <x:v>codex-changelog</x:v>
      </x:c>
      <x:c r="C611" s="52" t="str">
        <x:v>Codex Changelog</x:v>
      </x:c>
      <x:c r="D611" s="52" t="str">
        <x:v>agents_research</x:v>
      </x:c>
      <x:c r="E611" s="52" t="str">
        <x:v>Codex</x:v>
      </x:c>
      <x:c r="F611" s="52" t="str">
        <x:v>model_update</x:v>
      </x:c>
      <x:c r="G611" s="52" t="str">
        <x:v>active</x:v>
      </x:c>
      <x:c r="H611" s="63" t="str">
        <x:v>Codex app 26.205</x:v>
      </x:c>
      <x:c r="I611" s="63" t="str">
        <x:v>Codex app 26.205 更新</x:v>
      </x:c>
      <x:c r="J611" s="63" t="str">
        <x:v>New features Support for GPT-5.3-Codex . Added mid-turn steering. Submit a message while Codex is working to direct its behavior. Attach or drop any file type. Bug fixes Fix flickering of the app.</x:v>
      </x:c>
      <x:c r="K611" s="63" t="str">
        <x:v>Codex Changelog 在 2026-02-05 記錄了Codex 編碼代理、可靠性與效能修正相關更新；完整版本與修正內容見官方英文摘要。</x:v>
      </x:c>
      <x:c r="L611" s="52" t="str">
        <x:v>https://developers.openai.com/codex/changelog/</x:v>
      </x:c>
      <x:c r="M611" s="52" t="str">
        <x:v>developer_changelog</x:v>
      </x:c>
      <x:c r="N611" s="52" t="str">
        <x:v>complete</x:v>
      </x:c>
      <x:c r="O611" s="52" t="str">
        <x:v>high</x:v>
      </x:c>
      <x:c r="P611" s="60" t="n">
        <x:v>2</x:v>
      </x:c>
      <x:c r="Q611" s="52" t="str">
        <x:v>codex | release-notes</x:v>
      </x:c>
    </x:row>
    <x:row r="612" ht="38" customHeight="1">
      <x:c r="A612" s="57" t="n">
        <x:v>46058</x:v>
      </x:c>
      <x:c r="B612" s="52" t="str">
        <x:v>model-release-notes</x:v>
      </x:c>
      <x:c r="C612" s="52" t="str">
        <x:v>Model Release Notes</x:v>
      </x:c>
      <x:c r="D612" s="52" t="str">
        <x:v>models_reasoning</x:v>
      </x:c>
      <x:c r="E612" s="52" t="str">
        <x:v>GPT-5.3-Codex</x:v>
      </x:c>
      <x:c r="F612" s="52" t="str">
        <x:v>model_release</x:v>
      </x:c>
      <x:c r="G612" s="52" t="str">
        <x:v>active</x:v>
      </x:c>
      <x:c r="H612" s="63" t="str">
        <x:v>Introducing GPT-5.3-Codex</x:v>
      </x:c>
      <x:c r="I612" s="63" t="str">
        <x:v>推出GPT-5.3-Codex</x:v>
      </x:c>
      <x:c r="J612" s="63" t="str">
        <x:v>Today, we launched GPT-5.3-Codex, our most capable agentic coding model yet. This model is the first that combines Codex + GPT-5 training stacks -- bringing together best-in-class code generation, reasoning, and general-purpose intelligence in one unified model. It’s ~25% faster,sets new highs on key benchmarks, and marks a step-change from code generation to a general-purpose coding agent you can actively steer while it works. Read…</x:v>
      </x:c>
      <x:c r="K612" s="63" t="str">
        <x:v>OpenAI 於 2026-02-05 為 GPT-5.3-Codex 發布模型；此節點依官方發布記錄整理，完整能力、適用方案與限制請見來源。</x:v>
      </x:c>
      <x:c r="L612" s="52" t="str">
        <x:v>https://help.openai.com/en/articles/9624314-model-release-notes</x:v>
      </x:c>
      <x:c r="M612" s="52" t="str">
        <x:v>help_center_release_notes</x:v>
      </x:c>
      <x:c r="N612" s="52" t="str">
        <x:v>parsed</x:v>
      </x:c>
      <x:c r="O612" s="52" t="str">
        <x:v>high</x:v>
      </x:c>
      <x:c r="P612" s="60" t="n">
        <x:v>0</x:v>
      </x:c>
      <x:c r="Q612" s="52" t="str"/>
    </x:row>
    <x:row r="613" ht="38" customHeight="1">
      <x:c r="A613" s="57" t="n">
        <x:v>46058</x:v>
      </x:c>
      <x:c r="B613" s="52" t="str">
        <x:v>codex-changelog</x:v>
      </x:c>
      <x:c r="C613" s="52" t="str">
        <x:v>Codex Changelog</x:v>
      </x:c>
      <x:c r="D613" s="52" t="str">
        <x:v>agents_research</x:v>
      </x:c>
      <x:c r="E613" s="52" t="str">
        <x:v>GPT-5.3-Codex</x:v>
      </x:c>
      <x:c r="F613" s="52" t="str">
        <x:v>launch</x:v>
      </x:c>
      <x:c r="G613" s="52" t="str">
        <x:v>active</x:v>
      </x:c>
      <x:c r="H613" s="63" t="str">
        <x:v>Introducing GPT-5.3-Codex</x:v>
      </x:c>
      <x:c r="I613" s="63" t="str">
        <x:v>推出 GPT-5.3-Codex</x:v>
      </x:c>
      <x:c r="J613" s="63" t="str">
        <x:v>Today we’re releasing GPT-5.3-Codex, the most capable agentic coding model to date for complex, real-world software engineering. GPT-5.3-Codex combines the frontier coding performance of GPT-5.2-Codex with stronger reasoning and professional knowledge capabilities, and runs 25% faster for Codex users. It’s also better at collaboration while the agent is working—delivering more frequent progress updates and responding to steering in r…</x:v>
      </x:c>
      <x:c r="K613" s="63" t="str">
        <x:v>Codex Changelog 在 2026-02-05 記錄了Codex 編碼代理、代理與工具調用、可靠性與效能修正相關更新；完整版本與修正內容見官方英文摘要。</x:v>
      </x:c>
      <x:c r="L613" s="52" t="str">
        <x:v>https://developers.openai.com/codex/changelog/</x:v>
      </x:c>
      <x:c r="M613" s="52" t="str">
        <x:v>developer_changelog</x:v>
      </x:c>
      <x:c r="N613" s="52" t="str">
        <x:v>complete</x:v>
      </x:c>
      <x:c r="O613" s="52" t="str">
        <x:v>high</x:v>
      </x:c>
      <x:c r="P613" s="60" t="n">
        <x:v>3</x:v>
      </x:c>
      <x:c r="Q613" s="52" t="str">
        <x:v>codex | release-notes</x:v>
      </x:c>
    </x:row>
    <x:row r="614" ht="38" customHeight="1">
      <x:c r="A614" s="57" t="n">
        <x:v>46058</x:v>
      </x:c>
      <x:c r="B614" s="52" t="str">
        <x:v>lane-introducing-gpt-5-3-codex</x:v>
      </x:c>
      <x:c r="C614" s="52" t="str">
        <x:v>Introducing GPT-5.3-Codex</x:v>
      </x:c>
      <x:c r="D614" s="52" t="str">
        <x:v>agents_research</x:v>
      </x:c>
      <x:c r="E614" s="52" t="str">
        <x:v>GPT-5.3-Codex</x:v>
      </x:c>
      <x:c r="F614" s="52" t="str">
        <x:v>model_release</x:v>
      </x:c>
      <x:c r="G614" s="52" t="str">
        <x:v>active</x:v>
      </x:c>
      <x:c r="H614" s="63" t="str">
        <x:v>Introducing GPT-5.3-Codex</x:v>
      </x:c>
      <x:c r="I614" s="63" t="str">
        <x:v>推出 GPT-5.3-Codex</x:v>
      </x:c>
      <x:c r="J614" s="63" t="str">
        <x:v>OpenAI released GPT-5.3-Codex across paid Codex surfaces, combining frontier agentic coding with broader reasoning and professional knowledge and allowing users to steer the model while it works.</x:v>
      </x:c>
      <x:c r="K614" s="63" t="str">
        <x:v>OpenAI 在付費的 Codex 平台上推出 GPT-5.3-Codex，將前沿的代理式程式開發與更廣泛的推理能力及專業知識相結合，並允許用戶在模型工作時進行引導。</x:v>
      </x:c>
      <x:c r="L614" s="52" t="str">
        <x:v>https://openai.com/index/introducing-gpt-5-3-codex/</x:v>
      </x:c>
      <x:c r="M614" s="52" t="str">
        <x:v>official_launch_post</x:v>
      </x:c>
      <x:c r="N614" s="52" t="str">
        <x:v>complete</x:v>
      </x:c>
      <x:c r="O614" s="52" t="str">
        <x:v>high</x:v>
      </x:c>
      <x:c r="P614" s="60" t="n">
        <x:v>5</x:v>
      </x:c>
      <x:c r="Q614" s="52" t="str">
        <x:v>2026 | agents-research | gpt-5.3-codex | model_release</x:v>
      </x:c>
    </x:row>
    <x:row r="615" ht="38" customHeight="1">
      <x:c r="A615" s="57" t="n">
        <x:v>46059</x:v>
      </x:c>
      <x:c r="B615" s="52" t="str">
        <x:v>codex-changelog</x:v>
      </x:c>
      <x:c r="C615" s="52" t="str">
        <x:v>Codex Changelog</x:v>
      </x:c>
      <x:c r="D615" s="52" t="str">
        <x:v>agents_research</x:v>
      </x:c>
      <x:c r="E615" s="52" t="str">
        <x:v>Codex</x:v>
      </x:c>
      <x:c r="F615" s="52" t="str">
        <x:v>model_update</x:v>
      </x:c>
      <x:c r="G615" s="52" t="str">
        <x:v>active</x:v>
      </x:c>
      <x:c r="H615" s="63" t="str">
        <x:v>Codex app 26.206</x:v>
      </x:c>
      <x:c r="I615" s="63" t="str">
        <x:v>Codex app 26.206 更新</x:v>
      </x:c>
      <x:c r="J615" s="63" t="str">
        <x:v>New features Added a file-reference action to reveal files directly in your OS file manager. Improvements and bug fixes Improved handling of large reviews by removing the overall diff-size cap in the review pane. Additional performance improvements and bug fixes.</x:v>
      </x:c>
      <x:c r="K615" s="63" t="str">
        <x:v>Codex Changelog 在 2026-02-06 記錄了Codex 編碼代理、可靠性與效能修正相關更新；完整版本與修正內容見官方英文摘要。</x:v>
      </x:c>
      <x:c r="L615" s="52" t="str">
        <x:v>https://developers.openai.com/codex/changelog/</x:v>
      </x:c>
      <x:c r="M615" s="52" t="str">
        <x:v>developer_changelog</x:v>
      </x:c>
      <x:c r="N615" s="52" t="str">
        <x:v>complete</x:v>
      </x:c>
      <x:c r="O615" s="52" t="str">
        <x:v>high</x:v>
      </x:c>
      <x:c r="P615" s="60" t="n">
        <x:v>2</x:v>
      </x:c>
      <x:c r="Q615" s="52" t="str">
        <x:v>codex | release-notes</x:v>
      </x:c>
    </x:row>
    <x:row r="616" ht="38" customHeight="1">
      <x:c r="A616" s="57" t="n">
        <x:v>46061</x:v>
      </x:c>
      <x:c r="B616" s="52" t="str">
        <x:v>codex-changelog</x:v>
      </x:c>
      <x:c r="C616" s="52" t="str">
        <x:v>Codex Changelog</x:v>
      </x:c>
      <x:c r="D616" s="52" t="str">
        <x:v>agents_research</x:v>
      </x:c>
      <x:c r="E616" s="52" t="str">
        <x:v>Codex</x:v>
      </x:c>
      <x:c r="F616" s="52" t="str">
        <x:v>platform</x:v>
      </x:c>
      <x:c r="G616" s="52" t="str">
        <x:v>active</x:v>
      </x:c>
      <x:c r="H616" s="63" t="str">
        <x:v>Codex app 26.208</x:v>
      </x:c>
      <x:c r="I616" s="63" t="str">
        <x:v>Codex app 26.208 更新</x:v>
      </x:c>
      <x:c r="J616" s="63" t="str">
        <x:v>New features Added MCP and personality actions to the command palette. Updated follow-up behavior to queue by default. Improvements and bug fixes Additional performance improvements and bug fixes.</x:v>
      </x:c>
      <x:c r="K616" s="63" t="str">
        <x:v>Codex Changelog 在 2026-02-08 記錄了Codex 編碼代理、可靠性與效能修正相關更新；完整版本與修正內容見官方英文摘要。</x:v>
      </x:c>
      <x:c r="L616" s="52" t="str">
        <x:v>https://developers.openai.com/codex/changelog/</x:v>
      </x:c>
      <x:c r="M616" s="52" t="str">
        <x:v>developer_changelog</x:v>
      </x:c>
      <x:c r="N616" s="52" t="str">
        <x:v>complete</x:v>
      </x:c>
      <x:c r="O616" s="52" t="str">
        <x:v>high</x:v>
      </x:c>
      <x:c r="P616" s="60" t="n">
        <x:v>3</x:v>
      </x:c>
      <x:c r="Q616" s="52" t="str">
        <x:v>codex | release-notes</x:v>
      </x:c>
    </x:row>
    <x:row r="617" ht="38" customHeight="1">
      <x:c r="A617" s="57" t="n">
        <x:v>46062</x:v>
      </x:c>
      <x:c r="B617" s="52" t="str">
        <x:v>lane-openai-api-changelog</x:v>
      </x:c>
      <x:c r="C617" s="52" t="str">
        <x:v>OpenAI API Changelog</x:v>
      </x:c>
      <x:c r="D617" s="52" t="str">
        <x:v>multimodal</x:v>
      </x:c>
      <x:c r="E617" s="52" t="str">
        <x:v>Image API</x:v>
      </x:c>
      <x:c r="F617" s="52" t="str">
        <x:v>feature</x:v>
      </x:c>
      <x:c r="G617" s="52" t="str">
        <x:v>active</x:v>
      </x:c>
      <x:c r="H617" s="63" t="str">
        <x:v>Added support for application/json requests on /v1/images/edits for GPT image models.</x:v>
      </x:c>
      <x:c r="I617" s="63" t="str">
        <x:v>功能更新：Image API</x:v>
      </x:c>
      <x:c r="J617" s="63" t="str">
        <x:v>Added support for application/json requests on /v1/images/edits for GPT image models. JSON requests use images (and optional mask ) with imageurl or fileid references instead of multipart uploads.</x:v>
      </x:c>
      <x:c r="K617" s="63" t="str">
        <x:v>新增：支援 application/json requests on /v1/images/edits for GPT image 模型。OpenAI 將此列為 2026-02-09 的功能；重點涉及圖像與影片，模型、端點與參數名稱依官方英文保留。</x:v>
      </x:c>
      <x:c r="L617" s="52" t="str">
        <x:v>https://developers.openai.com/api/docs/changelog</x:v>
      </x:c>
      <x:c r="M617" s="52" t="str">
        <x:v>official_changelog</x:v>
      </x:c>
      <x:c r="N617" s="52" t="str">
        <x:v>complete</x:v>
      </x:c>
      <x:c r="O617" s="52" t="str">
        <x:v>high</x:v>
      </x:c>
      <x:c r="P617" s="60" t="n">
        <x:v>2</x:v>
      </x:c>
      <x:c r="Q617" s="52" t="str">
        <x:v>feature | image-generation | multimodal</x:v>
      </x:c>
    </x:row>
    <x:row r="618" ht="38" customHeight="1">
      <x:c r="A618" s="57" t="n">
        <x:v>46062</x:v>
      </x:c>
      <x:c r="B618" s="52" t="str">
        <x:v>api-changelog</x:v>
      </x:c>
      <x:c r="C618" s="52" t="str">
        <x:v>OpenAI API Changelog</x:v>
      </x:c>
      <x:c r="D618" s="52" t="str">
        <x:v>multimodal</x:v>
      </x:c>
      <x:c r="E618" s="52" t="str">
        <x:v>ChatGPT Images</x:v>
      </x:c>
      <x:c r="F618" s="52" t="str">
        <x:v>feature</x:v>
      </x:c>
      <x:c r="G618" s="52" t="str">
        <x:v>active</x:v>
      </x:c>
      <x:c r="H618" s="63" t="str">
        <x:v>chatgpt-image-latest</x:v>
      </x:c>
      <x:c r="I618" s="63" t="str">
        <x:v>功能更新：chatgpt-image-latest</x:v>
      </x:c>
      <x:c r="J618" s="63" t="str">
        <x:v>chatgpt-image-latest Added support for application/json requests on /v1/images/edits for GPT image models. JSON requests use images (and optional mask) with imageurl or fileid references instead of multipart uploads.</x:v>
      </x:c>
      <x:c r="K618" s="63" t="str">
        <x:v>OpenAI 於 2026-02-09 為 ChatGPT Images 新增功能；此節點依官方發布記錄整理，完整能力、適用方案與限制請見來源。</x:v>
      </x:c>
      <x:c r="L618" s="52" t="str">
        <x:v>https://platform.openai.com/docs/changelog</x:v>
      </x:c>
      <x:c r="M618" s="52" t="str">
        <x:v>developer_changelog</x:v>
      </x:c>
      <x:c r="N618" s="52" t="str">
        <x:v>parsed</x:v>
      </x:c>
      <x:c r="O618" s="52" t="str">
        <x:v>high</x:v>
      </x:c>
      <x:c r="P618" s="60" t="n">
        <x:v>0</x:v>
      </x:c>
      <x:c r="Q618" s="52" t="str"/>
    </x:row>
    <x:row r="619" ht="38" customHeight="1">
      <x:c r="A619" s="57" t="n">
        <x:v>46062</x:v>
      </x:c>
      <x:c r="B619" s="52" t="str">
        <x:v>codex-changelog</x:v>
      </x:c>
      <x:c r="C619" s="52" t="str">
        <x:v>Codex Changelog</x:v>
      </x:c>
      <x:c r="D619" s="52" t="str">
        <x:v>agents_research</x:v>
      </x:c>
      <x:c r="E619" s="52" t="str">
        <x:v>GPT-5.3-Codex</x:v>
      </x:c>
      <x:c r="F619" s="52" t="str">
        <x:v>model_release</x:v>
      </x:c>
      <x:c r="G619" s="52" t="str">
        <x:v>active</x:v>
      </x:c>
      <x:c r="H619" s="63" t="str">
        <x:v>GPT-5.3-Codex in Cursor and VS Code</x:v>
      </x:c>
      <x:c r="I619" s="63" t="str">
        <x:v>模型發布：Codex</x:v>
      </x:c>
      <x:c r="J619" s="63" t="str">
        <x:v>Starting today, GPT-5.3-Codex is available natively in Cursor and VS Code. API access is starting with a small set of customers as part of a phased release. This is the first model treated as a high security capability under the Preparedness Framework. Safety controls will continue to scale, and API access will expand over the next few weeks.</x:v>
      </x:c>
      <x:c r="K619" s="63" t="str">
        <x:v>OpenAI 於 2026-02-09 為 GPT-5.3-Codex 發布模型；此節點依官方發布記錄整理，完整能力、適用方案與限制請見來源。</x:v>
      </x:c>
      <x:c r="L619" s="52" t="str">
        <x:v>https://developers.openai.com/codex/changelog/</x:v>
      </x:c>
      <x:c r="M619" s="52" t="str">
        <x:v>developer_changelog</x:v>
      </x:c>
      <x:c r="N619" s="52" t="str">
        <x:v>complete</x:v>
      </x:c>
      <x:c r="O619" s="52" t="str">
        <x:v>high</x:v>
      </x:c>
      <x:c r="P619" s="60" t="n">
        <x:v>2</x:v>
      </x:c>
      <x:c r="Q619" s="52" t="str">
        <x:v>codex | release-notes</x:v>
      </x:c>
    </x:row>
    <x:row r="620" ht="38" customHeight="1">
      <x:c r="A620" s="57" t="n">
        <x:v>46062</x:v>
      </x:c>
      <x:c r="B620" s="52" t="str">
        <x:v>chatgpt-release-notes</x:v>
      </x:c>
      <x:c r="C620" s="52" t="str">
        <x:v>ChatGPT — Release Notes</x:v>
      </x:c>
      <x:c r="D620" s="52" t="str">
        <x:v>search_commerce</x:v>
      </x:c>
      <x:c r="E620" s="52" t="str">
        <x:v>ChatGPT Enterprise &amp; Edu</x:v>
      </x:c>
      <x:c r="F620" s="52" t="str">
        <x:v>feature</x:v>
      </x:c>
      <x:c r="G620" s="52" t="str">
        <x:v>active</x:v>
      </x:c>
      <x:c r="H620" s="63" t="str">
        <x:v>Testing ads in ChatGPT (Free, Go)</x:v>
      </x:c>
      <x:c r="I620" s="63" t="str">
        <x:v>在 ChatGPT (Free, Go) 測試廣告</x:v>
      </x:c>
      <x:c r="J620" s="63" t="str">
        <x:v>We’re beginning to roll out a test for ads in ChatGPT in the U.S. for logged-in adults on the Free and Go tiers. Plus, Pro, Business, Enterprise, and Education plans do not have ads. The test will be a subset of users to start. We will expand over the coming weeks as we learn from this test. ChatGPT’s answers are generated independently from advertising. Answers are optimized based on what’s most helpful to you. When you see an ad, t…</x:v>
      </x:c>
      <x:c r="K620" s="63" t="str">
        <x:v>我們開始針對美國地區使用 Free 和 Go 層級且已登入的成年使用者，對 ChatGPT 廣告進行測試。Plus、Business、Enterprise 和 Education 方案則不含廣告。測試初期將針對部分使用者開放。隨著測試進展，我們將在未來幾週內擴大測試範圍。ChatGPT 的答案生成與廣告內容無關。…</x:v>
      </x:c>
      <x:c r="L620" s="52" t="str">
        <x:v>https://help.openai.com/en/articles/6825453-chatgpt-release-notes</x:v>
      </x:c>
      <x:c r="M620" s="52" t="str">
        <x:v>help_center_release_notes</x:v>
      </x:c>
      <x:c r="N620" s="52" t="str">
        <x:v>complete</x:v>
      </x:c>
      <x:c r="O620" s="52" t="str">
        <x:v>high</x:v>
      </x:c>
      <x:c r="P620" s="60" t="n">
        <x:v>3</x:v>
      </x:c>
      <x:c r="Q620" s="52" t="str">
        <x:v>2026 | chatgpt | feature | search-commerce</x:v>
      </x:c>
    </x:row>
    <x:row r="621" ht="38" customHeight="1">
      <x:c r="A621" s="57" t="n">
        <x:v>46063</x:v>
      </x:c>
      <x:c r="B621" s="52" t="str">
        <x:v>lane-openai-api-changelog</x:v>
      </x:c>
      <x:c r="C621" s="52" t="str">
        <x:v>OpenAI API Changelog</x:v>
      </x:c>
      <x:c r="D621" s="52" t="str">
        <x:v>multimodal</x:v>
      </x:c>
      <x:c r="E621" s="52" t="str">
        <x:v>Image API</x:v>
      </x:c>
      <x:c r="F621" s="52" t="str">
        <x:v>platform</x:v>
      </x:c>
      <x:c r="G621" s="52" t="str">
        <x:v>active</x:v>
      </x:c>
      <x:c r="H621" s="63" t="str">
        <x:v>Batch API is now supported for GPT Image models</x:v>
      </x:c>
      <x:c r="I621" s="63" t="str">
        <x:v>平台更新：Image API</x:v>
      </x:c>
      <x:c r="J621" s="63" t="str">
        <x:v>Batch API is now supported for GPT Image models: gpt-image-1.5 , chatgpt-image-latest , gpt-image-1 , and gpt-image-1-mini .</x:v>
      </x:c>
      <x:c r="K621" s="63" t="str">
        <x:v>API 更新：Batch API is now supported for GPT Image 模型: gpt-image-1.5 , chatgpt-image-latest , gpt-image-1 , and gpt-image-1-mini。OpenAI 將此列為 2026-02-10 的功能；重點涉及圖像與影片，模型、端點與參數名稱依官方英文保留。</x:v>
      </x:c>
      <x:c r="L621" s="52" t="str">
        <x:v>https://developers.openai.com/api/docs/changelog</x:v>
      </x:c>
      <x:c r="M621" s="52" t="str">
        <x:v>official_changelog</x:v>
      </x:c>
      <x:c r="N621" s="52" t="str">
        <x:v>complete</x:v>
      </x:c>
      <x:c r="O621" s="52" t="str">
        <x:v>high</x:v>
      </x:c>
      <x:c r="P621" s="60" t="n">
        <x:v>4</x:v>
      </x:c>
      <x:c r="Q621" s="52" t="str">
        <x:v>feature | image-generation | multimodal</x:v>
      </x:c>
    </x:row>
    <x:row r="622" ht="38" customHeight="1">
      <x:c r="A622" s="57" t="n">
        <x:v>46063</x:v>
      </x:c>
      <x:c r="B622" s="52" t="str">
        <x:v>api-changelog</x:v>
      </x:c>
      <x:c r="C622" s="52" t="str">
        <x:v>OpenAI API Changelog</x:v>
      </x:c>
      <x:c r="D622" s="52" t="str">
        <x:v>multimodal</x:v>
      </x:c>
      <x:c r="E622" s="52" t="str">
        <x:v>OpenAI API</x:v>
      </x:c>
      <x:c r="F622" s="52" t="str">
        <x:v>platform</x:v>
      </x:c>
      <x:c r="G622" s="52" t="str">
        <x:v>active</x:v>
      </x:c>
      <x:c r="H622" s="63" t="str">
        <x:v>chatgpt-image-latest Batch API is now supported for GPT Image models</x:v>
      </x:c>
      <x:c r="I622" s="63" t="str">
        <x:v>平台更新：OpenAI API</x:v>
      </x:c>
      <x:c r="J622" s="63" t="str">
        <x:v>chatgpt-image-latest Batch API is now supported for GPT Image models: gpt-image-1.5, chatgpt-image-latest, gpt-image-1, and gpt-image-1-mini.</x:v>
      </x:c>
      <x:c r="K622" s="63" t="str">
        <x:v>OpenAI 於 2026-02-10 為 OpenAI API 更新開發者平台；此節點依官方發布記錄整理，完整能力、適用方案與限制請見來源。</x:v>
      </x:c>
      <x:c r="L622" s="52" t="str">
        <x:v>https://platform.openai.com/docs/changelog</x:v>
      </x:c>
      <x:c r="M622" s="52" t="str">
        <x:v>developer_changelog</x:v>
      </x:c>
      <x:c r="N622" s="52" t="str">
        <x:v>parsed</x:v>
      </x:c>
      <x:c r="O622" s="52" t="str">
        <x:v>high</x:v>
      </x:c>
      <x:c r="P622" s="60" t="n">
        <x:v>0</x:v>
      </x:c>
      <x:c r="Q622" s="52" t="str"/>
    </x:row>
    <x:row r="623" ht="38" customHeight="1">
      <x:c r="A623" s="57" t="n">
        <x:v>46063</x:v>
      </x:c>
      <x:c r="B623" s="52" t="str">
        <x:v>codex-changelog</x:v>
      </x:c>
      <x:c r="C623" s="52" t="str">
        <x:v>Codex Changelog</x:v>
      </x:c>
      <x:c r="D623" s="52" t="str">
        <x:v>agents_research</x:v>
      </x:c>
      <x:c r="E623" s="52" t="str">
        <x:v>Codex</x:v>
      </x:c>
      <x:c r="F623" s="52" t="str">
        <x:v>pricing_quota</x:v>
      </x:c>
      <x:c r="G623" s="52" t="str">
        <x:v>active</x:v>
      </x:c>
      <x:c r="H623" s="63" t="str">
        <x:v>Codex app 26.210</x:v>
      </x:c>
      <x:c r="I623" s="63" t="str">
        <x:v>Codex app 26.210 更新</x:v>
      </x:c>
      <x:c r="J623" s="63" t="str">
        <x:v>New features Added branch search in the branch picker. Added clearer guidance for entering plan mode when you type plan in the composer. Added support for parallel approvals. Improvements and bug fixes Additional performance improvements and bug fixes.</x:v>
      </x:c>
      <x:c r="K623" s="63" t="str">
        <x:v>Codex Changelog 在 2026-02-10 記錄了Codex 編碼代理、可靠性與效能修正相關更新；完整版本與修正內容見官方英文摘要。</x:v>
      </x:c>
      <x:c r="L623" s="52" t="str">
        <x:v>https://developers.openai.com/codex/changelog/</x:v>
      </x:c>
      <x:c r="M623" s="52" t="str">
        <x:v>developer_changelog</x:v>
      </x:c>
      <x:c r="N623" s="52" t="str">
        <x:v>complete</x:v>
      </x:c>
      <x:c r="O623" s="52" t="str">
        <x:v>high</x:v>
      </x:c>
      <x:c r="P623" s="60" t="n">
        <x:v>2</x:v>
      </x:c>
      <x:c r="Q623" s="52" t="str">
        <x:v>codex | release-notes</x:v>
      </x:c>
    </x:row>
    <x:row r="624" ht="38" customHeight="1">
      <x:c r="A624" s="57" t="n">
        <x:v>46063</x:v>
      </x:c>
      <x:c r="B624" s="52" t="str">
        <x:v>chatgpt-release-notes</x:v>
      </x:c>
      <x:c r="C624" s="52" t="str">
        <x:v>ChatGPT — Release Notes</x:v>
      </x:c>
      <x:c r="D624" s="52" t="str">
        <x:v>models_reasoning</x:v>
      </x:c>
      <x:c r="E624" s="52" t="str">
        <x:v>GPT-5.2</x:v>
      </x:c>
      <x:c r="F624" s="52" t="str">
        <x:v>model_update</x:v>
      </x:c>
      <x:c r="G624" s="52" t="str">
        <x:v>active</x:v>
      </x:c>
      <x:c r="H624" s="63" t="str">
        <x:v>GPT-5.2 Instant Update</x:v>
      </x:c>
      <x:c r="I624" s="63" t="str">
        <x:v>GPT-5.2 Instant 更新</x:v>
      </x:c>
      <x:c r="J624" s="63" t="str">
        <x:v>We’re making an update to GPT-5.2 Instant in ChatGPT and the API that improves response style and quality. Users should notice responses that are more measured and grounded in tone, in a way that’s more contextually appropriate to the conversation. The model also tends to output clearer, more relevant answers to advice-seeking and how-to questions, more reliably placing the most important info upfront.</x:v>
      </x:c>
      <x:c r="K624" s="63" t="str">
        <x:v>我們對 ChatGPT 和 API 中的 GPT-5.2 Instant 進行了更新，以提升回應風格與品質。使用者將會發現回應的語氣更為審慎且紮實，並能更適當地貼合對話情境。…</x:v>
      </x:c>
      <x:c r="L624" s="52" t="str">
        <x:v>https://help.openai.com/en/articles/6825453-chatgpt-release-notes</x:v>
      </x:c>
      <x:c r="M624" s="52" t="str">
        <x:v>help_center_release_notes</x:v>
      </x:c>
      <x:c r="N624" s="52" t="str">
        <x:v>complete</x:v>
      </x:c>
      <x:c r="O624" s="52" t="str">
        <x:v>high</x:v>
      </x:c>
      <x:c r="P624" s="60" t="n">
        <x:v>3</x:v>
      </x:c>
      <x:c r="Q624" s="52" t="str">
        <x:v>2026 | gpt-5.2 | model_update | models-reasoning</x:v>
      </x:c>
    </x:row>
    <x:row r="625" ht="38" customHeight="1">
      <x:c r="A625" s="57" t="n">
        <x:v>46063</x:v>
      </x:c>
      <x:c r="B625" s="52" t="str">
        <x:v>model-release-notes</x:v>
      </x:c>
      <x:c r="C625" s="52" t="str">
        <x:v>Model Release Notes</x:v>
      </x:c>
      <x:c r="D625" s="52" t="str">
        <x:v>models_reasoning</x:v>
      </x:c>
      <x:c r="E625" s="52" t="str">
        <x:v>GPT-5.2</x:v>
      </x:c>
      <x:c r="F625" s="52" t="str">
        <x:v>platform</x:v>
      </x:c>
      <x:c r="G625" s="52" t="str">
        <x:v>active</x:v>
      </x:c>
      <x:c r="H625" s="63" t="str">
        <x:v>GPT-5.2 Instant Update</x:v>
      </x:c>
      <x:c r="I625" s="63" t="str">
        <x:v>平台更新：GPT-5.2 Instant Update</x:v>
      </x:c>
      <x:c r="J625" s="63" t="str">
        <x:v>We’re making an update to GPT-5.2 Instant in ChatGPT and the API that improves response style and quality. Users should notice responses that are more measured and grounded in tone, in a way that’s more contextually appropriate to the conversation. The model also tends to output clearer, more relevant answers to advice-seeking and how-to questions, more reliably placing the most important info upfront.</x:v>
      </x:c>
      <x:c r="K625" s="63" t="str">
        <x:v>OpenAI 於 2026-02-10 為 GPT-5.2 更新開發者平台；此節點依官方發布記錄整理，完整能力、適用方案與限制請見來源。</x:v>
      </x:c>
      <x:c r="L625" s="52" t="str">
        <x:v>https://help.openai.com/en/articles/9624314-model-release-notes</x:v>
      </x:c>
      <x:c r="M625" s="52" t="str">
        <x:v>help_center_release_notes</x:v>
      </x:c>
      <x:c r="N625" s="52" t="str">
        <x:v>parsed</x:v>
      </x:c>
      <x:c r="O625" s="52" t="str">
        <x:v>high</x:v>
      </x:c>
      <x:c r="P625" s="60" t="n">
        <x:v>0</x:v>
      </x:c>
      <x:c r="Q625" s="52" t="str"/>
    </x:row>
    <x:row r="626" ht="38" customHeight="1">
      <x:c r="A626" s="57" t="n">
        <x:v>46063</x:v>
      </x:c>
      <x:c r="B626" s="52" t="str">
        <x:v>api-changelog</x:v>
      </x:c>
      <x:c r="C626" s="52" t="str">
        <x:v>OpenAI API Changelog</x:v>
      </x:c>
      <x:c r="D626" s="52" t="str">
        <x:v>models_reasoning</x:v>
      </x:c>
      <x:c r="E626" s="52" t="str">
        <x:v>GPT-5.2</x:v>
      </x:c>
      <x:c r="F626" s="52" t="str">
        <x:v>model_update</x:v>
      </x:c>
      <x:c r="G626" s="52" t="str">
        <x:v>active</x:v>
      </x:c>
      <x:c r="H626" s="63" t="str">
        <x:v>gpt-5.2-chat-latest</x:v>
      </x:c>
      <x:c r="I626" s="63" t="str">
        <x:v>模型更新：gpt-5.2-chat-latest</x:v>
      </x:c>
      <x:c r="J626" s="63" t="str">
        <x:v>gpt-5.2-chat-latest Updated the gpt-5.2-chat-latest slug to point to the latest model currently used in ChatGPT.</x:v>
      </x:c>
      <x:c r="K626" s="63" t="str">
        <x:v>OpenAI 於 2026-02-10 為 GPT-5.2 更新模型或體驗；此節點依官方發布記錄整理，完整能力、適用方案與限制請見來源。</x:v>
      </x:c>
      <x:c r="L626" s="52" t="str">
        <x:v>https://platform.openai.com/docs/changelog</x:v>
      </x:c>
      <x:c r="M626" s="52" t="str">
        <x:v>developer_changelog</x:v>
      </x:c>
      <x:c r="N626" s="52" t="str">
        <x:v>parsed</x:v>
      </x:c>
      <x:c r="O626" s="52" t="str">
        <x:v>high</x:v>
      </x:c>
      <x:c r="P626" s="60" t="n">
        <x:v>0</x:v>
      </x:c>
      <x:c r="Q626" s="52" t="str"/>
    </x:row>
    <x:row r="627" ht="38" customHeight="1">
      <x:c r="A627" s="57" t="n">
        <x:v>46063</x:v>
      </x:c>
      <x:c r="B627" s="52" t="str">
        <x:v>api-changelog</x:v>
      </x:c>
      <x:c r="C627" s="52" t="str">
        <x:v>OpenAI API Changelog</x:v>
      </x:c>
      <x:c r="D627" s="52" t="str">
        <x:v>developer_platform</x:v>
      </x:c>
      <x:c r="E627" s="52" t="str">
        <x:v>OpenAI API</x:v>
      </x:c>
      <x:c r="F627" s="52" t="str">
        <x:v>launch</x:v>
      </x:c>
      <x:c r="G627" s="52" t="str">
        <x:v>active</x:v>
      </x:c>
      <x:c r="H627" s="63" t="str">
        <x:v>Launched a new Hosted Shell tool, as well as support for networking in containers.</x:v>
      </x:c>
      <x:c r="I627" s="63" t="str">
        <x:v>推出：OpenAI API</x:v>
      </x:c>
      <x:c r="J627" s="63" t="str">
        <x:v>Launched a new Hosted Shell tool, as well as support for networking in containers.</x:v>
      </x:c>
      <x:c r="K627" s="63" t="str">
        <x:v>OpenAI 於 2026-02-10 為 OpenAI API 推出新產品或能力；此節點依官方發布記錄整理，完整能力、適用方案與限制請見來源。</x:v>
      </x:c>
      <x:c r="L627" s="52" t="str">
        <x:v>https://platform.openai.com/docs/changelog</x:v>
      </x:c>
      <x:c r="M627" s="52" t="str">
        <x:v>developer_changelog</x:v>
      </x:c>
      <x:c r="N627" s="52" t="str">
        <x:v>parsed</x:v>
      </x:c>
      <x:c r="O627" s="52" t="str">
        <x:v>high</x:v>
      </x:c>
      <x:c r="P627" s="60" t="n">
        <x:v>0</x:v>
      </x:c>
      <x:c r="Q627" s="52" t="str"/>
    </x:row>
    <x:row r="628" ht="38" customHeight="1">
      <x:c r="A628" s="57" t="n">
        <x:v>46063</x:v>
      </x:c>
      <x:c r="B628" s="52" t="str">
        <x:v>lane-openai-api-changelog</x:v>
      </x:c>
      <x:c r="C628" s="52" t="str">
        <x:v>OpenAI API Changelog</x:v>
      </x:c>
      <x:c r="D628" s="52" t="str">
        <x:v>developer_platform</x:v>
      </x:c>
      <x:c r="E628" s="52" t="str">
        <x:v>OpenAI API Platform</x:v>
      </x:c>
      <x:c r="F628" s="52" t="str">
        <x:v>launch</x:v>
      </x:c>
      <x:c r="G628" s="52" t="str">
        <x:v>active</x:v>
      </x:c>
      <x:c r="H628" s="63" t="str">
        <x:v>Launched a new Hosted Shell tool, as well as support for networking in containers.</x:v>
      </x:c>
      <x:c r="I628" s="63" t="str">
        <x:v>Responses API 推出 Hosted Shell 與容器網路</x:v>
      </x:c>
      <x:c r="J628" s="63" t="str">
        <x:v>Launched a new Hosted Shell tool, as well as support for networking in containers.</x:v>
      </x:c>
      <x:c r="K628" s="63" t="str">
        <x:v>Responses API 推出 Hosted Shell 與容器網路。OpenAI 將此列為 2026-02-10 的功能；重點涉及代理與工具調用，模型、端點與參數名稱依官方英文保留。</x:v>
      </x:c>
      <x:c r="L628" s="52" t="str">
        <x:v>https://developers.openai.com/api/docs/changelog</x:v>
      </x:c>
      <x:c r="M628" s="52" t="str">
        <x:v>official_changelog</x:v>
      </x:c>
      <x:c r="N628" s="52" t="str">
        <x:v>complete</x:v>
      </x:c>
      <x:c r="O628" s="52" t="str">
        <x:v>high</x:v>
      </x:c>
      <x:c r="P628" s="60" t="n">
        <x:v>3</x:v>
      </x:c>
      <x:c r="Q628" s="52" t="str">
        <x:v>api-platform | feature</x:v>
      </x:c>
    </x:row>
    <x:row r="629" ht="38" customHeight="1">
      <x:c r="A629" s="57" t="n">
        <x:v>46063</x:v>
      </x:c>
      <x:c r="B629" s="52" t="str">
        <x:v>lane-openai-api-changelog</x:v>
      </x:c>
      <x:c r="C629" s="52" t="str">
        <x:v>OpenAI API Changelog</x:v>
      </x:c>
      <x:c r="D629" s="52" t="str">
        <x:v>agents_research</x:v>
      </x:c>
      <x:c r="E629" s="52" t="str">
        <x:v>Responses API</x:v>
      </x:c>
      <x:c r="F629" s="52" t="str">
        <x:v>launch</x:v>
      </x:c>
      <x:c r="G629" s="52" t="str">
        <x:v>active</x:v>
      </x:c>
      <x:c r="H629" s="63" t="str">
        <x:v>Launched server-side compaction in the Responses API.</x:v>
      </x:c>
      <x:c r="I629" s="63" t="str">
        <x:v>Responses API 推出伺服器端上下文壓縮</x:v>
      </x:c>
      <x:c r="J629" s="63" t="str">
        <x:v>Launched server-side compaction in the Responses API.</x:v>
      </x:c>
      <x:c r="K629" s="63" t="str">
        <x:v>Responses API 推出伺服器端上下文壓縮。OpenAI 將此列為 2026-02-10 的功能；重點涉及代理與工具調用，模型、端點與參數名稱依官方英文保留。</x:v>
      </x:c>
      <x:c r="L629" s="52" t="str">
        <x:v>https://developers.openai.com/api/docs/changelog</x:v>
      </x:c>
      <x:c r="M629" s="52" t="str">
        <x:v>official_changelog</x:v>
      </x:c>
      <x:c r="N629" s="52" t="str">
        <x:v>complete</x:v>
      </x:c>
      <x:c r="O629" s="52" t="str">
        <x:v>high</x:v>
      </x:c>
      <x:c r="P629" s="60" t="n">
        <x:v>3</x:v>
      </x:c>
      <x:c r="Q629" s="52" t="str">
        <x:v>agents | feature | responses-api</x:v>
      </x:c>
    </x:row>
    <x:row r="630" ht="38" customHeight="1">
      <x:c r="A630" s="57" t="n">
        <x:v>46063</x:v>
      </x:c>
      <x:c r="B630" s="52" t="str">
        <x:v>api-changelog</x:v>
      </x:c>
      <x:c r="C630" s="52" t="str">
        <x:v>OpenAI API Changelog</x:v>
      </x:c>
      <x:c r="D630" s="52" t="str">
        <x:v>developer_platform</x:v>
      </x:c>
      <x:c r="E630" s="52" t="str">
        <x:v>Responses API</x:v>
      </x:c>
      <x:c r="F630" s="52" t="str">
        <x:v>launch</x:v>
      </x:c>
      <x:c r="G630" s="52" t="str">
        <x:v>active</x:v>
      </x:c>
      <x:c r="H630" s="63" t="str">
        <x:v>Launched support for Skills in the Responses API.</x:v>
      </x:c>
      <x:c r="I630" s="63" t="str">
        <x:v>推出：Responses API</x:v>
      </x:c>
      <x:c r="J630" s="63" t="str">
        <x:v>Launched support for Skills in the Responses API. We support Skills across both local execution and hosted container-based execution.</x:v>
      </x:c>
      <x:c r="K630" s="63" t="str">
        <x:v>OpenAI 於 2026-02-10 為 Responses API 推出新產品或能力；此節點依官方發布記錄整理，完整能力、適用方案與限制請見來源。</x:v>
      </x:c>
      <x:c r="L630" s="52" t="str">
        <x:v>https://platform.openai.com/docs/changelog</x:v>
      </x:c>
      <x:c r="M630" s="52" t="str">
        <x:v>developer_changelog</x:v>
      </x:c>
      <x:c r="N630" s="52" t="str">
        <x:v>parsed</x:v>
      </x:c>
      <x:c r="O630" s="52" t="str">
        <x:v>high</x:v>
      </x:c>
      <x:c r="P630" s="60" t="n">
        <x:v>0</x:v>
      </x:c>
      <x:c r="Q630" s="52" t="str"/>
    </x:row>
    <x:row r="631" ht="38" customHeight="1">
      <x:c r="A631" s="57" t="n">
        <x:v>46063</x:v>
      </x:c>
      <x:c r="B631" s="52" t="str">
        <x:v>lane-openai-api-changelog</x:v>
      </x:c>
      <x:c r="C631" s="52" t="str">
        <x:v>OpenAI API Changelog</x:v>
      </x:c>
      <x:c r="D631" s="52" t="str">
        <x:v>agents_research</x:v>
      </x:c>
      <x:c r="E631" s="52" t="str">
        <x:v>Responses API</x:v>
      </x:c>
      <x:c r="F631" s="52" t="str">
        <x:v>launch</x:v>
      </x:c>
      <x:c r="G631" s="52" t="str">
        <x:v>active</x:v>
      </x:c>
      <x:c r="H631" s="63" t="str">
        <x:v>Launched support for Skills in the Responses API.</x:v>
      </x:c>
      <x:c r="I631" s="63" t="str">
        <x:v>Responses API 推出 Skills 支援</x:v>
      </x:c>
      <x:c r="J631" s="63" t="str">
        <x:v>Launched support for Skills in the Responses API. We support Skills across both local execution and hosted container-based execution.</x:v>
      </x:c>
      <x:c r="K631" s="63" t="str">
        <x:v>Responses API 推出 Skills 支援。OpenAI 將此列為 2026-02-10 的功能；重點涉及代理與工具調用，模型、端點與參數名稱依官方英文保留。</x:v>
      </x:c>
      <x:c r="L631" s="52" t="str">
        <x:v>https://developers.openai.com/api/docs/changelog</x:v>
      </x:c>
      <x:c r="M631" s="52" t="str">
        <x:v>official_changelog</x:v>
      </x:c>
      <x:c r="N631" s="52" t="str">
        <x:v>complete</x:v>
      </x:c>
      <x:c r="O631" s="52" t="str">
        <x:v>high</x:v>
      </x:c>
      <x:c r="P631" s="60" t="n">
        <x:v>3</x:v>
      </x:c>
      <x:c r="Q631" s="52" t="str">
        <x:v>agents | feature | responses-api</x:v>
      </x:c>
    </x:row>
    <x:row r="632" ht="38" customHeight="1">
      <x:c r="A632" s="57" t="n">
        <x:v>46063</x:v>
      </x:c>
      <x:c r="B632" s="52" t="str">
        <x:v>lane-openai-api-changelog</x:v>
      </x:c>
      <x:c r="C632" s="52" t="str">
        <x:v>OpenAI API Changelog</x:v>
      </x:c>
      <x:c r="D632" s="52" t="str">
        <x:v>models_reasoning</x:v>
      </x:c>
      <x:c r="E632" s="52" t="str">
        <x:v>Model Platform</x:v>
      </x:c>
      <x:c r="F632" s="52" t="str">
        <x:v>model_update</x:v>
      </x:c>
      <x:c r="G632" s="52" t="str">
        <x:v>active</x:v>
      </x:c>
      <x:c r="H632" s="63" t="str">
        <x:v>Updated the gpt-5.2-chat-latest slug to point to the latest model currently used in ChatGPT.</x:v>
      </x:c>
      <x:c r="I632" s="63" t="str">
        <x:v>模型更新：Model Platform</x:v>
      </x:c>
      <x:c r="J632" s="63" t="str">
        <x:v>Updated the gpt-5.2-chat-latest slug to point to the latest model currently used in ChatGPT.</x:v>
      </x:c>
      <x:c r="K632" s="63" t="str">
        <x:v>更新：gpt-5.2-chat-latest slug to point to latest 模型 currently used in ChatGPT。OpenAI 將此列為 2026-02-10 的更新；重點涉及平台功能與可用性，模型、端點與參數名稱依官方英文保留。</x:v>
      </x:c>
      <x:c r="L632" s="52" t="str">
        <x:v>https://developers.openai.com/api/docs/changelog</x:v>
      </x:c>
      <x:c r="M632" s="52" t="str">
        <x:v>official_changelog</x:v>
      </x:c>
      <x:c r="N632" s="52" t="str">
        <x:v>complete</x:v>
      </x:c>
      <x:c r="O632" s="52" t="str">
        <x:v>high</x:v>
      </x:c>
      <x:c r="P632" s="60" t="n">
        <x:v>2</x:v>
      </x:c>
      <x:c r="Q632" s="52" t="str">
        <x:v>api | models | update</x:v>
      </x:c>
    </x:row>
    <x:row r="633" ht="38" customHeight="1">
      <x:c r="A633" s="57" t="n">
        <x:v>46063</x:v>
      </x:c>
      <x:c r="B633" s="52" t="str">
        <x:v>chatgpt-release-notes</x:v>
      </x:c>
      <x:c r="C633" s="52" t="str">
        <x:v>ChatGPT — Release Notes</x:v>
      </x:c>
      <x:c r="D633" s="52" t="str">
        <x:v>agents_research</x:v>
      </x:c>
      <x:c r="E633" s="52" t="str">
        <x:v>deep research</x:v>
      </x:c>
      <x:c r="F633" s="52" t="str">
        <x:v>feature</x:v>
      </x:c>
      <x:c r="G633" s="52" t="str">
        <x:v>active</x:v>
      </x:c>
      <x:c r="H633" s="63" t="str">
        <x:v>Updates to deep research</x:v>
      </x:c>
      <x:c r="I633" s="63" t="str">
        <x:v>深度研究功能更新</x:v>
      </x:c>
      <x:c r="J633" s="63" t="str">
        <x:v>We’re introducing improvements to deep research in ChatGPT to help produce more accurate, credible reports with greater control. You can now focus research on specific websites and a larger collection of connected apps as trusted sources. A redesigned sidebar entry point and fullscreen report view make it easier to start, review, and manage research in one place. Create and edit a research plan before it begins, and track progress wi…</x:v>
      </x:c>
      <x:c r="K633" s="63" t="str">
        <x:v>我們為 ChatGPT 中的深度研究功能推出各項改進，旨在協助產出更準確、可信且具備更高控制度的報告。您現在可以將研究聚焦於特定網站，並將更多已連結的應用程式作為受信任的資訊來源。…</x:v>
      </x:c>
      <x:c r="L633" s="52" t="str">
        <x:v>https://help.openai.com/en/articles/6825453-chatgpt-release-notes</x:v>
      </x:c>
      <x:c r="M633" s="52" t="str">
        <x:v>help_center_release_notes</x:v>
      </x:c>
      <x:c r="N633" s="52" t="str">
        <x:v>complete</x:v>
      </x:c>
      <x:c r="O633" s="52" t="str">
        <x:v>high</x:v>
      </x:c>
      <x:c r="P633" s="60" t="n">
        <x:v>3</x:v>
      </x:c>
      <x:c r="Q633" s="52" t="str">
        <x:v>2026 | agents-research | deep-research | feature</x:v>
      </x:c>
    </x:row>
    <x:row r="634" ht="38" customHeight="1">
      <x:c r="A634" s="57" t="n">
        <x:v>46064</x:v>
      </x:c>
      <x:c r="B634" s="52" t="str">
        <x:v>atlas-release-notes</x:v>
      </x:c>
      <x:c r="C634" s="52" t="str">
        <x:v>ChatGPT Atlas — Release Notes</x:v>
      </x:c>
      <x:c r="D634" s="52" t="str">
        <x:v>clients_surfaces</x:v>
      </x:c>
      <x:c r="E634" s="52" t="str">
        <x:v>ChatGPT Atlas</x:v>
      </x:c>
      <x:c r="F634" s="52" t="str">
        <x:v>feature</x:v>
      </x:c>
      <x:c r="G634" s="52" t="str">
        <x:v>active</x:v>
      </x:c>
      <x:c r="H634" s="63" t="str">
        <x:v>Atlas smart Ask ChatGPT actions</x:v>
      </x:c>
      <x:c r="I634" s="63" t="str">
        <x:v>Atlas 智慧 Ask ChatGPT 操作</x:v>
      </x:c>
      <x:c r="J634" s="63" t="str">
        <x:v>Atlas added proactive quick actions and more relevant suggestions for Ask ChatGPT, plus fullscreen, incognito, tab and bookmark fixes.</x:v>
      </x:c>
      <x:c r="K634" s="63" t="str">
        <x:v>Atlas 為 Ask ChatGPT 新增主動快速操作與更相關的建議，並修正全螢幕、無痕、分頁與書籤問題。</x:v>
      </x:c>
      <x:c r="L634" s="52" t="str">
        <x:v>https://help.openai.com/en/articles/12591856-chatgpt-atlas-release-notes</x:v>
      </x:c>
      <x:c r="M634" s="52" t="str">
        <x:v>help_center_release_notes</x:v>
      </x:c>
      <x:c r="N634" s="52" t="str">
        <x:v>parsed</x:v>
      </x:c>
      <x:c r="O634" s="52" t="str">
        <x:v>high</x:v>
      </x:c>
      <x:c r="P634" s="60" t="n">
        <x:v>3</x:v>
      </x:c>
      <x:c r="Q634" s="52" t="str">
        <x:v>ask-chatgpt | atlas</x:v>
      </x:c>
    </x:row>
    <x:row r="635" ht="38" customHeight="1">
      <x:c r="A635" s="57" t="n">
        <x:v>46064</x:v>
      </x:c>
      <x:c r="B635" s="52" t="str">
        <x:v>atlas-release-notes</x:v>
      </x:c>
      <x:c r="C635" s="52" t="str">
        <x:v>ChatGPT Atlas — Release Notes</x:v>
      </x:c>
      <x:c r="D635" s="52" t="str">
        <x:v>clients_surfaces</x:v>
      </x:c>
      <x:c r="E635" s="52" t="str">
        <x:v>ChatGPT Windows</x:v>
      </x:c>
      <x:c r="F635" s="52" t="str">
        <x:v>model_update</x:v>
      </x:c>
      <x:c r="G635" s="52" t="str">
        <x:v>active</x:v>
      </x:c>
      <x:c r="H635" s="63" t="str">
        <x:v>Bug fixes</x:v>
      </x:c>
      <x:c r="I635" s="63" t="str">
        <x:v>模型更新：Bug fixes</x:v>
      </x:c>
      <x:c r="J635" s="63" t="str">
        <x:v>Fixed a fullscreen mode issue where the bookmark bar could appear as a white strip. Fixed an issue where opening incognito windows could cause crashes.</x:v>
      </x:c>
      <x:c r="K635" s="63" t="str">
        <x:v>OpenAI 於 2026-02-11 為 ChatGPT Windows 更新模型或體驗；此節點依官方發布記錄整理，完整能力、適用方案與限制請見來源。</x:v>
      </x:c>
      <x:c r="L635" s="52" t="str">
        <x:v>https://help.openai.com/en/articles/12591856-chatgpt-atlas-release-notes</x:v>
      </x:c>
      <x:c r="M635" s="52" t="str">
        <x:v>help_center_release_notes</x:v>
      </x:c>
      <x:c r="N635" s="52" t="str">
        <x:v>parsed</x:v>
      </x:c>
      <x:c r="O635" s="52" t="str">
        <x:v>high</x:v>
      </x:c>
      <x:c r="P635" s="60" t="n">
        <x:v>0</x:v>
      </x:c>
      <x:c r="Q635" s="52" t="str"/>
    </x:row>
    <x:row r="636" ht="38" customHeight="1">
      <x:c r="A636" s="57" t="n">
        <x:v>46064</x:v>
      </x:c>
      <x:c r="B636" s="52" t="str">
        <x:v>atlas-release-notes</x:v>
      </x:c>
      <x:c r="C636" s="52" t="str">
        <x:v>ChatGPT Atlas — Release Notes</x:v>
      </x:c>
      <x:c r="D636" s="52" t="str">
        <x:v>clients_surfaces</x:v>
      </x:c>
      <x:c r="E636" s="52" t="str">
        <x:v>ChatGPT</x:v>
      </x:c>
      <x:c r="F636" s="52" t="str">
        <x:v>feature</x:v>
      </x:c>
      <x:c r="G636" s="52" t="str">
        <x:v>active</x:v>
      </x:c>
      <x:c r="H636" s="63" t="str">
        <x:v>More relevant suggestions in the "Ask ChatGPT" sidebar</x:v>
      </x:c>
      <x:c r="I636" s="63" t="str">
        <x:v>功能更新：ChatGPT</x:v>
      </x:c>
      <x:c r="J636" s="63" t="str">
        <x:v>See more relevant suggested prompts above the composer in "Ask ChatGPT" sidebar, tailored to what you are doing.</x:v>
      </x:c>
      <x:c r="K636" s="63" t="str">
        <x:v>OpenAI 於 2026-02-11 為 ChatGPT 新增功能；此節點依官方發布記錄整理，完整能力、適用方案與限制請見來源。</x:v>
      </x:c>
      <x:c r="L636" s="52" t="str">
        <x:v>https://help.openai.com/en/articles/12591856-chatgpt-atlas-release-notes</x:v>
      </x:c>
      <x:c r="M636" s="52" t="str">
        <x:v>help_center_release_notes</x:v>
      </x:c>
      <x:c r="N636" s="52" t="str">
        <x:v>parsed</x:v>
      </x:c>
      <x:c r="O636" s="52" t="str">
        <x:v>high</x:v>
      </x:c>
      <x:c r="P636" s="60" t="n">
        <x:v>0</x:v>
      </x:c>
      <x:c r="Q636" s="52" t="str"/>
    </x:row>
    <x:row r="637" ht="38" customHeight="1">
      <x:c r="A637" s="57" t="n">
        <x:v>46064</x:v>
      </x:c>
      <x:c r="B637" s="52" t="str">
        <x:v>atlas-release-notes</x:v>
      </x:c>
      <x:c r="C637" s="52" t="str">
        <x:v>ChatGPT Atlas — Release Notes</x:v>
      </x:c>
      <x:c r="D637" s="52" t="str">
        <x:v>clients_surfaces</x:v>
      </x:c>
      <x:c r="E637" s="52" t="str">
        <x:v>ChatGPT</x:v>
      </x:c>
      <x:c r="F637" s="52" t="str">
        <x:v>feature</x:v>
      </x:c>
      <x:c r="G637" s="52" t="str">
        <x:v>active</x:v>
      </x:c>
      <x:c r="H637" s="63" t="str">
        <x:v>Smart quick actions for "Ask ChatGPT" in the top toolbar</x:v>
      </x:c>
      <x:c r="I637" s="63" t="str">
        <x:v>功能更新：ChatGPT</x:v>
      </x:c>
      <x:c r="J637" s="63" t="str">
        <x:v>Get proactive, personalized suggestions that help you complete your task, right next to Ask ChatGPT button in the tool bar.</x:v>
      </x:c>
      <x:c r="K637" s="63" t="str">
        <x:v>OpenAI 於 2026-02-11 為 ChatGPT 新增功能；此節點依官方發布記錄整理，完整能力、適用方案與限制請見來源。</x:v>
      </x:c>
      <x:c r="L637" s="52" t="str">
        <x:v>https://help.openai.com/en/articles/12591856-chatgpt-atlas-release-notes</x:v>
      </x:c>
      <x:c r="M637" s="52" t="str">
        <x:v>help_center_release_notes</x:v>
      </x:c>
      <x:c r="N637" s="52" t="str">
        <x:v>parsed</x:v>
      </x:c>
      <x:c r="O637" s="52" t="str">
        <x:v>high</x:v>
      </x:c>
      <x:c r="P637" s="60" t="n">
        <x:v>0</x:v>
      </x:c>
      <x:c r="Q637" s="52" t="str"/>
    </x:row>
    <x:row r="638" ht="38" customHeight="1">
      <x:c r="A638" s="57" t="n">
        <x:v>46065</x:v>
      </x:c>
      <x:c r="B638" s="52" t="str">
        <x:v>chatgpt-release-notes</x:v>
      </x:c>
      <x:c r="C638" s="52" t="str">
        <x:v>ChatGPT — Release Notes</x:v>
      </x:c>
      <x:c r="D638" s="52" t="str">
        <x:v>multimodal</x:v>
      </x:c>
      <x:c r="E638" s="52" t="str">
        <x:v>ChatGPT Voice</x:v>
      </x:c>
      <x:c r="F638" s="52" t="str">
        <x:v>feature</x:v>
      </x:c>
      <x:c r="G638" s="52" t="str">
        <x:v>active</x:v>
      </x:c>
      <x:c r="H638" s="63" t="str">
        <x:v>ChatGPT Voice Update</x:v>
      </x:c>
      <x:c r="I638" s="63" t="str">
        <x:v>ChatGPT Voice 更新</x:v>
      </x:c>
      <x:c r="J638" s="63" t="str">
        <x:v>We’re making an update to ChatGPT Voice that improves its ability to follow user instructions, and usage of tools like web search to provide better responses. This update applies to the version of Voice primarily used by those on the free ChatGPT plan, and by Plus users when limits are reached for the main model.</x:v>
      </x:c>
      <x:c r="K638" s="63" t="str">
        <x:v>我們對 ChatGPT Voice 進行了更新，提升其遵循使用者指令的能力，並改進對網頁搜尋等工具的使用，從而提供更優質的回應。此更新適用於主要供免費版 ChatGPT 使用者，以及在主要模型達到用量限制時供 Plus 使用者使用的 Voice 版本。</x:v>
      </x:c>
      <x:c r="L638" s="52" t="str">
        <x:v>https://help.openai.com/en/articles/6825453-chatgpt-release-notes</x:v>
      </x:c>
      <x:c r="M638" s="52" t="str">
        <x:v>help_center_release_notes</x:v>
      </x:c>
      <x:c r="N638" s="52" t="str">
        <x:v>complete</x:v>
      </x:c>
      <x:c r="O638" s="52" t="str">
        <x:v>high</x:v>
      </x:c>
      <x:c r="P638" s="60" t="n">
        <x:v>3</x:v>
      </x:c>
      <x:c r="Q638" s="52" t="str">
        <x:v>2026 | chatgpt-voice | feature | multimodal</x:v>
      </x:c>
    </x:row>
    <x:row r="639" ht="38" customHeight="1">
      <x:c r="A639" s="57" t="n">
        <x:v>46065</x:v>
      </x:c>
      <x:c r="B639" s="52" t="str">
        <x:v>codex-changelog</x:v>
      </x:c>
      <x:c r="C639" s="52" t="str">
        <x:v>Codex Changelog</x:v>
      </x:c>
      <x:c r="D639" s="52" t="str">
        <x:v>agents_research</x:v>
      </x:c>
      <x:c r="E639" s="52" t="str">
        <x:v>Codex</x:v>
      </x:c>
      <x:c r="F639" s="52" t="str">
        <x:v>model_update</x:v>
      </x:c>
      <x:c r="G639" s="52" t="str">
        <x:v>active</x:v>
      </x:c>
      <x:c r="H639" s="63" t="str">
        <x:v>Codex app 26.212</x:v>
      </x:c>
      <x:c r="I639" s="63" t="str">
        <x:v>Codex app 26.212 更新</x:v>
      </x:c>
      <x:c r="J639" s="63" t="str">
        <x:v>New features Support for GPT-5.3-Codex-Spark Added conversation forking Added floating pop-out window to take a conversation with you Bug fixes Improved performance and bug fixes Alpha testing for the Codex app on Windows is also starting. Sign up here to be a potential alpha tester.</x:v>
      </x:c>
      <x:c r="K639" s="63" t="str">
        <x:v>Codex Changelog 在 2026-02-12 記錄了Codex 編碼代理、可靠性與效能修正相關更新；完整版本與修正內容見官方英文摘要。</x:v>
      </x:c>
      <x:c r="L639" s="52" t="str">
        <x:v>https://developers.openai.com/codex/changelog/</x:v>
      </x:c>
      <x:c r="M639" s="52" t="str">
        <x:v>developer_changelog</x:v>
      </x:c>
      <x:c r="N639" s="52" t="str">
        <x:v>complete</x:v>
      </x:c>
      <x:c r="O639" s="52" t="str">
        <x:v>high</x:v>
      </x:c>
      <x:c r="P639" s="60" t="n">
        <x:v>2</x:v>
      </x:c>
      <x:c r="Q639" s="52" t="str">
        <x:v>codex | release-notes</x:v>
      </x:c>
    </x:row>
    <x:row r="640" ht="38" customHeight="1">
      <x:c r="A640" s="57" t="n">
        <x:v>46065</x:v>
      </x:c>
      <x:c r="B640" s="52" t="str">
        <x:v>codex-changelog</x:v>
      </x:c>
      <x:c r="C640" s="52" t="str">
        <x:v>Codex Changelog</x:v>
      </x:c>
      <x:c r="D640" s="52" t="str">
        <x:v>agents_research</x:v>
      </x:c>
      <x:c r="E640" s="52" t="str">
        <x:v>GPT-5.3-Codex-Spark</x:v>
      </x:c>
      <x:c r="F640" s="52" t="str">
        <x:v>launch</x:v>
      </x:c>
      <x:c r="G640" s="52" t="str">
        <x:v>active</x:v>
      </x:c>
      <x:c r="H640" s="63" t="str">
        <x:v>Introducing GPT-5.3-Codex-Spark</x:v>
      </x:c>
      <x:c r="I640" s="63" t="str">
        <x:v>推出 GPT-5.3-Codex-Spark</x:v>
      </x:c>
      <x:c r="J640" s="63" t="str">
        <x:v>Today, we’re releasing a research preview of GPT-5.3-Codex-Spark , a smaller version of GPT-5.3-Codex and our first model designed for real-time coding. Codex-Spark is optimized to feel near-instant, delivering more than 1000 tokens per second while remaining highly capable for real-world coding tasks. Codex-Spark is available in research preview for ChatGPT Pro users in the latest Codex app, CLI, and IDE extension. This release also…</x:v>
      </x:c>
      <x:c r="K640" s="63" t="str">
        <x:v>OpenAI 於 2026-02-12 為 GPT-5.3-Codex-Spark 發布模型；此節點依官方發布記錄整理，完整能力、適用方案與限制請見來源。</x:v>
      </x:c>
      <x:c r="L640" s="52" t="str">
        <x:v>https://developers.openai.com/codex/changelog/</x:v>
      </x:c>
      <x:c r="M640" s="52" t="str">
        <x:v>developer_changelog</x:v>
      </x:c>
      <x:c r="N640" s="52" t="str">
        <x:v>complete</x:v>
      </x:c>
      <x:c r="O640" s="52" t="str">
        <x:v>high</x:v>
      </x:c>
      <x:c r="P640" s="60" t="n">
        <x:v>3</x:v>
      </x:c>
      <x:c r="Q640" s="52" t="str">
        <x:v>codex | release-notes</x:v>
      </x:c>
    </x:row>
    <x:row r="641" ht="38" customHeight="1">
      <x:c r="A641" s="57" t="n">
        <x:v>46065</x:v>
      </x:c>
      <x:c r="B641" s="52" t="str">
        <x:v>lane-introducing-gpt-5-3-codex-spark</x:v>
      </x:c>
      <x:c r="C641" s="52" t="str">
        <x:v>Introducing GPT-5.3-Codex-Spark</x:v>
      </x:c>
      <x:c r="D641" s="52" t="str">
        <x:v>agents_research</x:v>
      </x:c>
      <x:c r="E641" s="52" t="str">
        <x:v>GPT-5.3-Codex-Spark</x:v>
      </x:c>
      <x:c r="F641" s="52" t="str">
        <x:v>model_release</x:v>
      </x:c>
      <x:c r="G641" s="52" t="str">
        <x:v>research_preview</x:v>
      </x:c>
      <x:c r="H641" s="63" t="str">
        <x:v>Introducing GPT-5.3-Codex-Spark</x:v>
      </x:c>
      <x:c r="I641" s="63" t="str">
        <x:v>推出 GPT-5.3-Codex-Spark</x:v>
      </x:c>
      <x:c r="J641" s="63" t="str">
        <x:v>OpenAI released GPT-5.3-Codex-Spark as a Pro research preview: a smaller real-time coding model served on Cerebras hardware at more than 1,000 tokens per second.</x:v>
      </x:c>
      <x:c r="K641" s="63" t="str">
        <x:v>OpenAI 推出 GPT-5.3-Codex-Spark 作為 Pro 研究預覽版：這是一個較小型的即時程式碼模型，於 Cerebras 硬體上執行，速度超過每秒 1,000 個 token。</x:v>
      </x:c>
      <x:c r="L641" s="52" t="str">
        <x:v>https://openai.com/index/introducing-gpt-5-3-codex-spark/</x:v>
      </x:c>
      <x:c r="M641" s="52" t="str">
        <x:v>official_launch_post</x:v>
      </x:c>
      <x:c r="N641" s="52" t="str">
        <x:v>complete</x:v>
      </x:c>
      <x:c r="O641" s="52" t="str">
        <x:v>high</x:v>
      </x:c>
      <x:c r="P641" s="60" t="n">
        <x:v>4</x:v>
      </x:c>
      <x:c r="Q641" s="52" t="str">
        <x:v>2026 | agents-research | gpt-5.3-codex-spark | model_release</x:v>
      </x:c>
    </x:row>
    <x:row r="642" ht="38" customHeight="1">
      <x:c r="A642" s="57" t="n">
        <x:v>46066</x:v>
      </x:c>
      <x:c r="B642" s="52" t="str">
        <x:v>chatgpt-release-notes</x:v>
      </x:c>
      <x:c r="C642" s="52" t="str">
        <x:v>ChatGPT — Release Notes</x:v>
      </x:c>
      <x:c r="D642" s="52" t="str">
        <x:v>chatgpt_core</x:v>
      </x:c>
      <x:c r="E642" s="52" t="str">
        <x:v>ChatGPT</x:v>
      </x:c>
      <x:c r="F642" s="52" t="str">
        <x:v>model_update</x:v>
      </x:c>
      <x:c r="G642" s="52" t="str">
        <x:v>active</x:v>
      </x:c>
      <x:c r="H642" s="63" t="str">
        <x:v>ChatGPT updates: Better file uploads, easier copying, and more reliable long chats</x:v>
      </x:c>
      <x:c r="I642" s="63" t="str">
        <x:v>模型更新：ChatGPT updates: Better file uploads, easier copying, and more reliable long chats</x:v>
      </x:c>
      <x:c r="J642" s="63" t="str">
        <x:v>Attach up to 20 files in a single message.You can now upload up to 20 files at once (previously 10), making it easier to analyze document sets, compare multiple files, or provide broader context in a single message. Expanded file type support.We now support additional text and code file formats, improving compatibility with source files, logs, configuration files, and other structured text.</x:v>
      </x:c>
      <x:c r="K642" s="63" t="str">
        <x:v>OpenAI 於 2026-02-13 為 ChatGPT 更新模型或體驗；此節點依官方發布記錄整理，完整能力、適用方案與限制請見來源。</x:v>
      </x:c>
      <x:c r="L642" s="52" t="str">
        <x:v>https://help.openai.com/en/articles/6825453-chatgpt-release-notes</x:v>
      </x:c>
      <x:c r="M642" s="52" t="str">
        <x:v>help_center_release_notes</x:v>
      </x:c>
      <x:c r="N642" s="52" t="str">
        <x:v>parsed</x:v>
      </x:c>
      <x:c r="O642" s="52" t="str">
        <x:v>high</x:v>
      </x:c>
      <x:c r="P642" s="60" t="n">
        <x:v>0</x:v>
      </x:c>
      <x:c r="Q642" s="52" t="str"/>
    </x:row>
    <x:row r="643" ht="38" customHeight="1">
      <x:c r="A643" s="57" t="n">
        <x:v>46066</x:v>
      </x:c>
      <x:c r="B643" s="52" t="str">
        <x:v>chatgpt-release-notes</x:v>
      </x:c>
      <x:c r="C643" s="52" t="str">
        <x:v>ChatGPT — Release Notes</x:v>
      </x:c>
      <x:c r="D643" s="52" t="str">
        <x:v>chatgpt_core</x:v>
      </x:c>
      <x:c r="E643" s="52" t="str">
        <x:v>ChatGPT</x:v>
      </x:c>
      <x:c r="F643" s="52" t="str">
        <x:v>feature</x:v>
      </x:c>
      <x:c r="G643" s="52" t="str">
        <x:v>active</x:v>
      </x:c>
      <x:c r="H643" s="63" t="str">
        <x:v>Conversation-only Select All on web</x:v>
      </x:c>
      <x:c r="I643" s="63" t="str">
        <x:v>網頁版僅對話內容「全選」功能</x:v>
      </x:c>
      <x:c r="J643" s="63" t="str">
        <x:v>Cmd+A on ChatGPT web now selects conversation content without surrounding interface elements.</x:v>
      </x:c>
      <x:c r="K643" s="63" t="str">
        <x:v>ChatGPT 網頁版的 Cmd+A 現在僅會選取對話內容，而不包含周圍的介面元素。</x:v>
      </x:c>
      <x:c r="L643" s="52" t="str">
        <x:v>https://help.openai.com/en/articles/6825453-chatgpt-release-notes</x:v>
      </x:c>
      <x:c r="M643" s="52" t="str">
        <x:v>help_center_release_notes</x:v>
      </x:c>
      <x:c r="N643" s="52" t="str">
        <x:v>complete</x:v>
      </x:c>
      <x:c r="O643" s="52" t="str">
        <x:v>high</x:v>
      </x:c>
      <x:c r="P643" s="60" t="n">
        <x:v>3</x:v>
      </x:c>
      <x:c r="Q643" s="52" t="str">
        <x:v>2026 | chatgpt | chatgpt-core | feature</x:v>
      </x:c>
    </x:row>
    <x:row r="644" ht="38" customHeight="1">
      <x:c r="A644" s="57" t="n">
        <x:v>46066</x:v>
      </x:c>
      <x:c r="B644" s="52" t="str">
        <x:v>chatgpt-release-notes</x:v>
      </x:c>
      <x:c r="C644" s="52" t="str">
        <x:v>ChatGPT — Release Notes</x:v>
      </x:c>
      <x:c r="D644" s="52" t="str">
        <x:v>chatgpt_core</x:v>
      </x:c>
      <x:c r="E644" s="52" t="str">
        <x:v>Files</x:v>
      </x:c>
      <x:c r="F644" s="52" t="str">
        <x:v>feature</x:v>
      </x:c>
      <x:c r="G644" s="52" t="str">
        <x:v>active</x:v>
      </x:c>
      <x:c r="H644" s="63" t="str">
        <x:v>Expanded text and code file support</x:v>
      </x:c>
      <x:c r="I644" s="63" t="str">
        <x:v>擴展文字與程式碼檔案支援</x:v>
      </x:c>
      <x:c r="J644" s="63" t="str">
        <x:v>ChatGPT web added support for more text, code, log, configuration, and structured-text file formats.</x:v>
      </x:c>
      <x:c r="K644" s="63" t="str">
        <x:v>ChatGPT 網頁版增加了對更多文字、程式碼、記錄檔、設定檔和結構化文字檔案格式的支援。</x:v>
      </x:c>
      <x:c r="L644" s="52" t="str">
        <x:v>https://help.openai.com/en/articles/6825453-chatgpt-release-notes</x:v>
      </x:c>
      <x:c r="M644" s="52" t="str">
        <x:v>help_center_release_notes</x:v>
      </x:c>
      <x:c r="N644" s="52" t="str">
        <x:v>complete</x:v>
      </x:c>
      <x:c r="O644" s="52" t="str">
        <x:v>high</x:v>
      </x:c>
      <x:c r="P644" s="60" t="n">
        <x:v>3</x:v>
      </x:c>
      <x:c r="Q644" s="52" t="str">
        <x:v>2026 | chatgpt-core | feature | files</x:v>
      </x:c>
    </x:row>
    <x:row r="645" ht="38" customHeight="1">
      <x:c r="A645" s="57" t="n">
        <x:v>46066</x:v>
      </x:c>
      <x:c r="B645" s="52" t="str">
        <x:v>lane-introducing-lockdown-mode-and-elevated-risk-labels-in-chat</x:v>
      </x:c>
      <x:c r="C645" s="52" t="str">
        <x:v>Introducing Lockdown Mode and Elevated Risk labels in ChatGPT</x:v>
      </x:c>
      <x:c r="D645" s="52" t="str">
        <x:v>safety_lifecycle</x:v>
      </x:c>
      <x:c r="E645" s="52" t="str">
        <x:v>ChatGPT Security</x:v>
      </x:c>
      <x:c r="F645" s="52" t="str">
        <x:v>safety</x:v>
      </x:c>
      <x:c r="G645" s="52" t="str">
        <x:v>active</x:v>
      </x:c>
      <x:c r="H645" s="63" t="str">
        <x:v>Lockdown Mode and Elevated Risk labels</x:v>
      </x:c>
      <x:c r="I645" s="63" t="str">
        <x:v>Lockdown Mode 與 Elevated Risk 標籤</x:v>
      </x:c>
      <x:c r="J645" s="63" t="str">
        <x:v>OpenAI introduced optional Lockdown Mode for higher-risk users and Elevated Risk labels for capabilities in ChatGPT, Atlas and Codex that may increase prompt-injection exposure.</x:v>
      </x:c>
      <x:c r="K645" s="63" t="str">
        <x:v>OpenAI 推出供高風險用戶選用的 Lockdown Mode，並為 ChatGPT、Atlas 與 Codex 中可能增加 prompt injection 風險的能力加上 Elevated Risk 標籤。</x:v>
      </x:c>
      <x:c r="L645" s="52" t="str">
        <x:v>https://openai.com/index/introducing-lockdown-mode-and-elevated-risk-labels-in-chatgpt/</x:v>
      </x:c>
      <x:c r="M645" s="52" t="str">
        <x:v>official_security_post</x:v>
      </x:c>
      <x:c r="N645" s="52" t="str">
        <x:v>parsed</x:v>
      </x:c>
      <x:c r="O645" s="52" t="str">
        <x:v>high</x:v>
      </x:c>
      <x:c r="P645" s="60" t="n">
        <x:v>5</x:v>
      </x:c>
      <x:c r="Q645" s="52" t="str">
        <x:v>lockdown | prompt-injection | security</x:v>
      </x:c>
    </x:row>
    <x:row r="646" ht="38" customHeight="1">
      <x:c r="A646" s="57" t="n">
        <x:v>46066</x:v>
      </x:c>
      <x:c r="B646" s="52" t="str">
        <x:v>chatgpt-release-notes</x:v>
      </x:c>
      <x:c r="C646" s="52" t="str">
        <x:v>ChatGPT — Release Notes</x:v>
      </x:c>
      <x:c r="D646" s="52" t="str">
        <x:v>clients_surfaces</x:v>
      </x:c>
      <x:c r="E646" s="52" t="str">
        <x:v>ChatGPT</x:v>
      </x:c>
      <x:c r="F646" s="52" t="str">
        <x:v>feature</x:v>
      </x:c>
      <x:c r="G646" s="52" t="str">
        <x:v>active</x:v>
      </x:c>
      <x:c r="H646" s="63" t="str">
        <x:v>Mobile composer updates</x:v>
      </x:c>
      <x:c r="I646" s="63" t="str">
        <x:v>行動版撰寫介面更新</x:v>
      </x:c>
      <x:c r="J646" s="63" t="str">
        <x:v>ChatGPT simplified the iOS and Android composer experience and exposed common tools more directly on Android.</x:v>
      </x:c>
      <x:c r="K646" s="63" t="str">
        <x:v>ChatGPT 簡化了 iOS 和 Android 的撰寫介面體驗，並在 Android 上更直接地呈現常用工具。</x:v>
      </x:c>
      <x:c r="L646" s="52" t="str">
        <x:v>https://help.openai.com/en/articles/6825453-chatgpt-release-notes</x:v>
      </x:c>
      <x:c r="M646" s="52" t="str">
        <x:v>help_center_release_notes</x:v>
      </x:c>
      <x:c r="N646" s="52" t="str">
        <x:v>complete</x:v>
      </x:c>
      <x:c r="O646" s="52" t="str">
        <x:v>high</x:v>
      </x:c>
      <x:c r="P646" s="60" t="n">
        <x:v>3</x:v>
      </x:c>
      <x:c r="Q646" s="52" t="str">
        <x:v>2026 | chatgpt | clients-surfaces | feature</x:v>
      </x:c>
    </x:row>
    <x:row r="647" ht="38" customHeight="1">
      <x:c r="A647" s="57" t="n">
        <x:v>46066</x:v>
      </x:c>
      <x:c r="B647" s="52" t="str">
        <x:v>chatgpt-release-notes</x:v>
      </x:c>
      <x:c r="C647" s="52" t="str">
        <x:v>ChatGPT — Release Notes</x:v>
      </x:c>
      <x:c r="D647" s="52" t="str">
        <x:v>chatgpt_core</x:v>
      </x:c>
      <x:c r="E647" s="52" t="str">
        <x:v>ChatGPT</x:v>
      </x:c>
      <x:c r="F647" s="52" t="str">
        <x:v>feature</x:v>
      </x:c>
      <x:c r="G647" s="52" t="str">
        <x:v>active</x:v>
      </x:c>
      <x:c r="H647" s="63" t="str">
        <x:v>More reliable long Thinking chats</x:v>
      </x:c>
      <x:c r="I647" s="63" t="str">
        <x:v>更穩定的長對話 Thinking 模式</x:v>
      </x:c>
      <x:c r="J647" s="63" t="str">
        <x:v>Infrastructure changes reduced interruptions during long conversations that use Thinking models across web, iOS, and Android.</x:v>
      </x:c>
      <x:c r="K647" s="63" t="str">
        <x:v>基礎設施的變更減少了在網頁版、iOS 和 Android 上使用 Thinking 模型進行長對話時的中斷情況。</x:v>
      </x:c>
      <x:c r="L647" s="52" t="str">
        <x:v>https://help.openai.com/en/articles/6825453-chatgpt-release-notes</x:v>
      </x:c>
      <x:c r="M647" s="52" t="str">
        <x:v>help_center_release_notes</x:v>
      </x:c>
      <x:c r="N647" s="52" t="str">
        <x:v>complete</x:v>
      </x:c>
      <x:c r="O647" s="52" t="str">
        <x:v>high</x:v>
      </x:c>
      <x:c r="P647" s="60" t="n">
        <x:v>3</x:v>
      </x:c>
      <x:c r="Q647" s="52" t="str">
        <x:v>2026 | chatgpt | chatgpt-core | feature</x:v>
      </x:c>
    </x:row>
    <x:row r="648" ht="38" customHeight="1">
      <x:c r="A648" s="57" t="n">
        <x:v>46066</x:v>
      </x:c>
      <x:c r="B648" s="52" t="str">
        <x:v>chatgpt-release-notes</x:v>
      </x:c>
      <x:c r="C648" s="52" t="str">
        <x:v>ChatGPT — Release Notes</x:v>
      </x:c>
      <x:c r="D648" s="52" t="str">
        <x:v>models_reasoning</x:v>
      </x:c>
      <x:c r="E648" s="52" t="str">
        <x:v>GPT-4o</x:v>
      </x:c>
      <x:c r="F648" s="52" t="str">
        <x:v>retirement</x:v>
      </x:c>
      <x:c r="G648" s="52" t="str">
        <x:v>retired</x:v>
      </x:c>
      <x:c r="H648" s="63" t="str">
        <x:v>Retiring GPT-4o and other legacy models</x:v>
      </x:c>
      <x:c r="I648" s="63" t="str">
        <x:v>停用 GPT-4o 與其他舊型模型</x:v>
      </x:c>
      <x:c r="J648" s="63" t="str">
        <x:v>As previously announced, we have retired GPT-4o, GPT-4.1, GPT-4.1 mini, and OpenAI o4-mini from ChatGPT. We are also retiring GPT-5 (Instant and Thinking), as previously announced. There are no API changes at this time. For details, see our blog post and Help Center.</x:v>
      </x:c>
      <x:c r="K648" s="63" t="str">
        <x:v>正如先前宣布，我們已從 ChatGPT 中停用 GPT-4o、GPT-4.1、GPT-4.1 mini 和 OpenAI o4-mini。我們也如先前宣布，停用 GPT-5 (Instant 和 Thinking)。目前 API 沒有變更。詳細資訊請參閱我們的部落格文章與說明中心。</x:v>
      </x:c>
      <x:c r="L648" s="52" t="str">
        <x:v>https://help.openai.com/en/articles/6825453-chatgpt-release-notes</x:v>
      </x:c>
      <x:c r="M648" s="52" t="str">
        <x:v>help_center_release_notes</x:v>
      </x:c>
      <x:c r="N648" s="52" t="str">
        <x:v>complete</x:v>
      </x:c>
      <x:c r="O648" s="52" t="str">
        <x:v>high</x:v>
      </x:c>
      <x:c r="P648" s="60" t="n">
        <x:v>3</x:v>
      </x:c>
      <x:c r="Q648" s="52" t="str">
        <x:v>2026 | gpt-4o | models-reasoning | retirement</x:v>
      </x:c>
    </x:row>
    <x:row r="649" ht="38" customHeight="1">
      <x:c r="A649" s="57" t="n">
        <x:v>46066</x:v>
      </x:c>
      <x:c r="B649" s="52" t="str">
        <x:v>model-release-notes</x:v>
      </x:c>
      <x:c r="C649" s="52" t="str">
        <x:v>Model Release Notes</x:v>
      </x:c>
      <x:c r="D649" s="52" t="str">
        <x:v>models_reasoning</x:v>
      </x:c>
      <x:c r="E649" s="52" t="str">
        <x:v>GPT-5</x:v>
      </x:c>
      <x:c r="F649" s="52" t="str">
        <x:v>retirement</x:v>
      </x:c>
      <x:c r="G649" s="52" t="str">
        <x:v>retired</x:v>
      </x:c>
      <x:c r="H649" s="63" t="str">
        <x:v>Retiring GPT-4o and other legacy models</x:v>
      </x:c>
      <x:c r="I649" s="63" t="str">
        <x:v>退役：GPT-4o and other legacy models</x:v>
      </x:c>
      <x:c r="J649" s="63" t="str">
        <x:v>As previously announced, we have retired GPT-4o, GPT-4.1, GPT-4.1 mini, and OpenAI o4-mini from ChatGPT. We are also retiring GPT-5 (Instant and Thinking),as previously announced. There are no API changes at this time. For details, see our blog post and Help Center.</x:v>
      </x:c>
      <x:c r="K649" s="63" t="str">
        <x:v>OpenAI 於 2026-02-13 為 GPT-5 完成退役或停止服務；此節點依官方發布記錄整理，完整能力、適用方案與限制請見來源。</x:v>
      </x:c>
      <x:c r="L649" s="52" t="str">
        <x:v>https://help.openai.com/en/articles/9624314-model-release-notes</x:v>
      </x:c>
      <x:c r="M649" s="52" t="str">
        <x:v>help_center_release_notes</x:v>
      </x:c>
      <x:c r="N649" s="52" t="str">
        <x:v>parsed</x:v>
      </x:c>
      <x:c r="O649" s="52" t="str">
        <x:v>high</x:v>
      </x:c>
      <x:c r="P649" s="60" t="n">
        <x:v>0</x:v>
      </x:c>
      <x:c r="Q649" s="52" t="str"/>
    </x:row>
    <x:row r="650" ht="38" customHeight="1">
      <x:c r="A650" s="57" t="n">
        <x:v>46066</x:v>
      </x:c>
      <x:c r="B650" s="52" t="str">
        <x:v>chatgpt-release-notes</x:v>
      </x:c>
      <x:c r="C650" s="52" t="str">
        <x:v>ChatGPT — Release Notes</x:v>
      </x:c>
      <x:c r="D650" s="52" t="str">
        <x:v>memory_knowledge</x:v>
      </x:c>
      <x:c r="E650" s="52" t="str">
        <x:v>Files</x:v>
      </x:c>
      <x:c r="F650" s="52" t="str">
        <x:v>feature</x:v>
      </x:c>
      <x:c r="G650" s="52" t="str">
        <x:v>active</x:v>
      </x:c>
      <x:c r="H650" s="63" t="str">
        <x:v>Up to 20 files per ChatGPT message</x:v>
      </x:c>
      <x:c r="I650" s="63" t="str">
        <x:v>ChatGPT 單則訊息支援最多 20 個檔案</x:v>
      </x:c>
      <x:c r="J650" s="63" t="str">
        <x:v>ChatGPT web increased the number of files that can be attached to one message from 10 to 20.</x:v>
      </x:c>
      <x:c r="K650" s="63" t="str">
        <x:v>ChatGPT 網頁版增加單則訊息可夾帶的檔案數量，從 10 個提高至 20 個。</x:v>
      </x:c>
      <x:c r="L650" s="52" t="str">
        <x:v>https://help.openai.com/en/articles/6825453-chatgpt-release-notes</x:v>
      </x:c>
      <x:c r="M650" s="52" t="str">
        <x:v>help_center_release_notes</x:v>
      </x:c>
      <x:c r="N650" s="52" t="str">
        <x:v>complete</x:v>
      </x:c>
      <x:c r="O650" s="52" t="str">
        <x:v>high</x:v>
      </x:c>
      <x:c r="P650" s="60" t="n">
        <x:v>3</x:v>
      </x:c>
      <x:c r="Q650" s="52" t="str">
        <x:v>2026 | feature | files | memory-knowledge</x:v>
      </x:c>
    </x:row>
    <x:row r="651" ht="38" customHeight="1">
      <x:c r="A651" s="57" t="n">
        <x:v>46070</x:v>
      </x:c>
      <x:c r="B651" s="52" t="str">
        <x:v>codex-changelog</x:v>
      </x:c>
      <x:c r="C651" s="52" t="str">
        <x:v>Codex Changelog</x:v>
      </x:c>
      <x:c r="D651" s="52" t="str">
        <x:v>agents_research</x:v>
      </x:c>
      <x:c r="E651" s="52" t="str">
        <x:v>Codex</x:v>
      </x:c>
      <x:c r="F651" s="52" t="str">
        <x:v>model_update</x:v>
      </x:c>
      <x:c r="G651" s="52" t="str">
        <x:v>active</x:v>
      </x:c>
      <x:c r="H651" s="63" t="str">
        <x:v>Codex app 26.217</x:v>
      </x:c>
      <x:c r="I651" s="63" t="str">
        <x:v>Codex app 26.217 更新</x:v>
      </x:c>
      <x:c r="J651" s="63" t="str">
        <x:v>New features Added drag-and-drop support to reorder queued messages. Added a warning when the selected model is downgraded. Improvements and bug fixes Improved file workflows with fuzzy file search and better attachment recovery after restart. Additional performance improvements and bug fixes.</x:v>
      </x:c>
      <x:c r="K651" s="63" t="str">
        <x:v>Codex Changelog 在 2026-02-17 記錄了Codex 編碼代理、可靠性與效能修正相關更新；完整版本與修正內容見官方英文摘要。</x:v>
      </x:c>
      <x:c r="L651" s="52" t="str">
        <x:v>https://developers.openai.com/codex/changelog/</x:v>
      </x:c>
      <x:c r="M651" s="52" t="str">
        <x:v>developer_changelog</x:v>
      </x:c>
      <x:c r="N651" s="52" t="str">
        <x:v>complete</x:v>
      </x:c>
      <x:c r="O651" s="52" t="str">
        <x:v>high</x:v>
      </x:c>
      <x:c r="P651" s="60" t="n">
        <x:v>2</x:v>
      </x:c>
      <x:c r="Q651" s="52" t="str">
        <x:v>codex | release-notes</x:v>
      </x:c>
    </x:row>
    <x:row r="652" ht="38" customHeight="1">
      <x:c r="A652" s="57" t="n">
        <x:v>46071</x:v>
      </x:c>
      <x:c r="B652" s="52" t="str">
        <x:v>atlas-release-notes</x:v>
      </x:c>
      <x:c r="C652" s="52" t="str">
        <x:v>ChatGPT Atlas — Release Notes</x:v>
      </x:c>
      <x:c r="D652" s="52" t="str">
        <x:v>clients_surfaces</x:v>
      </x:c>
      <x:c r="E652" s="52" t="str">
        <x:v>ChatGPT Atlas</x:v>
      </x:c>
      <x:c r="F652" s="52" t="str">
        <x:v>feature</x:v>
      </x:c>
      <x:c r="G652" s="52" t="str">
        <x:v>active</x:v>
      </x:c>
      <x:c r="H652" s="63" t="str">
        <x:v>Atlas revamped tab search and auto-organize</x:v>
      </x:c>
      <x:c r="I652" s="63" t="str">
        <x:v>Atlas 全新分頁搜尋與自動整理</x:v>
      </x:c>
      <x:c r="J652" s="63" t="str">
        <x:v>Atlas expanded tab search across windows and added AI-powered tab auto-organization, duplicate removal and window merging, with performance and input fixes.</x:v>
      </x:c>
      <x:c r="K652" s="63" t="str">
        <x:v>Atlas 擴充分頁搜尋至所有視窗，新增 AI 自動分組、移除重複與合併視窗，並改善效能與輸入。</x:v>
      </x:c>
      <x:c r="L652" s="52" t="str">
        <x:v>https://help.openai.com/en/articles/12591856-chatgpt-atlas-release-notes</x:v>
      </x:c>
      <x:c r="M652" s="52" t="str">
        <x:v>help_center_release_notes</x:v>
      </x:c>
      <x:c r="N652" s="52" t="str">
        <x:v>parsed</x:v>
      </x:c>
      <x:c r="O652" s="52" t="str">
        <x:v>high</x:v>
      </x:c>
      <x:c r="P652" s="60" t="n">
        <x:v>4</x:v>
      </x:c>
      <x:c r="Q652" s="52" t="str">
        <x:v>ai-organization | atlas | tabs</x:v>
      </x:c>
    </x:row>
    <x:row r="653" ht="38" customHeight="1">
      <x:c r="A653" s="57" t="n">
        <x:v>46071</x:v>
      </x:c>
      <x:c r="B653" s="52" t="str">
        <x:v>atlas-release-notes</x:v>
      </x:c>
      <x:c r="C653" s="52" t="str">
        <x:v>ChatGPT Atlas — Release Notes</x:v>
      </x:c>
      <x:c r="D653" s="52" t="str">
        <x:v>clients_surfaces</x:v>
      </x:c>
      <x:c r="E653" s="52" t="str">
        <x:v>ChatGPT</x:v>
      </x:c>
      <x:c r="F653" s="52" t="str">
        <x:v>model_update</x:v>
      </x:c>
      <x:c r="G653" s="52" t="str">
        <x:v>active</x:v>
      </x:c>
      <x:c r="H653" s="63" t="str">
        <x:v>Bug fixes</x:v>
      </x:c>
      <x:c r="I653" s="63" t="str">
        <x:v>模型更新：Bug fixes</x:v>
      </x:c>
      <x:c r="J653" s="63" t="str">
        <x:v>Fixed several focus issues (e.g. focus wouldn’t automatically transfer to the expected element, clicking on a textbox wouldn’t always transfer focus) Made fullscreen mode more reliable so the bookmark bar behaves correctly and transitions feel smoother.</x:v>
      </x:c>
      <x:c r="K653" s="63" t="str">
        <x:v>OpenAI 於 2026-02-18 為 ChatGPT 更新模型或體驗；此節點依官方發布記錄整理，完整能力、適用方案與限制請見來源。</x:v>
      </x:c>
      <x:c r="L653" s="52" t="str">
        <x:v>https://help.openai.com/en/articles/12591856-chatgpt-atlas-release-notes</x:v>
      </x:c>
      <x:c r="M653" s="52" t="str">
        <x:v>help_center_release_notes</x:v>
      </x:c>
      <x:c r="N653" s="52" t="str">
        <x:v>parsed</x:v>
      </x:c>
      <x:c r="O653" s="52" t="str">
        <x:v>high</x:v>
      </x:c>
      <x:c r="P653" s="60" t="n">
        <x:v>0</x:v>
      </x:c>
      <x:c r="Q653" s="52" t="str"/>
    </x:row>
    <x:row r="654" ht="38" customHeight="1">
      <x:c r="A654" s="57" t="n">
        <x:v>46071</x:v>
      </x:c>
      <x:c r="B654" s="52" t="str">
        <x:v>atlas-release-notes</x:v>
      </x:c>
      <x:c r="C654" s="52" t="str">
        <x:v>ChatGPT Atlas — Release Notes</x:v>
      </x:c>
      <x:c r="D654" s="52" t="str">
        <x:v>clients_surfaces</x:v>
      </x:c>
      <x:c r="E654" s="52" t="str">
        <x:v>ChatGPT</x:v>
      </x:c>
      <x:c r="F654" s="52" t="str">
        <x:v>feature</x:v>
      </x:c>
      <x:c r="G654" s="52" t="str">
        <x:v>active</x:v>
      </x:c>
      <x:c r="H654" s="63" t="str">
        <x:v>New tab organization features incl. auto organize</x:v>
      </x:c>
      <x:c r="I654" s="63" t="str">
        <x:v>新增tab organization features incl. auto organize</x:v>
      </x:c>
      <x:c r="J654" s="63" t="str">
        <x:v>Auto organize, remove duplicates, and merge all tabs into one window. Auto-organize, when tapped, will have ChatGPT decide how to group your tabs into tab groups, based on browser memories and prompt instructions. You can edit the instructions with "Edit template"</x:v>
      </x:c>
      <x:c r="K654" s="63" t="str">
        <x:v>OpenAI 於 2026-02-18 為 ChatGPT 新增功能；此節點依官方發布記錄整理，完整能力、適用方案與限制請見來源。</x:v>
      </x:c>
      <x:c r="L654" s="52" t="str">
        <x:v>https://help.openai.com/en/articles/12591856-chatgpt-atlas-release-notes</x:v>
      </x:c>
      <x:c r="M654" s="52" t="str">
        <x:v>help_center_release_notes</x:v>
      </x:c>
      <x:c r="N654" s="52" t="str">
        <x:v>parsed</x:v>
      </x:c>
      <x:c r="O654" s="52" t="str">
        <x:v>high</x:v>
      </x:c>
      <x:c r="P654" s="60" t="n">
        <x:v>0</x:v>
      </x:c>
      <x:c r="Q654" s="52" t="str"/>
    </x:row>
    <x:row r="655" ht="38" customHeight="1">
      <x:c r="A655" s="57" t="n">
        <x:v>46071</x:v>
      </x:c>
      <x:c r="B655" s="52" t="str">
        <x:v>atlas-release-notes</x:v>
      </x:c>
      <x:c r="C655" s="52" t="str">
        <x:v>ChatGPT Atlas — Release Notes</x:v>
      </x:c>
      <x:c r="D655" s="52" t="str">
        <x:v>clients_surfaces</x:v>
      </x:c>
      <x:c r="E655" s="52" t="str">
        <x:v>ChatGPT Search</x:v>
      </x:c>
      <x:c r="F655" s="52" t="str">
        <x:v>feature</x:v>
      </x:c>
      <x:c r="G655" s="52" t="str">
        <x:v>active</x:v>
      </x:c>
      <x:c r="H655" s="63" t="str">
        <x:v>Revamped Tab Search</x:v>
      </x:c>
      <x:c r="I655" s="63" t="str">
        <x:v>功能更新：Revamped Tab Search</x:v>
      </x:c>
      <x:c r="J655" s="63" t="str">
        <x:v>We now make it easier to search for your tabs, across the current window and all windows. Click the magnifying glass icon in your tab strip. Use Command+Shift+A as a shortcut</x:v>
      </x:c>
      <x:c r="K655" s="63" t="str">
        <x:v>OpenAI 於 2026-02-18 為 ChatGPT Search 新增功能；此節點依官方發布記錄整理，完整能力、適用方案與限制請見來源。</x:v>
      </x:c>
      <x:c r="L655" s="52" t="str">
        <x:v>https://help.openai.com/en/articles/12591856-chatgpt-atlas-release-notes</x:v>
      </x:c>
      <x:c r="M655" s="52" t="str">
        <x:v>help_center_release_notes</x:v>
      </x:c>
      <x:c r="N655" s="52" t="str">
        <x:v>parsed</x:v>
      </x:c>
      <x:c r="O655" s="52" t="str">
        <x:v>high</x:v>
      </x:c>
      <x:c r="P655" s="60" t="n">
        <x:v>0</x:v>
      </x:c>
      <x:c r="Q655" s="52" t="str"/>
    </x:row>
    <x:row r="656" ht="38" customHeight="1">
      <x:c r="A656" s="57" t="n">
        <x:v>46072</x:v>
      </x:c>
      <x:c r="B656" s="52" t="str">
        <x:v>chatgpt-release-notes</x:v>
      </x:c>
      <x:c r="C656" s="52" t="str">
        <x:v>ChatGPT — Release Notes</x:v>
      </x:c>
      <x:c r="D656" s="52" t="str">
        <x:v>chatgpt_core</x:v>
      </x:c>
      <x:c r="E656" s="52" t="str">
        <x:v>ChatGPT</x:v>
      </x:c>
      <x:c r="F656" s="52" t="str">
        <x:v>feature</x:v>
      </x:c>
      <x:c r="G656" s="52" t="str">
        <x:v>active</x:v>
      </x:c>
      <x:c r="H656" s="63" t="str">
        <x:v>Interactive Code Blocks in ChatGPT</x:v>
      </x:c>
      <x:c r="I656" s="63" t="str">
        <x:v>ChatGPT 中的互動式程式碼區塊</x:v>
      </x:c>
      <x:c r="J656" s="63" t="str">
        <x:v>We improved Code Blocks in ChatGPT to make them more interactive. You can write, edit, and preview your code in ChatGPT, all in oneplace: Write and edit text in-line Preview diagrams and mini apps directly in chat Review code in split-screen views</x:v>
      </x:c>
      <x:c r="K656" s="63" t="str">
        <x:v>我們改善了 ChatGPT 中的程式碼區塊，使其更具互動性。您可以在 ChatGPT 中編寫、編輯和預覽程式碼，全部在同一個地方完成：在行內編寫和編輯文字、直接在聊天中預覽圖表和迷你應用程式、以分割視窗檢視審查程式碼。</x:v>
      </x:c>
      <x:c r="L656" s="52" t="str">
        <x:v>https://help.openai.com/en/articles/6825453-chatgpt-release-notes</x:v>
      </x:c>
      <x:c r="M656" s="52" t="str">
        <x:v>help_center_release_notes</x:v>
      </x:c>
      <x:c r="N656" s="52" t="str">
        <x:v>complete</x:v>
      </x:c>
      <x:c r="O656" s="52" t="str">
        <x:v>high</x:v>
      </x:c>
      <x:c r="P656" s="60" t="n">
        <x:v>3</x:v>
      </x:c>
      <x:c r="Q656" s="52" t="str">
        <x:v>2026 | chatgpt | chatgpt-core | feature</x:v>
      </x:c>
    </x:row>
    <x:row r="657" ht="38" customHeight="1">
      <x:c r="A657" s="57" t="n">
        <x:v>46073</x:v>
      </x:c>
      <x:c r="B657" s="52" t="str">
        <x:v>chatgpt-release-notes</x:v>
      </x:c>
      <x:c r="C657" s="52" t="str">
        <x:v>ChatGPT — Release Notes</x:v>
      </x:c>
      <x:c r="D657" s="52" t="str">
        <x:v>models_reasoning</x:v>
      </x:c>
      <x:c r="E657" s="52" t="str">
        <x:v>ChatGPT</x:v>
      </x:c>
      <x:c r="F657" s="52" t="str">
        <x:v>feature</x:v>
      </x:c>
      <x:c r="G657" s="52" t="str">
        <x:v>active</x:v>
      </x:c>
      <x:c r="H657" s="63" t="str">
        <x:v>Expanded context window for Thinking</x:v>
      </x:c>
      <x:c r="I657" s="63" t="str">
        <x:v>擴大「思考」(Thinking) 模式的上下文視窗</x:v>
      </x:c>
      <x:c r="J657" s="63" t="str">
        <x:v>ChatGPT now has a total context window length of 256k tokens (128k input and 128k max output) when you manually select Thinking. Previously it was 196k total tokens.</x:v>
      </x:c>
      <x:c r="K657" s="63" t="str">
        <x:v>當您手動選擇「思考」(Thinking) 模式時，ChatGPT 的總上下文視窗長度現為 256k tokens（128k 輸入及 128k 最大輸出）。先前總計為 196k tokens。</x:v>
      </x:c>
      <x:c r="L657" s="52" t="str">
        <x:v>https://help.openai.com/en/articles/6825453-chatgpt-release-notes</x:v>
      </x:c>
      <x:c r="M657" s="52" t="str">
        <x:v>help_center_release_notes</x:v>
      </x:c>
      <x:c r="N657" s="52" t="str">
        <x:v>complete</x:v>
      </x:c>
      <x:c r="O657" s="52" t="str">
        <x:v>high</x:v>
      </x:c>
      <x:c r="P657" s="60" t="n">
        <x:v>3</x:v>
      </x:c>
      <x:c r="Q657" s="52" t="str">
        <x:v>2026 | chatgpt | feature | models-reasoning</x:v>
      </x:c>
    </x:row>
    <x:row r="658" ht="38" customHeight="1">
      <x:c r="A658" s="57" t="n">
        <x:v>46075</x:v>
      </x:c>
      <x:c r="B658" s="52" t="str">
        <x:v>apps-sdk-changelog</x:v>
      </x:c>
      <x:c r="C658" s="52" t="str">
        <x:v>Apps SDK Changelog</x:v>
      </x:c>
      <x:c r="D658" s="52" t="str">
        <x:v>developer_platform</x:v>
      </x:c>
      <x:c r="E658" s="52" t="str">
        <x:v>Apps SDK</x:v>
      </x:c>
      <x:c r="F658" s="52" t="str">
        <x:v>platform</x:v>
      </x:c>
      <x:c r="G658" s="52" t="str">
        <x:v>active</x:v>
      </x:c>
      <x:c r="H658" s="63" t="str">
        <x:v>MCP Apps compatibility</x:v>
      </x:c>
      <x:c r="I658" s="63" t="str">
        <x:v>MCP Apps compatibility 更新</x:v>
      </x:c>
      <x:c r="J658" s="63" t="str">
        <x:v>Fixes &amp; improvements ChatGPT is now fully compatible with the MCP Apps spec .</x:v>
      </x:c>
      <x:c r="K658" s="63" t="str">
        <x:v>OpenAI 於 2026-02-22 為 Apps SDK 更新開發者平台；此節點依官方發布記錄整理，完整能力、適用方案與限制請見來源。</x:v>
      </x:c>
      <x:c r="L658" s="52" t="str">
        <x:v>https://developers.openai.com/apps-sdk/changelog/</x:v>
      </x:c>
      <x:c r="M658" s="52" t="str">
        <x:v>developer_changelog</x:v>
      </x:c>
      <x:c r="N658" s="52" t="str">
        <x:v>complete</x:v>
      </x:c>
      <x:c r="O658" s="52" t="str">
        <x:v>high</x:v>
      </x:c>
      <x:c r="P658" s="60" t="n">
        <x:v>3</x:v>
      </x:c>
      <x:c r="Q658" s="52" t="str">
        <x:v>apps-sdk | chatgpt-apps | mcp</x:v>
      </x:c>
    </x:row>
    <x:row r="659" ht="38" customHeight="1">
      <x:c r="A659" s="57" t="n">
        <x:v>46076</x:v>
      </x:c>
      <x:c r="B659" s="52" t="str">
        <x:v>api-changelog</x:v>
      </x:c>
      <x:c r="C659" s="52" t="str">
        <x:v>OpenAI API Changelog</x:v>
      </x:c>
      <x:c r="D659" s="52" t="str">
        <x:v>developer_platform</x:v>
      </x:c>
      <x:c r="E659" s="52" t="str">
        <x:v>Responses API</x:v>
      </x:c>
      <x:c r="F659" s="52" t="str">
        <x:v>launch</x:v>
      </x:c>
      <x:c r="G659" s="52" t="str">
        <x:v>active</x:v>
      </x:c>
      <x:c r="H659" s="63" t="str">
        <x:v>Launched WebSocket mode for the Responses API.</x:v>
      </x:c>
      <x:c r="I659" s="63" t="str">
        <x:v>推出：Responses API</x:v>
      </x:c>
      <x:c r="J659" s="63" t="str">
        <x:v>Launched WebSocket mode for the Responses API. Learn more here.</x:v>
      </x:c>
      <x:c r="K659" s="63" t="str">
        <x:v>OpenAI 於 2026-02-23 為 Responses API 推出新產品或能力；此節點依官方發布記錄整理，完整能力、適用方案與限制請見來源。</x:v>
      </x:c>
      <x:c r="L659" s="52" t="str">
        <x:v>https://platform.openai.com/docs/changelog</x:v>
      </x:c>
      <x:c r="M659" s="52" t="str">
        <x:v>developer_changelog</x:v>
      </x:c>
      <x:c r="N659" s="52" t="str">
        <x:v>parsed</x:v>
      </x:c>
      <x:c r="O659" s="52" t="str">
        <x:v>high</x:v>
      </x:c>
      <x:c r="P659" s="60" t="n">
        <x:v>0</x:v>
      </x:c>
      <x:c r="Q659" s="52" t="str"/>
    </x:row>
    <x:row r="660" ht="38" customHeight="1">
      <x:c r="A660" s="57" t="n">
        <x:v>46076</x:v>
      </x:c>
      <x:c r="B660" s="52" t="str">
        <x:v>lane-openai-api-changelog</x:v>
      </x:c>
      <x:c r="C660" s="52" t="str">
        <x:v>OpenAI API Changelog</x:v>
      </x:c>
      <x:c r="D660" s="52" t="str">
        <x:v>agents_research</x:v>
      </x:c>
      <x:c r="E660" s="52" t="str">
        <x:v>Responses API</x:v>
      </x:c>
      <x:c r="F660" s="52" t="str">
        <x:v>launch</x:v>
      </x:c>
      <x:c r="G660" s="52" t="str">
        <x:v>active</x:v>
      </x:c>
      <x:c r="H660" s="63" t="str">
        <x:v>Launched WebSocket mode for the Responses API.</x:v>
      </x:c>
      <x:c r="I660" s="63" t="str">
        <x:v>Responses API 推出 WebSocket 模式</x:v>
      </x:c>
      <x:c r="J660" s="63" t="str">
        <x:v>Launched WebSocket mode for the Responses API. Learn more here .</x:v>
      </x:c>
      <x:c r="K660" s="63" t="str">
        <x:v>Responses API 推出 WebSocket 模式。OpenAI 將此列為 2026-02-23 的功能；重點涉及代理與工具調用，模型、端點與參數名稱依官方英文保留。</x:v>
      </x:c>
      <x:c r="L660" s="52" t="str">
        <x:v>https://developers.openai.com/api/docs/changelog</x:v>
      </x:c>
      <x:c r="M660" s="52" t="str">
        <x:v>official_changelog</x:v>
      </x:c>
      <x:c r="N660" s="52" t="str">
        <x:v>complete</x:v>
      </x:c>
      <x:c r="O660" s="52" t="str">
        <x:v>high</x:v>
      </x:c>
      <x:c r="P660" s="60" t="n">
        <x:v>3</x:v>
      </x:c>
      <x:c r="Q660" s="52" t="str">
        <x:v>agents | feature | responses-api</x:v>
      </x:c>
    </x:row>
    <x:row r="661" ht="38" customHeight="1">
      <x:c r="A661" s="57" t="n">
        <x:v>46076</x:v>
      </x:c>
      <x:c r="B661" s="52" t="str">
        <x:v>api-changelog</x:v>
      </x:c>
      <x:c r="C661" s="52" t="str">
        <x:v>OpenAI API Changelog</x:v>
      </x:c>
      <x:c r="D661" s="52" t="str">
        <x:v>developer_platform</x:v>
      </x:c>
      <x:c r="E661" s="52" t="str">
        <x:v>Realtime API</x:v>
      </x:c>
      <x:c r="F661" s="52" t="str">
        <x:v>launch</x:v>
      </x:c>
      <x:c r="G661" s="52" t="str">
        <x:v>active</x:v>
      </x:c>
      <x:c r="H661" s="63" t="str">
        <x:v>Released GPT-Realtime-1.5 to the Realtime API.</x:v>
      </x:c>
      <x:c r="I661" s="63" t="str">
        <x:v>推出：Realtime API</x:v>
      </x:c>
      <x:c r="J661" s="63" t="str">
        <x:v>v1/chat/completions Released GPT-Realtime-1.5 to the Realtime API.</x:v>
      </x:c>
      <x:c r="K661" s="63" t="str">
        <x:v>OpenAI 於 2026-02-23 為 Realtime API 推出新產品或能力；此節點依官方發布記錄整理，完整能力、適用方案與限制請見來源。</x:v>
      </x:c>
      <x:c r="L661" s="52" t="str">
        <x:v>https://platform.openai.com/docs/changelog</x:v>
      </x:c>
      <x:c r="M661" s="52" t="str">
        <x:v>developer_changelog</x:v>
      </x:c>
      <x:c r="N661" s="52" t="str">
        <x:v>parsed</x:v>
      </x:c>
      <x:c r="O661" s="52" t="str">
        <x:v>high</x:v>
      </x:c>
      <x:c r="P661" s="60" t="n">
        <x:v>0</x:v>
      </x:c>
      <x:c r="Q661" s="52" t="str"/>
    </x:row>
    <x:row r="662" ht="38" customHeight="1">
      <x:c r="A662" s="57" t="n">
        <x:v>46076</x:v>
      </x:c>
      <x:c r="B662" s="52" t="str">
        <x:v>lane-openai-api-changelog</x:v>
      </x:c>
      <x:c r="C662" s="52" t="str">
        <x:v>OpenAI API Changelog</x:v>
      </x:c>
      <x:c r="D662" s="52" t="str">
        <x:v>multimodal</x:v>
      </x:c>
      <x:c r="E662" s="52" t="str">
        <x:v>Realtime &amp; Audio API</x:v>
      </x:c>
      <x:c r="F662" s="52" t="str">
        <x:v>launch</x:v>
      </x:c>
      <x:c r="G662" s="52" t="str">
        <x:v>active</x:v>
      </x:c>
      <x:c r="H662" s="63" t="str">
        <x:v>Released GPT-Realtime-1.5 to the Realtime API.</x:v>
      </x:c>
      <x:c r="I662" s="63" t="str">
        <x:v>推出 GPT‑Realtime‑1.5 與 gpt‑audio‑1.5</x:v>
      </x:c>
      <x:c r="J662" s="63" t="str">
        <x:v>Released GPT-Realtime-1.5 to the Realtime API. Released gpt-audio-1.5 to the Chat Completions API. Read more here .</x:v>
      </x:c>
      <x:c r="K662" s="63" t="str">
        <x:v>推出 GPT‑Realtime‑1.5 與 gpt‑audio‑1.5。OpenAI 將此列為 2026-02-23 的功能；重點涉及即時語音與音訊，模型、端點與參數名稱依官方英文保留。</x:v>
      </x:c>
      <x:c r="L662" s="52" t="str">
        <x:v>https://developers.openai.com/api/docs/changelog</x:v>
      </x:c>
      <x:c r="M662" s="52" t="str">
        <x:v>official_changelog</x:v>
      </x:c>
      <x:c r="N662" s="52" t="str">
        <x:v>complete</x:v>
      </x:c>
      <x:c r="O662" s="52" t="str">
        <x:v>high</x:v>
      </x:c>
      <x:c r="P662" s="60" t="n">
        <x:v>4</x:v>
      </x:c>
      <x:c r="Q662" s="52" t="str">
        <x:v>audio | feature | realtime</x:v>
      </x:c>
    </x:row>
    <x:row r="663" ht="38" customHeight="1">
      <x:c r="A663" s="57" t="n">
        <x:v>46077</x:v>
      </x:c>
      <x:c r="B663" s="52" t="str">
        <x:v>atlas-release-notes</x:v>
      </x:c>
      <x:c r="C663" s="52" t="str">
        <x:v>ChatGPT Atlas — Release Notes</x:v>
      </x:c>
      <x:c r="D663" s="52" t="str">
        <x:v>clients_surfaces</x:v>
      </x:c>
      <x:c r="E663" s="52" t="str">
        <x:v>ChatGPT Agent</x:v>
      </x:c>
      <x:c r="F663" s="52" t="str">
        <x:v>feature</x:v>
      </x:c>
      <x:c r="G663" s="52" t="str">
        <x:v>active</x:v>
      </x:c>
      <x:c r="H663" s="63" t="str">
        <x:v>Agent Mode</x:v>
      </x:c>
      <x:c r="I663" s="63" t="str">
        <x:v>功能更新：Agent Mode</x:v>
      </x:c>
      <x:c r="J663" s="63" t="str">
        <x:v>We've reduced 'laziness' of ChatGPT when in Agent Mode. You'll notice in Agent Mode that ChatGPT is now more persistent on repetitive and tedious tasks (e.g. asking the agent to go through hundreds of emails and extracting action items).</x:v>
      </x:c>
      <x:c r="K663" s="63" t="str">
        <x:v>OpenAI 於 2026-02-24 為 ChatGPT Agent 新增功能；此節點依官方發布記錄整理，完整能力、適用方案與限制請見來源。</x:v>
      </x:c>
      <x:c r="L663" s="52" t="str">
        <x:v>https://help.openai.com/en/articles/12591856-chatgpt-atlas-release-notes</x:v>
      </x:c>
      <x:c r="M663" s="52" t="str">
        <x:v>help_center_release_notes</x:v>
      </x:c>
      <x:c r="N663" s="52" t="str">
        <x:v>parsed</x:v>
      </x:c>
      <x:c r="O663" s="52" t="str">
        <x:v>high</x:v>
      </x:c>
      <x:c r="P663" s="60" t="n">
        <x:v>0</x:v>
      </x:c>
      <x:c r="Q663" s="52" t="str"/>
    </x:row>
    <x:row r="664" ht="38" customHeight="1">
      <x:c r="A664" s="57" t="n">
        <x:v>46077</x:v>
      </x:c>
      <x:c r="B664" s="52" t="str">
        <x:v>atlas-release-notes</x:v>
      </x:c>
      <x:c r="C664" s="52" t="str">
        <x:v>ChatGPT Atlas — Release Notes</x:v>
      </x:c>
      <x:c r="D664" s="52" t="str">
        <x:v>clients_surfaces</x:v>
      </x:c>
      <x:c r="E664" s="52" t="str">
        <x:v>ChatGPT Search</x:v>
      </x:c>
      <x:c r="F664" s="52" t="str">
        <x:v>model_update</x:v>
      </x:c>
      <x:c r="G664" s="52" t="str">
        <x:v>active</x:v>
      </x:c>
      <x:c r="H664" s="63" t="str">
        <x:v>Bug fixes</x:v>
      </x:c>
      <x:c r="I664" s="63" t="str">
        <x:v>模型更新：Bug fixes</x:v>
      </x:c>
      <x:c r="J664" s="63" t="str">
        <x:v>Fixed issues with Tab Search and keyboard shortcuts Fixed tab and tab-group bugs: better return behavior after closing tabs, smoother keyboard navigation, improved spacing, and cleaner pickers.</x:v>
      </x:c>
      <x:c r="K664" s="63" t="str">
        <x:v>OpenAI 於 2026-02-24 為 ChatGPT Search 更新模型或體驗；此節點依官方發布記錄整理，完整能力、適用方案與限制請見來源。</x:v>
      </x:c>
      <x:c r="L664" s="52" t="str">
        <x:v>https://help.openai.com/en/articles/12591856-chatgpt-atlas-release-notes</x:v>
      </x:c>
      <x:c r="M664" s="52" t="str">
        <x:v>help_center_release_notes</x:v>
      </x:c>
      <x:c r="N664" s="52" t="str">
        <x:v>parsed</x:v>
      </x:c>
      <x:c r="O664" s="52" t="str">
        <x:v>high</x:v>
      </x:c>
      <x:c r="P664" s="60" t="n">
        <x:v>0</x:v>
      </x:c>
      <x:c r="Q664" s="52" t="str"/>
    </x:row>
    <x:row r="665" ht="38" customHeight="1">
      <x:c r="A665" s="57" t="n">
        <x:v>46077</x:v>
      </x:c>
      <x:c r="B665" s="52" t="str">
        <x:v>api-changelog</x:v>
      </x:c>
      <x:c r="C665" s="52" t="str">
        <x:v>OpenAI API Changelog</x:v>
      </x:c>
      <x:c r="D665" s="52" t="str">
        <x:v>developer_platform</x:v>
      </x:c>
      <x:c r="E665" s="52" t="str">
        <x:v>OpenAI API</x:v>
      </x:c>
      <x:c r="F665" s="52" t="str">
        <x:v>feature</x:v>
      </x:c>
      <x:c r="G665" s="52" t="str">
        <x:v>active</x:v>
      </x:c>
      <x:c r="H665" s="63" t="str">
        <x:v>Expanded inputfile support to accept more document, presentation, spreadsheet, code, and text file types.</x:v>
      </x:c>
      <x:c r="I665" s="63" t="str">
        <x:v>功能更新：OpenAI API</x:v>
      </x:c>
      <x:c r="J665" s="63" t="str">
        <x:v>v1/chat/completions Expanded inputfile support to accept more document, presentation, spreadsheet, code, and text file types. Learn more here.</x:v>
      </x:c>
      <x:c r="K665" s="63" t="str">
        <x:v>OpenAI 於 2026-02-24 為 OpenAI API 新增功能；此節點依官方發布記錄整理，完整能力、適用方案與限制請見來源。</x:v>
      </x:c>
      <x:c r="L665" s="52" t="str">
        <x:v>https://platform.openai.com/docs/changelog</x:v>
      </x:c>
      <x:c r="M665" s="52" t="str">
        <x:v>developer_changelog</x:v>
      </x:c>
      <x:c r="N665" s="52" t="str">
        <x:v>parsed</x:v>
      </x:c>
      <x:c r="O665" s="52" t="str">
        <x:v>high</x:v>
      </x:c>
      <x:c r="P665" s="60" t="n">
        <x:v>0</x:v>
      </x:c>
      <x:c r="Q665" s="52" t="str"/>
    </x:row>
    <x:row r="666" ht="38" customHeight="1">
      <x:c r="A666" s="57" t="n">
        <x:v>46077</x:v>
      </x:c>
      <x:c r="B666" s="52" t="str">
        <x:v>lane-openai-api-changelog</x:v>
      </x:c>
      <x:c r="C666" s="52" t="str">
        <x:v>OpenAI API Changelog</x:v>
      </x:c>
      <x:c r="D666" s="52" t="str">
        <x:v>developer_platform</x:v>
      </x:c>
      <x:c r="E666" s="52" t="str">
        <x:v>OpenAI API Platform</x:v>
      </x:c>
      <x:c r="F666" s="52" t="str">
        <x:v>feature</x:v>
      </x:c>
      <x:c r="G666" s="52" t="str">
        <x:v>active</x:v>
      </x:c>
      <x:c r="H666" s="63" t="str">
        <x:v>Expanded inputfile support to accept more document, presentation, spreadsheet, code, and text file types.</x:v>
      </x:c>
      <x:c r="I666" s="63" t="str">
        <x:v>功能更新：OpenAI API Platform</x:v>
      </x:c>
      <x:c r="J666" s="63" t="str">
        <x:v>Expanded inputfile support to accept more document, presentation, spreadsheet, code, and text file types. Learn more here .</x:v>
      </x:c>
      <x:c r="K666" s="63" t="str">
        <x:v>擴充：inputfile support to accept more document, presentation, spreadsheet, code, and text file types。OpenAI 將此列為 2026-02-24 的功能；重點涉及平台功能與可用性，模型、端點與參數名稱依官方英文保留。</x:v>
      </x:c>
      <x:c r="L666" s="52" t="str">
        <x:v>https://developers.openai.com/api/docs/changelog</x:v>
      </x:c>
      <x:c r="M666" s="52" t="str">
        <x:v>official_changelog</x:v>
      </x:c>
      <x:c r="N666" s="52" t="str">
        <x:v>complete</x:v>
      </x:c>
      <x:c r="O666" s="52" t="str">
        <x:v>high</x:v>
      </x:c>
      <x:c r="P666" s="60" t="n">
        <x:v>2</x:v>
      </x:c>
      <x:c r="Q666" s="52" t="str">
        <x:v>api-platform | feature</x:v>
      </x:c>
    </x:row>
    <x:row r="667" ht="38" customHeight="1">
      <x:c r="A667" s="57" t="n">
        <x:v>46077</x:v>
      </x:c>
      <x:c r="B667" s="52" t="str">
        <x:v>atlas-release-notes</x:v>
      </x:c>
      <x:c r="C667" s="52" t="str">
        <x:v>ChatGPT Atlas — Release Notes</x:v>
      </x:c>
      <x:c r="D667" s="52" t="str">
        <x:v>clients_surfaces</x:v>
      </x:c>
      <x:c r="E667" s="52" t="str">
        <x:v>ChatGPT</x:v>
      </x:c>
      <x:c r="F667" s="52" t="str">
        <x:v>model_update</x:v>
      </x:c>
      <x:c r="G667" s="52" t="str">
        <x:v>active</x:v>
      </x:c>
      <x:c r="H667" s="63" t="str">
        <x:v>Improved searching for text on a web page</x:v>
      </x:c>
      <x:c r="I667" s="63" t="str">
        <x:v>模型更新：ChatGPT</x:v>
      </x:c>
      <x:c r="J667" s="63" t="str">
        <x:v>Now, when you do "Command+F" to find text on a page, if there are no exact matches, you can find similar matches.</x:v>
      </x:c>
      <x:c r="K667" s="63" t="str">
        <x:v>OpenAI 於 2026-02-24 為 ChatGPT 更新模型或體驗；此節點依官方發布記錄整理，完整能力、適用方案與限制請見來源。</x:v>
      </x:c>
      <x:c r="L667" s="52" t="str">
        <x:v>https://help.openai.com/en/articles/12591856-chatgpt-atlas-release-notes</x:v>
      </x:c>
      <x:c r="M667" s="52" t="str">
        <x:v>help_center_release_notes</x:v>
      </x:c>
      <x:c r="N667" s="52" t="str">
        <x:v>parsed</x:v>
      </x:c>
      <x:c r="O667" s="52" t="str">
        <x:v>high</x:v>
      </x:c>
      <x:c r="P667" s="60" t="n">
        <x:v>0</x:v>
      </x:c>
      <x:c r="Q667" s="52" t="str"/>
    </x:row>
    <x:row r="668" ht="38" customHeight="1">
      <x:c r="A668" s="57" t="n">
        <x:v>46077</x:v>
      </x:c>
      <x:c r="B668" s="52" t="str">
        <x:v>atlas-release-notes</x:v>
      </x:c>
      <x:c r="C668" s="52" t="str">
        <x:v>ChatGPT Atlas — Release Notes</x:v>
      </x:c>
      <x:c r="D668" s="52" t="str">
        <x:v>clients_surfaces</x:v>
      </x:c>
      <x:c r="E668" s="52" t="str">
        <x:v>ChatGPT Atlas</x:v>
      </x:c>
      <x:c r="F668" s="52" t="str">
        <x:v>model_update</x:v>
      </x:c>
      <x:c r="G668" s="52" t="str">
        <x:v>active</x:v>
      </x:c>
      <x:c r="H668" s="63" t="str">
        <x:v>More persistent Atlas Agent Mode</x:v>
      </x:c>
      <x:c r="I668" s="63" t="str">
        <x:v>更持續執行的 Atlas Agent Mode</x:v>
      </x:c>
      <x:c r="J668" s="63" t="str">
        <x:v>Atlas made Agent Mode more persistent on repetitive tasks, added semantic fallback to Find in Page, and fixed tab and keyboard issues.</x:v>
      </x:c>
      <x:c r="K668" s="63" t="str">
        <x:v>Atlas 讓 Agent Mode 更能持續完成重複工作，為頁面搜尋加入近似匹配，並修正分頁與鍵盤問題。</x:v>
      </x:c>
      <x:c r="L668" s="52" t="str">
        <x:v>https://help.openai.com/en/articles/12591856-chatgpt-atlas-release-notes</x:v>
      </x:c>
      <x:c r="M668" s="52" t="str">
        <x:v>help_center_release_notes</x:v>
      </x:c>
      <x:c r="N668" s="52" t="str">
        <x:v>parsed</x:v>
      </x:c>
      <x:c r="O668" s="52" t="str">
        <x:v>high</x:v>
      </x:c>
      <x:c r="P668" s="60" t="n">
        <x:v>3</x:v>
      </x:c>
      <x:c r="Q668" s="52" t="str">
        <x:v>agent | atlas</x:v>
      </x:c>
    </x:row>
    <x:row r="669" ht="38" customHeight="1">
      <x:c r="A669" s="57" t="n">
        <x:v>46077</x:v>
      </x:c>
      <x:c r="B669" s="52" t="str">
        <x:v>api-changelog</x:v>
      </x:c>
      <x:c r="C669" s="52" t="str">
        <x:v>OpenAI API Changelog</x:v>
      </x:c>
      <x:c r="D669" s="52" t="str">
        <x:v>agents_research</x:v>
      </x:c>
      <x:c r="E669" s="52" t="str">
        <x:v>GPT-5.3-Codex</x:v>
      </x:c>
      <x:c r="F669" s="52" t="str">
        <x:v>model_release</x:v>
      </x:c>
      <x:c r="G669" s="52" t="str">
        <x:v>active</x:v>
      </x:c>
      <x:c r="H669" s="63" t="str">
        <x:v>Released gpt-5.3-codex to the Responses API.</x:v>
      </x:c>
      <x:c r="I669" s="63" t="str">
        <x:v>模型發布：GPT-5.3-Codex</x:v>
      </x:c>
      <x:c r="J669" s="63" t="str">
        <x:v>Released gpt-5.3-codex to the Responses API. Read more here.</x:v>
      </x:c>
      <x:c r="K669" s="63" t="str">
        <x:v>OpenAI 於 2026-02-24 為 GPT-5.3-Codex 發布模型；此節點依官方發布記錄整理，完整能力、適用方案與限制請見來源。</x:v>
      </x:c>
      <x:c r="L669" s="52" t="str">
        <x:v>https://platform.openai.com/docs/changelog</x:v>
      </x:c>
      <x:c r="M669" s="52" t="str">
        <x:v>developer_changelog</x:v>
      </x:c>
      <x:c r="N669" s="52" t="str">
        <x:v>parsed</x:v>
      </x:c>
      <x:c r="O669" s="52" t="str">
        <x:v>high</x:v>
      </x:c>
      <x:c r="P669" s="60" t="n">
        <x:v>0</x:v>
      </x:c>
      <x:c r="Q669" s="52" t="str"/>
    </x:row>
    <x:row r="670" ht="38" customHeight="1">
      <x:c r="A670" s="57" t="n">
        <x:v>46077</x:v>
      </x:c>
      <x:c r="B670" s="52" t="str">
        <x:v>lane-openai-api-changelog</x:v>
      </x:c>
      <x:c r="C670" s="52" t="str">
        <x:v>OpenAI API Changelog</x:v>
      </x:c>
      <x:c r="D670" s="52" t="str">
        <x:v>agents_research</x:v>
      </x:c>
      <x:c r="E670" s="52" t="str">
        <x:v>Codex</x:v>
      </x:c>
      <x:c r="F670" s="52" t="str">
        <x:v>model_release</x:v>
      </x:c>
      <x:c r="G670" s="52" t="str">
        <x:v>active</x:v>
      </x:c>
      <x:c r="H670" s="63" t="str">
        <x:v>Released gpt-5.3-codex to the Responses API.</x:v>
      </x:c>
      <x:c r="I670" s="63" t="str">
        <x:v>推出：gpt-5.3-codex to Responses API.</x:v>
      </x:c>
      <x:c r="J670" s="63" t="str">
        <x:v>Released gpt-5.3-codex to the Responses API. Read more here .</x:v>
      </x:c>
      <x:c r="K670" s="63" t="str">
        <x:v>推出：gpt-5.3-codex to Responses API。OpenAI 將此列為 2026-02-24 的功能；重點涉及Codex 編碼代理、代理與工具調用，模型、端點與參數名稱依官方英文保留。</x:v>
      </x:c>
      <x:c r="L670" s="52" t="str">
        <x:v>https://developers.openai.com/api/docs/changelog</x:v>
      </x:c>
      <x:c r="M670" s="52" t="str">
        <x:v>official_changelog</x:v>
      </x:c>
      <x:c r="N670" s="52" t="str">
        <x:v>complete</x:v>
      </x:c>
      <x:c r="O670" s="52" t="str">
        <x:v>high</x:v>
      </x:c>
      <x:c r="P670" s="60" t="n">
        <x:v>4</x:v>
      </x:c>
      <x:c r="Q670" s="52" t="str">
        <x:v>codex | coding-agent | feature</x:v>
      </x:c>
    </x:row>
    <x:row r="671" ht="38" customHeight="1">
      <x:c r="A671" s="57" t="n">
        <x:v>46077</x:v>
      </x:c>
      <x:c r="B671" s="52" t="str">
        <x:v>api-changelog</x:v>
      </x:c>
      <x:c r="C671" s="52" t="str">
        <x:v>OpenAI API Changelog</x:v>
      </x:c>
      <x:c r="D671" s="52" t="str">
        <x:v>models_reasoning</x:v>
      </x:c>
      <x:c r="E671" s="52" t="str">
        <x:v>Responses API</x:v>
      </x:c>
      <x:c r="F671" s="52" t="str">
        <x:v>launch</x:v>
      </x:c>
      <x:c r="G671" s="52" t="str">
        <x:v>active</x:v>
      </x:c>
      <x:c r="H671" s="63" t="str">
        <x:v>Released phase to the Responses API.</x:v>
      </x:c>
      <x:c r="I671" s="63" t="str">
        <x:v>推出：Responses API</x:v>
      </x:c>
      <x:c r="J671" s="63" t="str">
        <x:v>Released phase to the Responses API. It labels an assistant message as intermediate commentary (commentary) or the final answer (finalanswer). Read more here%20responses%20%3E%20(model)%20easyinputmessage%20%3E%20(schema)%20%3E%20(property)%20phase).</x:v>
      </x:c>
      <x:c r="K671" s="63" t="str">
        <x:v>OpenAI 於 2026-02-24 為 Responses API 推出新產品或能力；此節點依官方發布記錄整理，完整能力、適用方案與限制請見來源。</x:v>
      </x:c>
      <x:c r="L671" s="52" t="str">
        <x:v>https://platform.openai.com/docs/changelog</x:v>
      </x:c>
      <x:c r="M671" s="52" t="str">
        <x:v>developer_changelog</x:v>
      </x:c>
      <x:c r="N671" s="52" t="str">
        <x:v>parsed</x:v>
      </x:c>
      <x:c r="O671" s="52" t="str">
        <x:v>high</x:v>
      </x:c>
      <x:c r="P671" s="60" t="n">
        <x:v>0</x:v>
      </x:c>
      <x:c r="Q671" s="52" t="str"/>
    </x:row>
    <x:row r="672" ht="38" customHeight="1">
      <x:c r="A672" s="57" t="n">
        <x:v>46077</x:v>
      </x:c>
      <x:c r="B672" s="52" t="str">
        <x:v>lane-openai-api-changelog</x:v>
      </x:c>
      <x:c r="C672" s="52" t="str">
        <x:v>OpenAI API Changelog</x:v>
      </x:c>
      <x:c r="D672" s="52" t="str">
        <x:v>agents_research</x:v>
      </x:c>
      <x:c r="E672" s="52" t="str">
        <x:v>Responses API</x:v>
      </x:c>
      <x:c r="F672" s="52" t="str">
        <x:v>launch</x:v>
      </x:c>
      <x:c r="G672" s="52" t="str">
        <x:v>active</x:v>
      </x:c>
      <x:c r="H672" s="63" t="str">
        <x:v>Released phase to the Responses API.</x:v>
      </x:c>
      <x:c r="I672" s="63" t="str">
        <x:v>推出：phase to Responses API.</x:v>
      </x:c>
      <x:c r="J672" s="63" t="str">
        <x:v>Released phase to the Responses API. It labels an assistant message as intermediate commentary ( commentary ) or the final answer ( finalanswer ). Read more here .</x:v>
      </x:c>
      <x:c r="K672" s="63" t="str">
        <x:v>推出：phase to Responses API。OpenAI 將此列為 2026-02-24 的功能；重點涉及代理與工具調用，模型、端點與參數名稱依官方英文保留。</x:v>
      </x:c>
      <x:c r="L672" s="52" t="str">
        <x:v>https://developers.openai.com/api/docs/changelog</x:v>
      </x:c>
      <x:c r="M672" s="52" t="str">
        <x:v>official_changelog</x:v>
      </x:c>
      <x:c r="N672" s="52" t="str">
        <x:v>complete</x:v>
      </x:c>
      <x:c r="O672" s="52" t="str">
        <x:v>high</x:v>
      </x:c>
      <x:c r="P672" s="60" t="n">
        <x:v>3</x:v>
      </x:c>
      <x:c r="Q672" s="52" t="str">
        <x:v>agents | feature | responses-api</x:v>
      </x:c>
    </x:row>
    <x:row r="673" ht="38" customHeight="1">
      <x:c r="A673" s="57" t="n">
        <x:v>46078</x:v>
      </x:c>
      <x:c r="B673" s="52" t="str">
        <x:v>chatgpt-release-notes</x:v>
      </x:c>
      <x:c r="C673" s="52" t="str">
        <x:v>ChatGPT — Release Notes</x:v>
      </x:c>
      <x:c r="D673" s="52" t="str">
        <x:v>memory_knowledge</x:v>
      </x:c>
      <x:c r="E673" s="52" t="str">
        <x:v>ChatGPT Projects</x:v>
      </x:c>
      <x:c r="F673" s="52" t="str">
        <x:v>feature</x:v>
      </x:c>
      <x:c r="G673" s="52" t="str">
        <x:v>active</x:v>
      </x:c>
      <x:c r="H673" s="63" t="str">
        <x:v>Add sources to your projects from anywhere</x:v>
      </x:c>
      <x:c r="I673" s="63" t="str">
        <x:v>從任何地方將來源新增至您的專案</x:v>
      </x:c>
      <x:c r="J673" s="63" t="str">
        <x:v>Projects now make it easy to build a living knowledge base by adding sources wherever your context already lives; from apps, conversations, or quick text inputs. Sources from apps: Paste a link to a Slack channel or Google Drive file or folder to add it directly as a project source. Additionally, use connected apps directly in chats. Sources from chats: Save useful ChatGPT responses into your project so great outputs become reusable…</x:v>
      </x:c>
      <x:c r="K673" s="63" t="str">
        <x:v>現在，透過在您現有的上下文環境中新增來源，專案能更輕鬆地建立動態知識庫；這些來源可來自應用程式、對話或快速文字輸入。來自應用程式的來源：貼上 Slack 頻道或 Google Drive 檔案或資料夾的連結，即可直接將其新增為專案來源。此外，還能直接在聊天中使用已連結的應用程式……</x:v>
      </x:c>
      <x:c r="L673" s="52" t="str">
        <x:v>https://help.openai.com/en/articles/6825453-chatgpt-release-notes</x:v>
      </x:c>
      <x:c r="M673" s="52" t="str">
        <x:v>help_center_release_notes</x:v>
      </x:c>
      <x:c r="N673" s="52" t="str">
        <x:v>complete</x:v>
      </x:c>
      <x:c r="O673" s="52" t="str">
        <x:v>high</x:v>
      </x:c>
      <x:c r="P673" s="60" t="n">
        <x:v>3</x:v>
      </x:c>
      <x:c r="Q673" s="52" t="str">
        <x:v>2026 | feature | memory-knowledge | projects</x:v>
      </x:c>
    </x:row>
    <x:row r="674" ht="38" customHeight="1">
      <x:c r="A674" s="57" t="n">
        <x:v>46079</x:v>
      </x:c>
      <x:c r="B674" s="52" t="str">
        <x:v>codex-changelog</x:v>
      </x:c>
      <x:c r="C674" s="52" t="str">
        <x:v>Codex Changelog</x:v>
      </x:c>
      <x:c r="D674" s="52" t="str">
        <x:v>agents_research</x:v>
      </x:c>
      <x:c r="E674" s="52" t="str">
        <x:v>Codex</x:v>
      </x:c>
      <x:c r="F674" s="52" t="str">
        <x:v>platform</x:v>
      </x:c>
      <x:c r="G674" s="52" t="str">
        <x:v>active</x:v>
      </x:c>
      <x:c r="H674" s="63" t="str">
        <x:v>Codex app 26.226</x:v>
      </x:c>
      <x:c r="I674" s="63" t="str">
        <x:v>Codex app 26.226 更新</x:v>
      </x:c>
      <x:c r="J674" s="63" t="str">
        <x:v>New features Added new MCP shortcuts in the composer, including install keyword suggestions and an MCP server submenu in Add context . Added support for @mentions and skill mentions in inline review comments. Performance improvements and bug fixes Improved rendering of MCP tool calls and Mermaid diagram error handling. Fixed an issue where stopped terminal commands could continue appearing as running. Additional performance improveme…</x:v>
      </x:c>
      <x:c r="K674" s="63" t="str">
        <x:v>Codex Changelog 在 2026-02-26 記錄了Codex 編碼代理、代理與工具調用、可靠性與效能修正相關更新；完整版本與修正內容見官方英文摘要。</x:v>
      </x:c>
      <x:c r="L674" s="52" t="str">
        <x:v>https://developers.openai.com/codex/changelog/</x:v>
      </x:c>
      <x:c r="M674" s="52" t="str">
        <x:v>developer_changelog</x:v>
      </x:c>
      <x:c r="N674" s="52" t="str">
        <x:v>complete</x:v>
      </x:c>
      <x:c r="O674" s="52" t="str">
        <x:v>high</x:v>
      </x:c>
      <x:c r="P674" s="60" t="n">
        <x:v>3</x:v>
      </x:c>
      <x:c r="Q674" s="52" t="str">
        <x:v>codex | release-notes</x:v>
      </x:c>
    </x:row>
    <x:row r="675" ht="38" customHeight="1">
      <x:c r="A675" s="57" t="n">
        <x:v>46080</x:v>
      </x:c>
      <x:c r="B675" s="52" t="str">
        <x:v>chatgpt-release-notes</x:v>
      </x:c>
      <x:c r="C675" s="52" t="str">
        <x:v>ChatGPT — Release Notes</x:v>
      </x:c>
      <x:c r="D675" s="52" t="str">
        <x:v>clients_surfaces</x:v>
      </x:c>
      <x:c r="E675" s="52" t="str">
        <x:v>ChatGPT Images</x:v>
      </x:c>
      <x:c r="F675" s="52" t="str">
        <x:v>model_update</x:v>
      </x:c>
      <x:c r="G675" s="52" t="str">
        <x:v>active</x:v>
      </x:c>
      <x:c r="H675" s="63" t="str">
        <x:v>ChatGPT Web and Android updates: Edit image prompts, share faster, and smoother conversations</x:v>
      </x:c>
      <x:c r="I675" s="63" t="str">
        <x:v>模型更新：ChatGPT Images</x:v>
      </x:c>
      <x:c r="J675" s="63" t="str">
        <x:v>Edit messages with images.You can now edit messages that include image attachments, so you don’t have to start over to adjust your prompt or regenerate results. Open search results in a new tab.Cmd+click in the search panel now opens results in a new tab, making it easier to explore without losing your place.</x:v>
      </x:c>
      <x:c r="K675" s="63" t="str">
        <x:v>OpenAI 於 2026-02-27 為 ChatGPT Images 更新模型或體驗；此節點依官方發布記錄整理，完整能力、適用方案與限制請見來源。</x:v>
      </x:c>
      <x:c r="L675" s="52" t="str">
        <x:v>https://help.openai.com/en/articles/6825453-chatgpt-release-notes</x:v>
      </x:c>
      <x:c r="M675" s="52" t="str">
        <x:v>help_center_release_notes</x:v>
      </x:c>
      <x:c r="N675" s="52" t="str">
        <x:v>parsed</x:v>
      </x:c>
      <x:c r="O675" s="52" t="str">
        <x:v>high</x:v>
      </x:c>
      <x:c r="P675" s="60" t="n">
        <x:v>0</x:v>
      </x:c>
      <x:c r="Q675" s="52" t="str"/>
    </x:row>
    <x:row r="676" ht="38" customHeight="1">
      <x:c r="A676" s="57" t="n">
        <x:v>46080</x:v>
      </x:c>
      <x:c r="B676" s="52" t="str">
        <x:v>codex-changelog</x:v>
      </x:c>
      <x:c r="C676" s="52" t="str">
        <x:v>Codex Changelog</x:v>
      </x:c>
      <x:c r="D676" s="52" t="str">
        <x:v>agents_research</x:v>
      </x:c>
      <x:c r="E676" s="52" t="str">
        <x:v>Codex</x:v>
      </x:c>
      <x:c r="F676" s="52" t="str">
        <x:v>model_update</x:v>
      </x:c>
      <x:c r="G676" s="52" t="str">
        <x:v>active</x:v>
      </x:c>
      <x:c r="H676" s="63" t="str">
        <x:v>Codex app 26.227</x:v>
      </x:c>
      <x:c r="I676" s="63" t="str">
        <x:v>Codex app 26.227 更新</x:v>
      </x:c>
      <x:c r="J676" s="63" t="str">
        <x:v>New features Added pull request status badges in task rows and PR buttons, including draft, open, merged, and closed states. Added a Worktrees setting to choose how many Codex-managed worktrees to keep before older ones are cleaned up. Performance improvements and bug fixes Improved scrolling and navigation in long conversations and code review, including fixes for thread jumpiness, sidebar jitter, and diff scrolling. Improved app st…</x:v>
      </x:c>
      <x:c r="K676" s="63" t="str">
        <x:v>Codex Changelog 在 2026-02-27 記錄了Codex 編碼代理、可靠性與效能修正相關更新；完整版本與修正內容見官方英文摘要。</x:v>
      </x:c>
      <x:c r="L676" s="52" t="str">
        <x:v>https://developers.openai.com/codex/changelog/</x:v>
      </x:c>
      <x:c r="M676" s="52" t="str">
        <x:v>developer_changelog</x:v>
      </x:c>
      <x:c r="N676" s="52" t="str">
        <x:v>complete</x:v>
      </x:c>
      <x:c r="O676" s="52" t="str">
        <x:v>high</x:v>
      </x:c>
      <x:c r="P676" s="60" t="n">
        <x:v>2</x:v>
      </x:c>
      <x:c r="Q676" s="52" t="str">
        <x:v>codex | release-notes</x:v>
      </x:c>
    </x:row>
    <x:row r="677" ht="38" customHeight="1">
      <x:c r="A677" s="57" t="n">
        <x:v>46080</x:v>
      </x:c>
      <x:c r="B677" s="52" t="str">
        <x:v>chatgpt-release-notes</x:v>
      </x:c>
      <x:c r="C677" s="52" t="str">
        <x:v>ChatGPT — Release Notes</x:v>
      </x:c>
      <x:c r="D677" s="52" t="str">
        <x:v>multimodal</x:v>
      </x:c>
      <x:c r="E677" s="52" t="str">
        <x:v>ChatGPT Images</x:v>
      </x:c>
      <x:c r="F677" s="52" t="str">
        <x:v>feature</x:v>
      </x:c>
      <x:c r="G677" s="52" t="str">
        <x:v>active</x:v>
      </x:c>
      <x:c r="H677" s="63" t="str">
        <x:v>Edit image prompts on ChatGPT web</x:v>
      </x:c>
      <x:c r="I677" s="63" t="str">
        <x:v>在 ChatGPT 網頁版編輯圖片提示詞</x:v>
      </x:c>
      <x:c r="J677" s="63" t="str">
        <x:v>ChatGPT web lets users edit the prompt associated with a generated image and regenerate from the revised instruction.</x:v>
      </x:c>
      <x:c r="K677" s="63" t="str">
        <x:v>ChatGPT 網頁版允許使用者編輯與生成圖片相關的提示詞，並根據修正後的指令重新生成。</x:v>
      </x:c>
      <x:c r="L677" s="52" t="str">
        <x:v>https://help.openai.com/en/articles/6825453-chatgpt-release-notes</x:v>
      </x:c>
      <x:c r="M677" s="52" t="str">
        <x:v>help_center_release_notes</x:v>
      </x:c>
      <x:c r="N677" s="52" t="str">
        <x:v>complete</x:v>
      </x:c>
      <x:c r="O677" s="52" t="str">
        <x:v>high</x:v>
      </x:c>
      <x:c r="P677" s="60" t="n">
        <x:v>3</x:v>
      </x:c>
      <x:c r="Q677" s="52" t="str">
        <x:v>2026 | chatgpt-images | feature | multimodal</x:v>
      </x:c>
    </x:row>
    <x:row r="678" ht="38" customHeight="1">
      <x:c r="A678" s="57" t="n">
        <x:v>46080</x:v>
      </x:c>
      <x:c r="B678" s="52" t="str">
        <x:v>chatgpt-release-notes</x:v>
      </x:c>
      <x:c r="C678" s="52" t="str">
        <x:v>ChatGPT — Release Notes</x:v>
      </x:c>
      <x:c r="D678" s="52" t="str">
        <x:v>chatgpt_core</x:v>
      </x:c>
      <x:c r="E678" s="52" t="str">
        <x:v>ChatGPT</x:v>
      </x:c>
      <x:c r="F678" s="52" t="str">
        <x:v>feature</x:v>
      </x:c>
      <x:c r="G678" s="52" t="str">
        <x:v>active</x:v>
      </x:c>
      <x:c r="H678" s="63" t="str">
        <x:v>Faster sharing on ChatGPT web</x:v>
      </x:c>
      <x:c r="I678" s="63" t="str">
        <x:v>ChatGPT 網頁版更快速的分享功能</x:v>
      </x:c>
      <x:c r="J678" s="63" t="str">
        <x:v>ChatGPT web streamlined the flow for sharing conversations.</x:v>
      </x:c>
      <x:c r="K678" s="63" t="str">
        <x:v>ChatGPT 網頁版簡化了分享對話的流程。</x:v>
      </x:c>
      <x:c r="L678" s="52" t="str">
        <x:v>https://help.openai.com/en/articles/6825453-chatgpt-release-notes</x:v>
      </x:c>
      <x:c r="M678" s="52" t="str">
        <x:v>help_center_release_notes</x:v>
      </x:c>
      <x:c r="N678" s="52" t="str">
        <x:v>complete</x:v>
      </x:c>
      <x:c r="O678" s="52" t="str">
        <x:v>high</x:v>
      </x:c>
      <x:c r="P678" s="60" t="n">
        <x:v>2</x:v>
      </x:c>
      <x:c r="Q678" s="52" t="str">
        <x:v>2026 | chatgpt | chatgpt-core | feature</x:v>
      </x:c>
    </x:row>
    <x:row r="679" ht="38" customHeight="1">
      <x:c r="A679" s="57" t="n">
        <x:v>46080</x:v>
      </x:c>
      <x:c r="B679" s="52" t="str">
        <x:v>chatgpt-release-notes</x:v>
      </x:c>
      <x:c r="C679" s="52" t="str">
        <x:v>ChatGPT — Release Notes</x:v>
      </x:c>
      <x:c r="D679" s="52" t="str">
        <x:v>clients_surfaces</x:v>
      </x:c>
      <x:c r="E679" s="52" t="str">
        <x:v>ChatGPT</x:v>
      </x:c>
      <x:c r="F679" s="52" t="str">
        <x:v>feature</x:v>
      </x:c>
      <x:c r="G679" s="52" t="str">
        <x:v>active</x:v>
      </x:c>
      <x:c r="H679" s="63" t="str">
        <x:v>Smoother conversations on Android</x:v>
      </x:c>
      <x:c r="I679" s="63" t="str">
        <x:v>Android 版更順暢的對話體驗</x:v>
      </x:c>
      <x:c r="J679" s="63" t="str">
        <x:v>ChatGPT for Android received conversation and interface refinements intended to make interactions smoother.</x:v>
      </x:c>
      <x:c r="K679" s="63" t="str">
        <x:v>Android 版 ChatGPT 針對對話和介面進行了改進，旨在讓互動更順暢。</x:v>
      </x:c>
      <x:c r="L679" s="52" t="str">
        <x:v>https://help.openai.com/en/articles/6825453-chatgpt-release-notes</x:v>
      </x:c>
      <x:c r="M679" s="52" t="str">
        <x:v>help_center_release_notes</x:v>
      </x:c>
      <x:c r="N679" s="52" t="str">
        <x:v>complete</x:v>
      </x:c>
      <x:c r="O679" s="52" t="str">
        <x:v>high</x:v>
      </x:c>
      <x:c r="P679" s="60" t="n">
        <x:v>3</x:v>
      </x:c>
      <x:c r="Q679" s="52" t="str">
        <x:v>2026 | chatgpt | clients-surfaces | feature</x:v>
      </x:c>
    </x:row>
    <x:row r="680" ht="38" customHeight="1">
      <x:c r="A680" s="57" t="n">
        <x:v>46081</x:v>
      </x:c>
      <x:c r="B680" s="52" t="str">
        <x:v>codex-changelog</x:v>
      </x:c>
      <x:c r="C680" s="52" t="str">
        <x:v>Codex Changelog</x:v>
      </x:c>
      <x:c r="D680" s="52" t="str">
        <x:v>agents_research</x:v>
      </x:c>
      <x:c r="E680" s="52" t="str">
        <x:v>Codex</x:v>
      </x:c>
      <x:c r="F680" s="52" t="str">
        <x:v>model_update</x:v>
      </x:c>
      <x:c r="G680" s="52" t="str">
        <x:v>active</x:v>
      </x:c>
      <x:c r="H680" s="63" t="str">
        <x:v>Codex app 26.228</x:v>
      </x:c>
      <x:c r="I680" s="63" t="str">
        <x:v>Codex app 26.228 更新</x:v>
      </x:c>
      <x:c r="J680" s="63" t="str">
        <x:v>Performance improvements and bug fixes Fixed a regression where conversation and task views could stop updating while Codex was streaming a response. Additional performance improvements and bug fixes.</x:v>
      </x:c>
      <x:c r="K680" s="63" t="str">
        <x:v>Codex Changelog 在 2026-02-28 記錄了Codex 編碼代理、可靠性與效能修正相關更新；完整版本與修正內容見官方英文摘要。</x:v>
      </x:c>
      <x:c r="L680" s="52" t="str">
        <x:v>https://developers.openai.com/codex/changelog/</x:v>
      </x:c>
      <x:c r="M680" s="52" t="str">
        <x:v>developer_changelog</x:v>
      </x:c>
      <x:c r="N680" s="52" t="str">
        <x:v>complete</x:v>
      </x:c>
      <x:c r="O680" s="52" t="str">
        <x:v>high</x:v>
      </x:c>
      <x:c r="P680" s="60" t="n">
        <x:v>2</x:v>
      </x:c>
      <x:c r="Q680" s="52" t="str">
        <x:v>codex | release-notes</x:v>
      </x:c>
    </x:row>
    <x:row r="681" ht="38" customHeight="1">
      <x:c r="A681" s="57" t="n">
        <x:v>46084</x:v>
      </x:c>
      <x:c r="B681" s="52" t="str">
        <x:v>atlas-release-notes</x:v>
      </x:c>
      <x:c r="C681" s="52" t="str">
        <x:v>ChatGPT Atlas — Release Notes</x:v>
      </x:c>
      <x:c r="D681" s="52" t="str">
        <x:v>clients_surfaces</x:v>
      </x:c>
      <x:c r="E681" s="52" t="str">
        <x:v>ChatGPT Atlas</x:v>
      </x:c>
      <x:c r="F681" s="52" t="str">
        <x:v>model_update</x:v>
      </x:c>
      <x:c r="G681" s="52" t="str">
        <x:v>active</x:v>
      </x:c>
      <x:c r="H681" s="63" t="str">
        <x:v>Atlas bug-fix build 1.2026.56.5</x:v>
      </x:c>
      <x:c r="I681" s="63" t="str">
        <x:v>Atlas 1.2026.56.5 錯誤修正</x:v>
      </x:c>
      <x:c r="J681" s="63" t="str">
        <x:v>OpenAI shipped an Atlas maintenance build focused on bug fixes.</x:v>
      </x:c>
      <x:c r="K681" s="63" t="str">
        <x:v>OpenAI 發布以錯誤修正為主的 Atlas 維護版本。</x:v>
      </x:c>
      <x:c r="L681" s="52" t="str">
        <x:v>https://help.openai.com/en/articles/12591856-chatgpt-atlas-release-notes</x:v>
      </x:c>
      <x:c r="M681" s="52" t="str">
        <x:v>help_center_release_notes</x:v>
      </x:c>
      <x:c r="N681" s="52" t="str">
        <x:v>parsed</x:v>
      </x:c>
      <x:c r="O681" s="52" t="str">
        <x:v>high</x:v>
      </x:c>
      <x:c r="P681" s="60" t="n">
        <x:v>1</x:v>
      </x:c>
      <x:c r="Q681" s="52" t="str">
        <x:v>atlas | fix</x:v>
      </x:c>
    </x:row>
    <x:row r="682" ht="38" customHeight="1">
      <x:c r="A682" s="57" t="n">
        <x:v>46084</x:v>
      </x:c>
      <x:c r="B682" s="52" t="str">
        <x:v>codex-changelog</x:v>
      </x:c>
      <x:c r="C682" s="52" t="str">
        <x:v>Codex Changelog</x:v>
      </x:c>
      <x:c r="D682" s="52" t="str">
        <x:v>agents_research</x:v>
      </x:c>
      <x:c r="E682" s="52" t="str">
        <x:v>Codex</x:v>
      </x:c>
      <x:c r="F682" s="52" t="str">
        <x:v>model_update</x:v>
      </x:c>
      <x:c r="G682" s="52" t="str">
        <x:v>active</x:v>
      </x:c>
      <x:c r="H682" s="63" t="str">
        <x:v>Codex app 26.303</x:v>
      </x:c>
      <x:c r="I682" s="63" t="str">
        <x:v>Codex app 26.303 更新</x:v>
      </x:c>
      <x:c r="J682" s="63" t="str">
        <x:v>New features Added a Worktrees setting to turn automatic cleanup of Codex-managed worktrees on or off. Added Handoff support for moving a thread between Local and Worktree . Added an explicit English option in the language menu. Performance improvements and bug fixes Improved GitHub and pull request workflows. Improved approval prompts and app connection sign-in flows. Additional performance improvements and bug fixes.</x:v>
      </x:c>
      <x:c r="K682" s="63" t="str">
        <x:v>Codex Changelog 在 2026-03-03 記錄了Codex 編碼代理、可靠性與效能修正相關更新；完整版本與修正內容見官方英文摘要。</x:v>
      </x:c>
      <x:c r="L682" s="52" t="str">
        <x:v>https://developers.openai.com/codex/changelog/</x:v>
      </x:c>
      <x:c r="M682" s="52" t="str">
        <x:v>developer_changelog</x:v>
      </x:c>
      <x:c r="N682" s="52" t="str">
        <x:v>complete</x:v>
      </x:c>
      <x:c r="O682" s="52" t="str">
        <x:v>high</x:v>
      </x:c>
      <x:c r="P682" s="60" t="n">
        <x:v>2</x:v>
      </x:c>
      <x:c r="Q682" s="52" t="str">
        <x:v>codex | release-notes</x:v>
      </x:c>
    </x:row>
    <x:row r="683" ht="38" customHeight="1">
      <x:c r="A683" s="57" t="n">
        <x:v>46084</x:v>
      </x:c>
      <x:c r="B683" s="52" t="str">
        <x:v>chatgpt-release-notes</x:v>
      </x:c>
      <x:c r="C683" s="52" t="str">
        <x:v>ChatGPT — Release Notes</x:v>
      </x:c>
      <x:c r="D683" s="52" t="str">
        <x:v>models_reasoning</x:v>
      </x:c>
      <x:c r="E683" s="52" t="str">
        <x:v>GPT-5.3</x:v>
      </x:c>
      <x:c r="F683" s="52" t="str">
        <x:v>model_update</x:v>
      </x:c>
      <x:c r="G683" s="52" t="str">
        <x:v>active</x:v>
      </x:c>
      <x:c r="H683" s="63" t="str">
        <x:v>GPT-5.3 Instant Update</x:v>
      </x:c>
      <x:c r="I683" s="63" t="str">
        <x:v>GPT-5.3 Instant 更新</x:v>
      </x:c>
      <x:c r="J683" s="63" t="str">
        <x:v>GPT‑5.3 Instant delivers more accurate answers, richer and better-contextualized results when searching the web, and reduces unnecessary dead ends, caveats, and overly declarative phrasing that can interrupt the flow of conversation. This update focuses on the parts of the ChatGPT experience people feel every day: tone, relevance, and conversational flow. These are nuanced problems that don’t always show up in benchmarks, but shape w…</x:v>
      </x:c>
      <x:c r="K683" s="63" t="str">
        <x:v>GPT-5.3 Instant 在搜尋網路時能提供更準確的答案、更豐富且具備更好上下文連結的結果，並減少不必要的死胡同、警告事項和過於斷言的措辭，這些情況可能會中斷對話流程。此更新重點在於人們日常感受到的 ChatGPT 體驗部分：語氣、相關性和對話流程……</x:v>
      </x:c>
      <x:c r="L683" s="52" t="str">
        <x:v>https://help.openai.com/en/articles/6825453-chatgpt-release-notes</x:v>
      </x:c>
      <x:c r="M683" s="52" t="str">
        <x:v>help_center_release_notes</x:v>
      </x:c>
      <x:c r="N683" s="52" t="str">
        <x:v>complete</x:v>
      </x:c>
      <x:c r="O683" s="52" t="str">
        <x:v>high</x:v>
      </x:c>
      <x:c r="P683" s="60" t="n">
        <x:v>3</x:v>
      </x:c>
      <x:c r="Q683" s="52" t="str">
        <x:v>2026 | gpt-5.3 | model_update | models-reasoning</x:v>
      </x:c>
    </x:row>
    <x:row r="684" ht="38" customHeight="1">
      <x:c r="A684" s="57" t="n">
        <x:v>46084</x:v>
      </x:c>
      <x:c r="B684" s="52" t="str">
        <x:v>model-release-notes</x:v>
      </x:c>
      <x:c r="C684" s="52" t="str">
        <x:v>Model Release Notes</x:v>
      </x:c>
      <x:c r="D684" s="52" t="str">
        <x:v>models_reasoning</x:v>
      </x:c>
      <x:c r="E684" s="52" t="str">
        <x:v>GPT-5.3</x:v>
      </x:c>
      <x:c r="F684" s="52" t="str">
        <x:v>model_update</x:v>
      </x:c>
      <x:c r="G684" s="52" t="str">
        <x:v>active</x:v>
      </x:c>
      <x:c r="H684" s="63" t="str">
        <x:v>GPT-5.3 Instant Update</x:v>
      </x:c>
      <x:c r="I684" s="63" t="str">
        <x:v>模型更新：GPT-5.3 Instant Update</x:v>
      </x:c>
      <x:c r="J684" s="63" t="str">
        <x:v>GPT‑5.3 Instant delivers more accurate answers, richer and better-contextualized results when searching the web, and reduces unnecessary dead ends, caveats, and overly declarative phrasing that can interrupt the flow of conversation. This update focuses on the parts of the ChatGPT experience people feel every day: tone, relevance, and conversational flow. These are nuanced problems that don’t always show up in benchmarks, but shape w…</x:v>
      </x:c>
      <x:c r="K684" s="63" t="str">
        <x:v>OpenAI 於 2026-03-03 為 GPT-5.3 更新模型或體驗；此節點依官方發布記錄整理，完整能力、適用方案與限制請見來源。</x:v>
      </x:c>
      <x:c r="L684" s="52" t="str">
        <x:v>https://help.openai.com/en/articles/9624314-model-release-notes</x:v>
      </x:c>
      <x:c r="M684" s="52" t="str">
        <x:v>help_center_release_notes</x:v>
      </x:c>
      <x:c r="N684" s="52" t="str">
        <x:v>parsed</x:v>
      </x:c>
      <x:c r="O684" s="52" t="str">
        <x:v>high</x:v>
      </x:c>
      <x:c r="P684" s="60" t="n">
        <x:v>0</x:v>
      </x:c>
      <x:c r="Q684" s="52" t="str"/>
    </x:row>
    <x:row r="685" ht="38" customHeight="1">
      <x:c r="A685" s="57" t="n">
        <x:v>46084</x:v>
      </x:c>
      <x:c r="B685" s="52" t="str">
        <x:v>api-changelog</x:v>
      </x:c>
      <x:c r="C685" s="52" t="str">
        <x:v>OpenAI API Changelog</x:v>
      </x:c>
      <x:c r="D685" s="52" t="str">
        <x:v>models_reasoning</x:v>
      </x:c>
      <x:c r="E685" s="52" t="str">
        <x:v>GPT-5.3</x:v>
      </x:c>
      <x:c r="F685" s="52" t="str">
        <x:v>feature</x:v>
      </x:c>
      <x:c r="G685" s="52" t="str">
        <x:v>active</x:v>
      </x:c>
      <x:c r="H685" s="63" t="str">
        <x:v>gpt-5.3-chat-latest v1/chat/completions</x:v>
      </x:c>
      <x:c r="I685" s="63" t="str">
        <x:v>功能更新：gpt-5.3-chat-latest v1/chat/completions</x:v>
      </x:c>
      <x:c r="J685" s="63" t="str">
        <x:v>gpt-5.3-chat-latest v1/chat/completions</x:v>
      </x:c>
      <x:c r="K685" s="63" t="str">
        <x:v>OpenAI 於 2026-03-03 為 GPT-5.3 新增功能；此節點依官方發布記錄整理，完整能力、適用方案與限制請見來源。</x:v>
      </x:c>
      <x:c r="L685" s="52" t="str">
        <x:v>https://platform.openai.com/docs/changelog</x:v>
      </x:c>
      <x:c r="M685" s="52" t="str">
        <x:v>developer_changelog</x:v>
      </x:c>
      <x:c r="N685" s="52" t="str">
        <x:v>parsed</x:v>
      </x:c>
      <x:c r="O685" s="52" t="str">
        <x:v>high</x:v>
      </x:c>
      <x:c r="P685" s="60" t="n">
        <x:v>0</x:v>
      </x:c>
      <x:c r="Q685" s="52" t="str"/>
    </x:row>
    <x:row r="686" ht="38" customHeight="1">
      <x:c r="A686" s="57" t="n">
        <x:v>46084</x:v>
      </x:c>
      <x:c r="B686" s="52" t="str">
        <x:v>lane-openai-api-changelog</x:v>
      </x:c>
      <x:c r="C686" s="52" t="str">
        <x:v>OpenAI API Changelog</x:v>
      </x:c>
      <x:c r="D686" s="52" t="str">
        <x:v>models_reasoning</x:v>
      </x:c>
      <x:c r="E686" s="52" t="str">
        <x:v>Model Platform</x:v>
      </x:c>
      <x:c r="F686" s="52" t="str">
        <x:v>model_release</x:v>
      </x:c>
      <x:c r="G686" s="52" t="str">
        <x:v>active</x:v>
      </x:c>
      <x:c r="H686" s="63" t="str">
        <x:v>Released gpt-5.3-chat-latest to the Chat Completions and Responses API.</x:v>
      </x:c>
      <x:c r="I686" s="63" t="str">
        <x:v>模型發布：Model Platform</x:v>
      </x:c>
      <x:c r="J686" s="63" t="str">
        <x:v>Released gpt-5.3-chat-latest to the Chat Completions and Responses API. This model points to the GPT-5.3 Instant snapshot currently used in ChatGPT. Read more here .</x:v>
      </x:c>
      <x:c r="K686" s="63" t="str">
        <x:v>推出：gpt-5.3-chat-latest to Chat Completions and Responses API。OpenAI 將此列為 2026-03-03 的功能；重點涉及代理與工具調用，模型、端點與參數名稱依官方英文保留。</x:v>
      </x:c>
      <x:c r="L686" s="52" t="str">
        <x:v>https://developers.openai.com/api/docs/changelog</x:v>
      </x:c>
      <x:c r="M686" s="52" t="str">
        <x:v>official_changelog</x:v>
      </x:c>
      <x:c r="N686" s="52" t="str">
        <x:v>complete</x:v>
      </x:c>
      <x:c r="O686" s="52" t="str">
        <x:v>high</x:v>
      </x:c>
      <x:c r="P686" s="60" t="n">
        <x:v>4</x:v>
      </x:c>
      <x:c r="Q686" s="52" t="str">
        <x:v>api | feature | models</x:v>
      </x:c>
    </x:row>
    <x:row r="687" ht="38" customHeight="1">
      <x:c r="A687" s="57" t="n">
        <x:v>46085</x:v>
      </x:c>
      <x:c r="B687" s="52" t="str">
        <x:v>codex-changelog</x:v>
      </x:c>
      <x:c r="C687" s="52" t="str">
        <x:v>Codex Changelog</x:v>
      </x:c>
      <x:c r="D687" s="52" t="str">
        <x:v>agents_research</x:v>
      </x:c>
      <x:c r="E687" s="52" t="str">
        <x:v>Codex</x:v>
      </x:c>
      <x:c r="F687" s="52" t="str">
        <x:v>availability</x:v>
      </x:c>
      <x:c r="G687" s="52" t="str">
        <x:v>active</x:v>
      </x:c>
      <x:c r="H687" s="63" t="str">
        <x:v>Codex app 26.304</x:v>
      </x:c>
      <x:c r="I687" s="63" t="str">
        <x:v>Codex app 26.304 更新</x:v>
      </x:c>
      <x:c r="J687" s="63" t="str">
        <x:v>Codex app for Windows The Codex app is now available on Windows. The app gives you one interface for working across projects, running parallel agent threads, and reviewing results in one place. The Codex app runs natively on Windows using PowerShell and a native Windows sandbox for bounded permissions, so you can use Codex on Windows without moving your workflow into WSL, onto a virtual machine, or by deactivating the sandbox. The Wi…</x:v>
      </x:c>
      <x:c r="K687" s="63" t="str">
        <x:v>Codex Changelog 在 2026-03-04 記錄了Codex 編碼代理、代理與工具調用相關更新；完整版本與修正內容見官方英文摘要。</x:v>
      </x:c>
      <x:c r="L687" s="52" t="str">
        <x:v>https://developers.openai.com/codex/changelog/</x:v>
      </x:c>
      <x:c r="M687" s="52" t="str">
        <x:v>developer_changelog</x:v>
      </x:c>
      <x:c r="N687" s="52" t="str">
        <x:v>complete</x:v>
      </x:c>
      <x:c r="O687" s="52" t="str">
        <x:v>high</x:v>
      </x:c>
      <x:c r="P687" s="60" t="n">
        <x:v>2</x:v>
      </x:c>
      <x:c r="Q687" s="52" t="str">
        <x:v>codex | release-notes</x:v>
      </x:c>
    </x:row>
    <x:row r="688" ht="38" customHeight="1">
      <x:c r="A688" s="57" t="n">
        <x:v>46085</x:v>
      </x:c>
      <x:c r="B688" s="52" t="str">
        <x:v>chatgpt-release-notes</x:v>
      </x:c>
      <x:c r="C688" s="52" t="str">
        <x:v>ChatGPT — Release Notes</x:v>
      </x:c>
      <x:c r="D688" s="52" t="str">
        <x:v>agents_research</x:v>
      </x:c>
      <x:c r="E688" s="52" t="str">
        <x:v>Codex</x:v>
      </x:c>
      <x:c r="F688" s="52" t="str">
        <x:v>feature</x:v>
      </x:c>
      <x:c r="G688" s="52" t="str">
        <x:v>active</x:v>
      </x:c>
      <x:c r="H688" s="63" t="str">
        <x:v>Codex app on Windows</x:v>
      </x:c>
      <x:c r="I688" s="63" t="str">
        <x:v>Windows 版 Codex 應用程式</x:v>
      </x:c>
      <x:c r="J688" s="63" t="str">
        <x:v>The Codex app is now available on Windows for ChatGPT plans that include Codex. The app gives users a Windows desktop surface for running multiple Codex agents in parallel, with isolated worktrees and reviewable diffs that can be edited, discarded, or turned into a pull request. Users can sign in with ChatGPT from the app and keep work moving across the app, CLI, and IDE without switching between tools for every task. Learn more: Usi…</x:v>
      </x:c>
      <x:c r="K688" s="63" t="str">
        <x:v>Codex 應用程式現已在 Windows 上推出，適用於包含 Codex 的 ChatGPT 方案。該應用程式為使用者提供了一個 Windows 桌面介面，用於平行執行多個 Codex 代理，並具備可編輯、捨棄或轉為 Pull Request 的隔離工作區與可檢視的差異檔 (diffs)……</x:v>
      </x:c>
      <x:c r="L688" s="52" t="str">
        <x:v>https://help.openai.com/en/articles/6825453-chatgpt-release-notes</x:v>
      </x:c>
      <x:c r="M688" s="52" t="str">
        <x:v>help_center_release_notes</x:v>
      </x:c>
      <x:c r="N688" s="52" t="str">
        <x:v>complete</x:v>
      </x:c>
      <x:c r="O688" s="52" t="str">
        <x:v>high</x:v>
      </x:c>
      <x:c r="P688" s="60" t="n">
        <x:v>3</x:v>
      </x:c>
      <x:c r="Q688" s="52" t="str">
        <x:v>2026 | agents-research | codex | feature</x:v>
      </x:c>
    </x:row>
    <x:row r="689" ht="38" customHeight="1">
      <x:c r="A689" s="57" t="n">
        <x:v>46085</x:v>
      </x:c>
      <x:c r="B689" s="52" t="str">
        <x:v>enterprise-edu-release-notes</x:v>
      </x:c>
      <x:c r="C689" s="52" t="str">
        <x:v>ChatGPT Enterprise &amp; Edu — Release Notes</x:v>
      </x:c>
      <x:c r="D689" s="52" t="str">
        <x:v>clients_surfaces</x:v>
      </x:c>
      <x:c r="E689" s="52" t="str">
        <x:v>Codex Windows</x:v>
      </x:c>
      <x:c r="F689" s="52" t="str">
        <x:v>availability</x:v>
      </x:c>
      <x:c r="G689" s="52" t="str">
        <x:v>active</x:v>
      </x:c>
      <x:c r="H689" s="63" t="str">
        <x:v>Codex app on Windows for Enterprise and Edu</x:v>
      </x:c>
      <x:c r="I689" s="63" t="str">
        <x:v>Enterprise/Edu 的 Codex Windows App</x:v>
      </x:c>
      <x:c r="J689" s="63" t="str">
        <x:v>The Codex app became available on Windows for Enterprise and Edu workspaces with parallel agents, isolated worktrees and reviewable diffs.</x:v>
      </x:c>
      <x:c r="K689" s="63" t="str">
        <x:v>Codex Windows App 向 Enterprise 與 Edu 開放，支援平行代理、隔離 worktree 與可審查 diff。</x:v>
      </x:c>
      <x:c r="L689" s="52" t="str">
        <x:v>https://help.openai.com/en/articles/10128477-chatgpt-enterprise-edu-release-notes</x:v>
      </x:c>
      <x:c r="M689" s="52" t="str">
        <x:v>help_center_release_notes</x:v>
      </x:c>
      <x:c r="N689" s="52" t="str">
        <x:v>parsed</x:v>
      </x:c>
      <x:c r="O689" s="52" t="str">
        <x:v>high</x:v>
      </x:c>
      <x:c r="P689" s="60" t="n">
        <x:v>4</x:v>
      </x:c>
      <x:c r="Q689" s="52" t="str">
        <x:v>codex | enterprise | windows</x:v>
      </x:c>
    </x:row>
    <x:row r="690" ht="38" customHeight="1">
      <x:c r="A690" s="57" t="n">
        <x:v>46086</x:v>
      </x:c>
      <x:c r="B690" s="52" t="str">
        <x:v>codex-changelog</x:v>
      </x:c>
      <x:c r="C690" s="52" t="str">
        <x:v>Codex Changelog</x:v>
      </x:c>
      <x:c r="D690" s="52" t="str">
        <x:v>agents_research</x:v>
      </x:c>
      <x:c r="E690" s="52" t="str">
        <x:v>Codex</x:v>
      </x:c>
      <x:c r="F690" s="52" t="str">
        <x:v>model_update</x:v>
      </x:c>
      <x:c r="G690" s="52" t="str">
        <x:v>active</x:v>
      </x:c>
      <x:c r="H690" s="63" t="str">
        <x:v>Codex app 26.305</x:v>
      </x:c>
      <x:c r="I690" s="63" t="str">
        <x:v>Codex app 26.305 更新</x:v>
      </x:c>
      <x:c r="J690" s="63" t="str">
        <x:v>Performance improvements and bug fixes Improved remote connections with clearer connection errors, better status updates, and clearer host labels in thread and settings views. Fixed copy and paste shortcuts in the integrated terminal on Windows. Fixed an issue where archived pinned threads could reappear in the sidebar. Fixed an issue where repeated codex://new links could stop prefilling a new conversation when the app was already o…</x:v>
      </x:c>
      <x:c r="K690" s="63" t="str">
        <x:v>Codex Changelog 在 2026-03-05 記錄了Codex 編碼代理、可靠性與效能修正相關更新；完整版本與修正內容見官方英文摘要。</x:v>
      </x:c>
      <x:c r="L690" s="52" t="str">
        <x:v>https://developers.openai.com/codex/changelog/</x:v>
      </x:c>
      <x:c r="M690" s="52" t="str">
        <x:v>developer_changelog</x:v>
      </x:c>
      <x:c r="N690" s="52" t="str">
        <x:v>complete</x:v>
      </x:c>
      <x:c r="O690" s="52" t="str">
        <x:v>high</x:v>
      </x:c>
      <x:c r="P690" s="60" t="n">
        <x:v>2</x:v>
      </x:c>
      <x:c r="Q690" s="52" t="str">
        <x:v>codex | release-notes</x:v>
      </x:c>
    </x:row>
    <x:row r="691" ht="38" customHeight="1">
      <x:c r="A691" s="57" t="n">
        <x:v>46086</x:v>
      </x:c>
      <x:c r="B691" s="52" t="str">
        <x:v>chatgpt-release-notes</x:v>
      </x:c>
      <x:c r="C691" s="52" t="str">
        <x:v>ChatGPT — Release Notes</x:v>
      </x:c>
      <x:c r="D691" s="52" t="str">
        <x:v>models_reasoning</x:v>
      </x:c>
      <x:c r="E691" s="52" t="str">
        <x:v>GPT-5.4</x:v>
      </x:c>
      <x:c r="F691" s="52" t="str">
        <x:v>model_release</x:v>
      </x:c>
      <x:c r="G691" s="52" t="str">
        <x:v>active</x:v>
      </x:c>
      <x:c r="H691" s="63" t="str">
        <x:v>GPT-5.4 Thinking in ChatGPT</x:v>
      </x:c>
      <x:c r="I691" s="63" t="str">
        <x:v>ChatGPT 中的 GPT-5.4 Thinking</x:v>
      </x:c>
      <x:c r="J691" s="63" t="str">
        <x:v>GPT‑5.4 brings together the best of our recent advances in reasoning, coding, and agentic workflows into a single frontier model. It incorporates the industry-leading coding capabilities of GPT‑5.3‑Codex⁠ while improving how the model works across tools, software environments, and professional tasks involving spreadsheets, presentations, and documents. The result is a model that gets complex real work done accurately, effectively, an…</x:v>
      </x:c>
      <x:c r="K691" s="63" t="str">
        <x:v>GPT-5.4 將我們在推理、程式設計和代理式程式開發工作流程方面的最新進展集結至單一前沿模型中。它整合了 GPT-5.3-Codex 業界領先的程式設計能力，同時改善了模型在工具、軟體環境以及涉及試算表、簡報和文件的專業任務中的運作方式……</x:v>
      </x:c>
      <x:c r="L691" s="52" t="str">
        <x:v>https://help.openai.com/en/articles/6825453-chatgpt-release-notes</x:v>
      </x:c>
      <x:c r="M691" s="52" t="str">
        <x:v>help_center_release_notes</x:v>
      </x:c>
      <x:c r="N691" s="52" t="str">
        <x:v>complete</x:v>
      </x:c>
      <x:c r="O691" s="52" t="str">
        <x:v>high</x:v>
      </x:c>
      <x:c r="P691" s="60" t="n">
        <x:v>5</x:v>
      </x:c>
      <x:c r="Q691" s="52" t="str">
        <x:v>2026 | gpt-5.4 | model_release | models-reasoning</x:v>
      </x:c>
    </x:row>
    <x:row r="692" ht="38" customHeight="1">
      <x:c r="A692" s="57" t="n">
        <x:v>46086</x:v>
      </x:c>
      <x:c r="B692" s="52" t="str">
        <x:v>model-release-notes</x:v>
      </x:c>
      <x:c r="C692" s="52" t="str">
        <x:v>Model Release Notes</x:v>
      </x:c>
      <x:c r="D692" s="52" t="str">
        <x:v>models_reasoning</x:v>
      </x:c>
      <x:c r="E692" s="52" t="str">
        <x:v>GPT-5.4</x:v>
      </x:c>
      <x:c r="F692" s="52" t="str">
        <x:v>model_update</x:v>
      </x:c>
      <x:c r="G692" s="52" t="str">
        <x:v>active</x:v>
      </x:c>
      <x:c r="H692" s="63" t="str">
        <x:v>GPT-5.4 Thinking in ChatGPT</x:v>
      </x:c>
      <x:c r="I692" s="63" t="str">
        <x:v>GPT-5.4 Thinking 於 ChatGPT</x:v>
      </x:c>
      <x:c r="J692" s="63" t="str">
        <x:v>GPT‑5.4 brings together the best of our recent advances in reasoning, coding, and agentic workflows into a single frontier model. It incorporates the industry-leading coding capabilities of GPT‑5.3‑Codex⁠ while improving how the model works across tools, software environments, and professional tasks involving spreadsheets, presentations, and documents. The result is a model that gets complex real work done accurately, effectively, an…</x:v>
      </x:c>
      <x:c r="K692" s="63" t="str">
        <x:v>OpenAI 於 2026-03-05 為 GPT-5.4 更新模型或體驗；此節點依官方發布記錄整理，完整能力、適用方案與限制請見來源。</x:v>
      </x:c>
      <x:c r="L692" s="52" t="str">
        <x:v>https://help.openai.com/en/articles/9624314-model-release-notes</x:v>
      </x:c>
      <x:c r="M692" s="52" t="str">
        <x:v>help_center_release_notes</x:v>
      </x:c>
      <x:c r="N692" s="52" t="str">
        <x:v>parsed</x:v>
      </x:c>
      <x:c r="O692" s="52" t="str">
        <x:v>high</x:v>
      </x:c>
      <x:c r="P692" s="60" t="n">
        <x:v>0</x:v>
      </x:c>
      <x:c r="Q692" s="52" t="str"/>
    </x:row>
    <x:row r="693" ht="38" customHeight="1">
      <x:c r="A693" s="57" t="n">
        <x:v>46086</x:v>
      </x:c>
      <x:c r="B693" s="52" t="str">
        <x:v>codex-changelog</x:v>
      </x:c>
      <x:c r="C693" s="52" t="str">
        <x:v>Codex Changelog</x:v>
      </x:c>
      <x:c r="D693" s="52" t="str">
        <x:v>agents_research</x:v>
      </x:c>
      <x:c r="E693" s="52" t="str">
        <x:v>GPT-5.4</x:v>
      </x:c>
      <x:c r="F693" s="52" t="str">
        <x:v>launch</x:v>
      </x:c>
      <x:c r="G693" s="52" t="str">
        <x:v>active</x:v>
      </x:c>
      <x:c r="H693" s="63" t="str">
        <x:v>Introducing GPT-5.4 in Codex</x:v>
      </x:c>
      <x:c r="I693" s="63" t="str">
        <x:v>推出 GPT-5.4 in Codex</x:v>
      </x:c>
      <x:c r="J693" s="63" t="str">
        <x:v>GPT-5.4 is now available in Codex as OpenAI’s most capable and efficient frontier model for professional work. It combines recent advances in reasoning, coding, and agentic workflows in one model, and it’s the recommended choice for most Codex tasks. In Codex, GPT-5.4 is the first general-purpose model with native computer-use capabilities. GPT-5.4 in Codex includes experimental support for the 1M context window. It supports complex…</x:v>
      </x:c>
      <x:c r="K693" s="63" t="str">
        <x:v>Codex Changelog 在 2026-03-05 記錄了Codex 編碼代理、代理與工具調用相關更新；完整版本與修正內容見官方英文摘要。</x:v>
      </x:c>
      <x:c r="L693" s="52" t="str">
        <x:v>https://developers.openai.com/codex/changelog/</x:v>
      </x:c>
      <x:c r="M693" s="52" t="str">
        <x:v>developer_changelog</x:v>
      </x:c>
      <x:c r="N693" s="52" t="str">
        <x:v>complete</x:v>
      </x:c>
      <x:c r="O693" s="52" t="str">
        <x:v>high</x:v>
      </x:c>
      <x:c r="P693" s="60" t="n">
        <x:v>3</x:v>
      </x:c>
      <x:c r="Q693" s="52" t="str">
        <x:v>codex | release-notes</x:v>
      </x:c>
    </x:row>
    <x:row r="694" ht="38" customHeight="1">
      <x:c r="A694" s="57" t="n">
        <x:v>46086</x:v>
      </x:c>
      <x:c r="B694" s="52" t="str">
        <x:v>api-changelog</x:v>
      </x:c>
      <x:c r="C694" s="52" t="str">
        <x:v>OpenAI API Changelog</x:v>
      </x:c>
      <x:c r="D694" s="52" t="str">
        <x:v>models_reasoning</x:v>
      </x:c>
      <x:c r="E694" s="52" t="str">
        <x:v>GPT-5.4</x:v>
      </x:c>
      <x:c r="F694" s="52" t="str">
        <x:v>model_release</x:v>
      </x:c>
      <x:c r="G694" s="52" t="str">
        <x:v>active</x:v>
      </x:c>
      <x:c r="H694" s="63" t="str">
        <x:v>Released GPT-5.4</x:v>
      </x:c>
      <x:c r="I694" s="63" t="str">
        <x:v>發布GPT-5.4</x:v>
      </x:c>
      <x:c r="J694" s="63" t="str">
        <x:v>v1/chat/completions Released GPT-5.4, our newest frontier model for professional work, to the Chat Completions and Responses API, and released GPT-5.4 Pro to the Responses API for tougher problems that benefit from more compute.</x:v>
      </x:c>
      <x:c r="K694" s="63" t="str">
        <x:v>OpenAI 於 2026-03-05 為 GPT-5.4 發布模型；此節點依官方發布記錄整理，完整能力、適用方案與限制請見來源。</x:v>
      </x:c>
      <x:c r="L694" s="52" t="str">
        <x:v>https://platform.openai.com/docs/changelog</x:v>
      </x:c>
      <x:c r="M694" s="52" t="str">
        <x:v>developer_changelog</x:v>
      </x:c>
      <x:c r="N694" s="52" t="str">
        <x:v>parsed</x:v>
      </x:c>
      <x:c r="O694" s="52" t="str">
        <x:v>high</x:v>
      </x:c>
      <x:c r="P694" s="60" t="n">
        <x:v>0</x:v>
      </x:c>
      <x:c r="Q694" s="52" t="str"/>
    </x:row>
    <x:row r="695" ht="38" customHeight="1">
      <x:c r="A695" s="57" t="n">
        <x:v>46086</x:v>
      </x:c>
      <x:c r="B695" s="52" t="str">
        <x:v>lane-openai-api-changelog</x:v>
      </x:c>
      <x:c r="C695" s="52" t="str">
        <x:v>OpenAI API Changelog</x:v>
      </x:c>
      <x:c r="D695" s="52" t="str">
        <x:v>models_reasoning</x:v>
      </x:c>
      <x:c r="E695" s="52" t="str">
        <x:v>Model Platform</x:v>
      </x:c>
      <x:c r="F695" s="52" t="str">
        <x:v>model_release</x:v>
      </x:c>
      <x:c r="G695" s="52" t="str">
        <x:v>active</x:v>
      </x:c>
      <x:c r="H695" s="63" t="str">
        <x:v>Released GPT-5.4</x:v>
      </x:c>
      <x:c r="I695" s="63" t="str">
        <x:v>API 推出 GPT‑5.4、GPT‑5.4 Pro 與代理工具能力</x:v>
      </x:c>
      <x:c r="J695" s="63" t="str">
        <x:v>Released GPT-5.4 , our newest frontier model for professional work, to the Chat Completions and Responses API, and released GPT-5.4 Pro to the Responses API for tougher problems that benefit from more compute. Also released: Tool search in the Responses API, which lets models defer large tool surfaces until runtime to reduce token usage, preserve cache performance, and improve latency. Built-in Computer use support in GPT-5.4 through…</x:v>
      </x:c>
      <x:c r="K695" s="63" t="str">
        <x:v>API 推出 GPT‑5.4、GPT‑5.4 Pro 與代理工具能力。OpenAI 將此列為 2026-03-05 的功能；重點涉及代理與工具調用、可靠性與效能修正，模型、端點與參數名稱依官方英文保留。</x:v>
      </x:c>
      <x:c r="L695" s="52" t="str">
        <x:v>https://developers.openai.com/api/docs/changelog</x:v>
      </x:c>
      <x:c r="M695" s="52" t="str">
        <x:v>official_changelog</x:v>
      </x:c>
      <x:c r="N695" s="52" t="str">
        <x:v>complete</x:v>
      </x:c>
      <x:c r="O695" s="52" t="str">
        <x:v>high</x:v>
      </x:c>
      <x:c r="P695" s="60" t="n">
        <x:v>4</x:v>
      </x:c>
      <x:c r="Q695" s="52" t="str">
        <x:v>api | feature | models</x:v>
      </x:c>
    </x:row>
    <x:row r="696" ht="38" customHeight="1">
      <x:c r="A696" s="57" t="n">
        <x:v>46087</x:v>
      </x:c>
      <x:c r="B696" s="52" t="str">
        <x:v>enterprise-edu-release-notes</x:v>
      </x:c>
      <x:c r="C696" s="52" t="str">
        <x:v>ChatGPT Enterprise &amp; Edu — Release Notes</x:v>
      </x:c>
      <x:c r="D696" s="52" t="str">
        <x:v>enterprise_vertical</x:v>
      </x:c>
      <x:c r="E696" s="52" t="str">
        <x:v>ChatGPT Skills</x:v>
      </x:c>
      <x:c r="F696" s="52" t="str">
        <x:v>feature</x:v>
      </x:c>
      <x:c r="G696" s="52" t="str">
        <x:v>beta</x:v>
      </x:c>
      <x:c r="H696" s="63" t="str">
        <x:v>Skills beta for ChatGPT Enterprise and Edu</x:v>
      </x:c>
      <x:c r="I696" s="63" t="str">
        <x:v>功能更新：ChatGPT Enterprise/Edu Skills beta</x:v>
      </x:c>
      <x:c r="J696" s="63" t="str">
        <x:v>OpenAI introduced workspace-managed Skills in beta for reusable workflows, with role-based creation, sharing and installation controls; the feature was off by default.</x:v>
      </x:c>
      <x:c r="K696" s="63" t="str">
        <x:v>OpenAI 推出工作區管理的 Skills beta，可重用工作流程並以角色控制建立、分享與安裝；預設關閉。</x:v>
      </x:c>
      <x:c r="L696" s="52" t="str">
        <x:v>https://help.openai.com/en/articles/10128477-chatgpt-enterprise-edu-release-notes</x:v>
      </x:c>
      <x:c r="M696" s="52" t="str">
        <x:v>help_center_release_notes</x:v>
      </x:c>
      <x:c r="N696" s="52" t="str">
        <x:v>parsed</x:v>
      </x:c>
      <x:c r="O696" s="52" t="str">
        <x:v>high</x:v>
      </x:c>
      <x:c r="P696" s="60" t="n">
        <x:v>4</x:v>
      </x:c>
      <x:c r="Q696" s="52" t="str">
        <x:v>beta | enterprise | skills</x:v>
      </x:c>
    </x:row>
    <x:row r="697" ht="38" customHeight="1">
      <x:c r="A697" s="57" t="n">
        <x:v>46090</x:v>
      </x:c>
      <x:c r="B697" s="52" t="str">
        <x:v>apps-sdk-changelog</x:v>
      </x:c>
      <x:c r="C697" s="52" t="str">
        <x:v>Apps SDK Changelog</x:v>
      </x:c>
      <x:c r="D697" s="52" t="str">
        <x:v>developer_platform</x:v>
      </x:c>
      <x:c r="E697" s="52" t="str">
        <x:v>Apps SDK</x:v>
      </x:c>
      <x:c r="F697" s="52" t="str">
        <x:v>model_update</x:v>
      </x:c>
      <x:c r="G697" s="52" t="str">
        <x:v>active</x:v>
      </x:c>
      <x:c r="H697" s="63" t="str">
        <x:v>Non-image file uploads</x:v>
      </x:c>
      <x:c r="I697" s="63" t="str">
        <x:v>Non-image file uploads 更新</x:v>
      </x:c>
      <x:c r="J697" s="63" t="str">
        <x:v>Fixes &amp; improvements window.openai.uploadFile now supports non-image file types.</x:v>
      </x:c>
      <x:c r="K697" s="63" t="str">
        <x:v>Apps SDK Changelog 在 2026-03-09 記錄了圖像與影片、可靠性與效能修正相關更新；完整版本與修正內容見官方英文摘要。</x:v>
      </x:c>
      <x:c r="L697" s="52" t="str">
        <x:v>https://developers.openai.com/apps-sdk/changelog/</x:v>
      </x:c>
      <x:c r="M697" s="52" t="str">
        <x:v>developer_changelog</x:v>
      </x:c>
      <x:c r="N697" s="52" t="str">
        <x:v>complete</x:v>
      </x:c>
      <x:c r="O697" s="52" t="str">
        <x:v>high</x:v>
      </x:c>
      <x:c r="P697" s="60" t="n">
        <x:v>2</x:v>
      </x:c>
      <x:c r="Q697" s="52" t="str">
        <x:v>apps-sdk | chatgpt-apps | mcp</x:v>
      </x:c>
    </x:row>
    <x:row r="698" ht="38" customHeight="1">
      <x:c r="A698" s="57" t="n">
        <x:v>46091</x:v>
      </x:c>
      <x:c r="B698" s="52" t="str">
        <x:v>atlas-release-notes</x:v>
      </x:c>
      <x:c r="C698" s="52" t="str">
        <x:v>ChatGPT Atlas — Release Notes</x:v>
      </x:c>
      <x:c r="D698" s="52" t="str">
        <x:v>clients_surfaces</x:v>
      </x:c>
      <x:c r="E698" s="52" t="str">
        <x:v>ChatGPT Atlas</x:v>
      </x:c>
      <x:c r="F698" s="52" t="str">
        <x:v>feature</x:v>
      </x:c>
      <x:c r="G698" s="52" t="str">
        <x:v>active</x:v>
      </x:c>
      <x:c r="H698" s="63" t="str">
        <x:v>Multiple ChatGPT logins in Atlas</x:v>
      </x:c>
      <x:c r="I698" s="63" t="str">
        <x:v>Atlas 支援多個 ChatGPT 登入</x:v>
      </x:c>
      <x:c r="J698" s="63" t="str">
        <x:v>Atlas added multiple ChatGPT account logins, with separate browser profiles for work, personal or school accounts.</x:v>
      </x:c>
      <x:c r="K698" s="63" t="str">
        <x:v>Atlas 新增多 ChatGPT 帳號登入，每個工作、個人或學校帳號可有獨立瀏覽器設定檔。</x:v>
      </x:c>
      <x:c r="L698" s="52" t="str">
        <x:v>https://help.openai.com/en/articles/12591856-chatgpt-atlas-release-notes</x:v>
      </x:c>
      <x:c r="M698" s="52" t="str">
        <x:v>help_center_release_notes</x:v>
      </x:c>
      <x:c r="N698" s="52" t="str">
        <x:v>parsed</x:v>
      </x:c>
      <x:c r="O698" s="52" t="str">
        <x:v>high</x:v>
      </x:c>
      <x:c r="P698" s="60" t="n">
        <x:v>4</x:v>
      </x:c>
      <x:c r="Q698" s="52" t="str">
        <x:v>accounts | atlas | profiles</x:v>
      </x:c>
    </x:row>
    <x:row r="699" ht="38" customHeight="1">
      <x:c r="A699" s="57" t="n">
        <x:v>46092</x:v>
      </x:c>
      <x:c r="B699" s="52" t="str">
        <x:v>codex-changelog</x:v>
      </x:c>
      <x:c r="C699" s="52" t="str">
        <x:v>Codex Changelog</x:v>
      </x:c>
      <x:c r="D699" s="52" t="str">
        <x:v>agents_research</x:v>
      </x:c>
      <x:c r="E699" s="52" t="str">
        <x:v>Codex</x:v>
      </x:c>
      <x:c r="F699" s="52" t="str">
        <x:v>model_update</x:v>
      </x:c>
      <x:c r="G699" s="52" t="str">
        <x:v>active</x:v>
      </x:c>
      <x:c r="H699" s="63" t="str">
        <x:v>Codex app 26.311</x:v>
      </x:c>
      <x:c r="I699" s="63" t="str">
        <x:v>Codex app 26.311 更新</x:v>
      </x:c>
      <x:c r="J699" s="63" t="str">
        <x:v>New features Codex can now read the integrated terminal for the current thread, so it can check the status of a running development server or refer back to failed build output while it works with you. Performance improvements and bug fixes Additional performance improvements and bug fixes.</x:v>
      </x:c>
      <x:c r="K699" s="63" t="str">
        <x:v>Codex Changelog 在 2026-03-11 記錄了Codex 編碼代理、可靠性與效能修正相關更新；完整版本與修正內容見官方英文摘要。</x:v>
      </x:c>
      <x:c r="L699" s="52" t="str">
        <x:v>https://developers.openai.com/codex/changelog/</x:v>
      </x:c>
      <x:c r="M699" s="52" t="str">
        <x:v>developer_changelog</x:v>
      </x:c>
      <x:c r="N699" s="52" t="str">
        <x:v>complete</x:v>
      </x:c>
      <x:c r="O699" s="52" t="str">
        <x:v>high</x:v>
      </x:c>
      <x:c r="P699" s="60" t="n">
        <x:v>2</x:v>
      </x:c>
      <x:c r="Q699" s="52" t="str">
        <x:v>codex | release-notes</x:v>
      </x:c>
    </x:row>
    <x:row r="700" ht="38" customHeight="1">
      <x:c r="A700" s="57" t="n">
        <x:v>46092</x:v>
      </x:c>
      <x:c r="B700" s="52" t="str">
        <x:v>chatgpt-release-notes</x:v>
      </x:c>
      <x:c r="C700" s="52" t="str">
        <x:v>ChatGPT — Release Notes</x:v>
      </x:c>
      <x:c r="D700" s="52" t="str">
        <x:v>models_reasoning</x:v>
      </x:c>
      <x:c r="E700" s="52" t="str">
        <x:v>GPT-5.1</x:v>
      </x:c>
      <x:c r="F700" s="52" t="str">
        <x:v>retirement</x:v>
      </x:c>
      <x:c r="G700" s="52" t="str">
        <x:v>retired</x:v>
      </x:c>
      <x:c r="H700" s="63" t="str">
        <x:v>Retiring GPT-5.1 models</x:v>
      </x:c>
      <x:c r="I700" s="63" t="str">
        <x:v>淘汰 GPT-5.1 模型</x:v>
      </x:c>
      <x:c r="J700" s="63" t="str">
        <x:v>As of March 11, 2026, GPT-5.1 models are no longer available in ChatGPT. This applies to GPT-5.1 Instant, GPT-5.1 Thinking, and GPT-5.1 Pro. Existing conversations that used GPT-5.1 will automatically continue on the corresponding current model: GPT-5.3 Instant, GPT-5.4 Thinking, or GPT-5.4 Pro.</x:v>
      </x:c>
      <x:c r="K700" s="63" t="str">
        <x:v>自 2026 年 3 月 11 日起，GPT-5.1 模型不再於 ChatGPT 中提供。這適用於 GPT-5.1 Instant、GPT-5.1 Thinking 和 GPT-5.1 Pro。先前使用 GPT-5.1 的對話將自動在對應的現行模型上繼續：GPT-5.3 Instant、GPT-5.4 Thinking 或 GPT-5.4 Pro。</x:v>
      </x:c>
      <x:c r="L700" s="52" t="str">
        <x:v>https://help.openai.com/en/articles/6825453-chatgpt-release-notes</x:v>
      </x:c>
      <x:c r="M700" s="52" t="str">
        <x:v>help_center_release_notes</x:v>
      </x:c>
      <x:c r="N700" s="52" t="str">
        <x:v>complete</x:v>
      </x:c>
      <x:c r="O700" s="52" t="str">
        <x:v>high</x:v>
      </x:c>
      <x:c r="P700" s="60" t="n">
        <x:v>3</x:v>
      </x:c>
      <x:c r="Q700" s="52" t="str">
        <x:v>2026 | gpt-5.1 | models-reasoning | retirement</x:v>
      </x:c>
    </x:row>
    <x:row r="701" ht="38" customHeight="1">
      <x:c r="A701" s="57" t="n">
        <x:v>46092</x:v>
      </x:c>
      <x:c r="B701" s="52" t="str">
        <x:v>model-release-notes</x:v>
      </x:c>
      <x:c r="C701" s="52" t="str">
        <x:v>Model Release Notes</x:v>
      </x:c>
      <x:c r="D701" s="52" t="str">
        <x:v>models_reasoning</x:v>
      </x:c>
      <x:c r="E701" s="52" t="str">
        <x:v>GPT-5.4</x:v>
      </x:c>
      <x:c r="F701" s="52" t="str">
        <x:v>retirement</x:v>
      </x:c>
      <x:c r="G701" s="52" t="str">
        <x:v>retired</x:v>
      </x:c>
      <x:c r="H701" s="63" t="str">
        <x:v>Retiring GPT-5.1 models</x:v>
      </x:c>
      <x:c r="I701" s="63" t="str">
        <x:v>退役：GPT-5.1 models</x:v>
      </x:c>
      <x:c r="J701" s="63" t="str">
        <x:v>As of March 11, 2026, GPT-5.1 models are no longer available in ChatGPT. This applies to GPT-5.1 Instant, GPT-5.1 Thinking, and GPT-5.1 Pro. Existing conversations that used GPT-5.1 will automatically continue on the corresponding current model: GPT-5.3 Instant, GPT-5.4 Thinking, or GPT-5.4 Pro.</x:v>
      </x:c>
      <x:c r="K701" s="63" t="str">
        <x:v>OpenAI 於 2026-03-11 為 GPT-5.4 完成退役或停止服務；此節點依官方發布記錄整理，完整能力、適用方案與限制請見來源。</x:v>
      </x:c>
      <x:c r="L701" s="52" t="str">
        <x:v>https://help.openai.com/en/articles/9624314-model-release-notes</x:v>
      </x:c>
      <x:c r="M701" s="52" t="str">
        <x:v>help_center_release_notes</x:v>
      </x:c>
      <x:c r="N701" s="52" t="str">
        <x:v>parsed</x:v>
      </x:c>
      <x:c r="O701" s="52" t="str">
        <x:v>high</x:v>
      </x:c>
      <x:c r="P701" s="60" t="n">
        <x:v>0</x:v>
      </x:c>
      <x:c r="Q701" s="52" t="str"/>
    </x:row>
    <x:row r="702" ht="38" customHeight="1">
      <x:c r="A702" s="57" t="n">
        <x:v>46093</x:v>
      </x:c>
      <x:c r="B702" s="52" t="str">
        <x:v>lane-openai-api-changelog</x:v>
      </x:c>
      <x:c r="C702" s="52" t="str">
        <x:v>OpenAI API Changelog</x:v>
      </x:c>
      <x:c r="D702" s="52" t="str">
        <x:v>safety_lifecycle</x:v>
      </x:c>
      <x:c r="E702" s="52" t="str">
        <x:v>Lifecycle</x:v>
      </x:c>
      <x:c r="F702" s="52" t="str">
        <x:v>deprecation</x:v>
      </x:c>
      <x:c r="G702" s="52" t="str">
        <x:v>deprecated</x:v>
      </x:c>
      <x:c r="H702" s="63" t="str">
        <x:v>Added POST /v1/videos/edits for editing existing videos.</x:v>
      </x:c>
      <x:c r="I702" s="63" t="str">
        <x:v>新增：POST /v1/videos/edits for editing existing videos.</x:v>
      </x:c>
      <x:c r="J702" s="63" t="str">
        <x:v>Added POST /v1/videos/edits for editing existing videos. This will replace POST /v1/videos/{videoid}/remix , which will be deprecated in 6 months. Learn more here .</x:v>
      </x:c>
      <x:c r="K702" s="63" t="str">
        <x:v>新增：POST /v1/videos/edits for editing existing videos。OpenAI 將此列為 2026-03-12 的更新；重點涉及棄用與遷移、圖像與影片，模型、端點與參數名稱依官方英文保留。</x:v>
      </x:c>
      <x:c r="L702" s="52" t="str">
        <x:v>https://developers.openai.com/api/docs/changelog</x:v>
      </x:c>
      <x:c r="M702" s="52" t="str">
        <x:v>official_changelog</x:v>
      </x:c>
      <x:c r="N702" s="52" t="str">
        <x:v>complete</x:v>
      </x:c>
      <x:c r="O702" s="52" t="str">
        <x:v>high</x:v>
      </x:c>
      <x:c r="P702" s="60" t="n">
        <x:v>4</x:v>
      </x:c>
      <x:c r="Q702" s="52" t="str">
        <x:v>deprecation | migration | update</x:v>
      </x:c>
    </x:row>
    <x:row r="703" ht="38" customHeight="1">
      <x:c r="A703" s="57" t="n">
        <x:v>46093</x:v>
      </x:c>
      <x:c r="B703" s="52" t="str">
        <x:v>codex-changelog</x:v>
      </x:c>
      <x:c r="C703" s="52" t="str">
        <x:v>Codex Changelog</x:v>
      </x:c>
      <x:c r="D703" s="52" t="str">
        <x:v>agents_research</x:v>
      </x:c>
      <x:c r="E703" s="52" t="str">
        <x:v>Codex</x:v>
      </x:c>
      <x:c r="F703" s="52" t="str">
        <x:v>model_update</x:v>
      </x:c>
      <x:c r="G703" s="52" t="str">
        <x:v>active</x:v>
      </x:c>
      <x:c r="H703" s="63" t="str">
        <x:v>Codex app 26.312</x:v>
      </x:c>
      <x:c r="I703" s="63" t="str">
        <x:v>Codex app 26.312 更新</x:v>
      </x:c>
      <x:c r="J703" s="63" t="str">
        <x:v>Themes Change the Codex app appearance in Settings by choosing a base theme, adjusting accent, background, and foreground colors, and changing the UI and code fonts. You can also share your custom theme with friends. Revamped Automations You can now choose whether automations run locally or on a worktree, define custom reasoning levels and models, and use templates to find inspiration for new automations. Performance improvements and…</x:v>
      </x:c>
      <x:c r="K703" s="63" t="str">
        <x:v>Codex Changelog 在 2026-03-12 記錄了Codex 編碼代理、可靠性與效能修正相關更新；完整版本與修正內容見官方英文摘要。</x:v>
      </x:c>
      <x:c r="L703" s="52" t="str">
        <x:v>https://developers.openai.com/codex/changelog/</x:v>
      </x:c>
      <x:c r="M703" s="52" t="str">
        <x:v>developer_changelog</x:v>
      </x:c>
      <x:c r="N703" s="52" t="str">
        <x:v>complete</x:v>
      </x:c>
      <x:c r="O703" s="52" t="str">
        <x:v>high</x:v>
      </x:c>
      <x:c r="P703" s="60" t="n">
        <x:v>2</x:v>
      </x:c>
      <x:c r="Q703" s="52" t="str">
        <x:v>codex | release-notes</x:v>
      </x:c>
    </x:row>
    <x:row r="704" ht="38" customHeight="1">
      <x:c r="A704" s="57" t="n">
        <x:v>46093</x:v>
      </x:c>
      <x:c r="B704" s="52" t="str">
        <x:v>lane-openai-api-changelog</x:v>
      </x:c>
      <x:c r="C704" s="52" t="str">
        <x:v>OpenAI API Changelog</x:v>
      </x:c>
      <x:c r="D704" s="52" t="str">
        <x:v>multimodal</x:v>
      </x:c>
      <x:c r="E704" s="52" t="str">
        <x:v>Videos API</x:v>
      </x:c>
      <x:c r="F704" s="52" t="str">
        <x:v>platform</x:v>
      </x:c>
      <x:c r="G704" s="52" t="str">
        <x:v>active</x:v>
      </x:c>
      <x:c r="H704" s="63" t="str">
        <x:v>Expanded the Sora API with reusable character references</x:v>
      </x:c>
      <x:c r="I704" s="63" t="str">
        <x:v>擴充 Sora API：角色參考、長影片、1080p、延伸與 Batch</x:v>
      </x:c>
      <x:c r="J704" s="63" t="str">
        <x:v>Expanded the Sora API with reusable character references, longer generations up to 20 seconds, 1080p output for sora-2-pro , video extensions, and Batch API support for POST /v1/videos . 1080p generations on sora-2-pro are billed at $0.70 per second. Learn more here .</x:v>
      </x:c>
      <x:c r="K704" s="63" t="str">
        <x:v>擴充 Sora API：角色參考、長影片、1080p、延伸與 Batch。OpenAI 將此列為 2026-03-12 的功能；重點涉及圖像與影片，模型、端點與參數名稱依官方英文保留。</x:v>
      </x:c>
      <x:c r="L704" s="52" t="str">
        <x:v>https://developers.openai.com/api/docs/changelog</x:v>
      </x:c>
      <x:c r="M704" s="52" t="str">
        <x:v>official_changelog</x:v>
      </x:c>
      <x:c r="N704" s="52" t="str">
        <x:v>complete</x:v>
      </x:c>
      <x:c r="O704" s="52" t="str">
        <x:v>high</x:v>
      </x:c>
      <x:c r="P704" s="60" t="n">
        <x:v>4</x:v>
      </x:c>
      <x:c r="Q704" s="52" t="str">
        <x:v>feature | sora | video</x:v>
      </x:c>
    </x:row>
    <x:row r="705" ht="38" customHeight="1">
      <x:c r="A705" s="57" t="n">
        <x:v>46093</x:v>
      </x:c>
      <x:c r="B705" s="52" t="str">
        <x:v>codex-changelog</x:v>
      </x:c>
      <x:c r="C705" s="52" t="str">
        <x:v>Codex Changelog</x:v>
      </x:c>
      <x:c r="D705" s="52" t="str">
        <x:v>agents_research</x:v>
      </x:c>
      <x:c r="E705" s="52" t="str">
        <x:v>ChatGPT</x:v>
      </x:c>
      <x:c r="F705" s="52" t="str">
        <x:v>feature</x:v>
      </x:c>
      <x:c r="G705" s="52" t="str">
        <x:v>active</x:v>
      </x:c>
      <x:c r="H705" s="63" t="str">
        <x:v>Revamped Automations</x:v>
      </x:c>
      <x:c r="I705" s="63" t="str">
        <x:v>功能更新：Revamped Automations</x:v>
      </x:c>
      <x:c r="J705" s="63" t="str">
        <x:v>You can now choose whether automations run locally or on a worktree, define custom reasoning levels and models, and use templates to find inspiration for new automations.</x:v>
      </x:c>
      <x:c r="K705" s="63" t="str">
        <x:v>OpenAI 於 2026-03-12 為 ChatGPT 新增功能；此節點依官方發布記錄整理，完整能力、適用方案與限制請見來源。</x:v>
      </x:c>
      <x:c r="L705" s="52" t="str">
        <x:v>https://developers.openai.com/codex/changelog/</x:v>
      </x:c>
      <x:c r="M705" s="52" t="str">
        <x:v>developer_changelog</x:v>
      </x:c>
      <x:c r="N705" s="52" t="str">
        <x:v>parsed</x:v>
      </x:c>
      <x:c r="O705" s="52" t="str">
        <x:v>high</x:v>
      </x:c>
      <x:c r="P705" s="60" t="n">
        <x:v>0</x:v>
      </x:c>
      <x:c r="Q705" s="52" t="str"/>
    </x:row>
    <x:row r="706" ht="38" customHeight="1">
      <x:c r="A706" s="57" t="n">
        <x:v>46093</x:v>
      </x:c>
      <x:c r="B706" s="52" t="str">
        <x:v>codex-changelog</x:v>
      </x:c>
      <x:c r="C706" s="52" t="str">
        <x:v>Codex Changelog</x:v>
      </x:c>
      <x:c r="D706" s="52" t="str">
        <x:v>agents_research</x:v>
      </x:c>
      <x:c r="E706" s="52" t="str">
        <x:v>Codex</x:v>
      </x:c>
      <x:c r="F706" s="52" t="str">
        <x:v>feature</x:v>
      </x:c>
      <x:c r="G706" s="52" t="str">
        <x:v>active</x:v>
      </x:c>
      <x:c r="H706" s="63" t="str">
        <x:v>Themes</x:v>
      </x:c>
      <x:c r="I706" s="63" t="str">
        <x:v>功能更新：Themes</x:v>
      </x:c>
      <x:c r="J706" s="63" t="str">
        <x:v>Change the Codex app appearance in Settings by choosing a base theme, adjusting accent, background, and foreground colors, and changing the UI and code fonts. You can also share your custom theme with friends.</x:v>
      </x:c>
      <x:c r="K706" s="63" t="str">
        <x:v>OpenAI 於 2026-03-12 為 Codex 新增功能；此節點依官方發布記錄整理，完整能力、適用方案與限制請見來源。</x:v>
      </x:c>
      <x:c r="L706" s="52" t="str">
        <x:v>https://developers.openai.com/codex/changelog/</x:v>
      </x:c>
      <x:c r="M706" s="52" t="str">
        <x:v>developer_changelog</x:v>
      </x:c>
      <x:c r="N706" s="52" t="str">
        <x:v>parsed</x:v>
      </x:c>
      <x:c r="O706" s="52" t="str">
        <x:v>high</x:v>
      </x:c>
      <x:c r="P706" s="60" t="n">
        <x:v>0</x:v>
      </x:c>
      <x:c r="Q706" s="52" t="str"/>
    </x:row>
    <x:row r="707" ht="38" customHeight="1">
      <x:c r="A707" s="57" t="n">
        <x:v>46093</x:v>
      </x:c>
      <x:c r="B707" s="52" t="str">
        <x:v>api-changelog</x:v>
      </x:c>
      <x:c r="C707" s="52" t="str">
        <x:v>OpenAI API Changelog</x:v>
      </x:c>
      <x:c r="D707" s="52" t="str">
        <x:v>safety_lifecycle</x:v>
      </x:c>
      <x:c r="E707" s="52" t="str">
        <x:v>OpenAI API</x:v>
      </x:c>
      <x:c r="F707" s="52" t="str">
        <x:v>deprecation</x:v>
      </x:c>
      <x:c r="G707" s="52" t="str">
        <x:v>deprecated</x:v>
      </x:c>
      <x:c r="H707" s="63" t="str">
        <x:v>v1/videos/{videoid}/remix</x:v>
      </x:c>
      <x:c r="I707" s="63" t="str">
        <x:v>淘汰通知：v1/videos/{videoid}/remix</x:v>
      </x:c>
      <x:c r="J707" s="63" t="str">
        <x:v>v1/videos/{videoid}/remix Added POST /v1/videos/edits for editing existing videos. This will replace POST /v1/videos/{videoid}/remix, which will be deprecated in 6 months. Learn more here.</x:v>
      </x:c>
      <x:c r="K707" s="63" t="str">
        <x:v>OpenAI 於 2026-03-12 為 OpenAI API 公布淘汰計畫；此節點依官方發布記錄整理，完整能力、適用方案與限制請見來源。</x:v>
      </x:c>
      <x:c r="L707" s="52" t="str">
        <x:v>https://platform.openai.com/docs/changelog</x:v>
      </x:c>
      <x:c r="M707" s="52" t="str">
        <x:v>developer_changelog</x:v>
      </x:c>
      <x:c r="N707" s="52" t="str">
        <x:v>parsed</x:v>
      </x:c>
      <x:c r="O707" s="52" t="str">
        <x:v>high</x:v>
      </x:c>
      <x:c r="P707" s="60" t="n">
        <x:v>0</x:v>
      </x:c>
      <x:c r="Q707" s="52" t="str"/>
    </x:row>
    <x:row r="708" ht="38" customHeight="1">
      <x:c r="A708" s="57" t="n">
        <x:v>46093</x:v>
      </x:c>
      <x:c r="B708" s="52" t="str">
        <x:v>api-changelog</x:v>
      </x:c>
      <x:c r="C708" s="52" t="str">
        <x:v>OpenAI API Changelog</x:v>
      </x:c>
      <x:c r="D708" s="52" t="str">
        <x:v>developer_platform</x:v>
      </x:c>
      <x:c r="E708" s="52" t="str">
        <x:v>OpenAI API</x:v>
      </x:c>
      <x:c r="F708" s="52" t="str">
        <x:v>feature</x:v>
      </x:c>
      <x:c r="G708" s="52" t="str">
        <x:v>active</x:v>
      </x:c>
      <x:c r="H708" s="63" t="str">
        <x:v>v1/videos/characters v1/videos/extensions</x:v>
      </x:c>
      <x:c r="I708" s="63" t="str">
        <x:v>功能更新：v1/videos/characters v1/videos/extensions</x:v>
      </x:c>
      <x:c r="J708" s="63" t="str">
        <x:v>v1/videos/characters v1/videos/extensions</x:v>
      </x:c>
      <x:c r="K708" s="63" t="str">
        <x:v>OpenAI 於 2026-03-12 為 OpenAI API 新增功能；此節點依官方發布記錄整理，完整能力、適用方案與限制請見來源。</x:v>
      </x:c>
      <x:c r="L708" s="52" t="str">
        <x:v>https://platform.openai.com/docs/changelog</x:v>
      </x:c>
      <x:c r="M708" s="52" t="str">
        <x:v>developer_changelog</x:v>
      </x:c>
      <x:c r="N708" s="52" t="str">
        <x:v>parsed</x:v>
      </x:c>
      <x:c r="O708" s="52" t="str">
        <x:v>high</x:v>
      </x:c>
      <x:c r="P708" s="60" t="n">
        <x:v>0</x:v>
      </x:c>
      <x:c r="Q708" s="52" t="str"/>
    </x:row>
    <x:row r="709" ht="38" customHeight="1">
      <x:c r="A709" s="57" t="n">
        <x:v>46094</x:v>
      </x:c>
      <x:c r="B709" s="52" t="str">
        <x:v>api-changelog</x:v>
      </x:c>
      <x:c r="C709" s="52" t="str">
        <x:v>OpenAI API Changelog</x:v>
      </x:c>
      <x:c r="D709" s="52" t="str">
        <x:v>multimodal</x:v>
      </x:c>
      <x:c r="E709" s="52" t="str">
        <x:v>GPT-5.4</x:v>
      </x:c>
      <x:c r="F709" s="52" t="str">
        <x:v>model_update</x:v>
      </x:c>
      <x:c r="G709" s="52" t="str">
        <x:v>active</x:v>
      </x:c>
      <x:c r="H709" s="63" t="str">
        <x:v>Updated our image encoder to fix a small bug with inputimage inputs in GPT-5.4.</x:v>
      </x:c>
      <x:c r="I709" s="63" t="str">
        <x:v>模型更新：GPT-5.4</x:v>
      </x:c>
      <x:c r="J709" s="63" t="str">
        <x:v>v1/chat/completions Updated our image encoder to fix a small bug with inputimage inputs in GPT-5.4. Some image understanding use cases may now see improved quality. No action is required.</x:v>
      </x:c>
      <x:c r="K709" s="63" t="str">
        <x:v>OpenAI 於 2026-03-13 為 GPT-5.4 更新模型或體驗；此節點依官方發布記錄整理，完整能力、適用方案與限制請見來源。</x:v>
      </x:c>
      <x:c r="L709" s="52" t="str">
        <x:v>https://platform.openai.com/docs/changelog</x:v>
      </x:c>
      <x:c r="M709" s="52" t="str">
        <x:v>developer_changelog</x:v>
      </x:c>
      <x:c r="N709" s="52" t="str">
        <x:v>parsed</x:v>
      </x:c>
      <x:c r="O709" s="52" t="str">
        <x:v>high</x:v>
      </x:c>
      <x:c r="P709" s="60" t="n">
        <x:v>0</x:v>
      </x:c>
      <x:c r="Q709" s="52" t="str"/>
    </x:row>
    <x:row r="710" ht="38" customHeight="1">
      <x:c r="A710" s="57" t="n">
        <x:v>46094</x:v>
      </x:c>
      <x:c r="B710" s="52" t="str">
        <x:v>lane-openai-api-changelog</x:v>
      </x:c>
      <x:c r="C710" s="52" t="str">
        <x:v>OpenAI API Changelog</x:v>
      </x:c>
      <x:c r="D710" s="52" t="str">
        <x:v>multimodal</x:v>
      </x:c>
      <x:c r="E710" s="52" t="str">
        <x:v>Image API</x:v>
      </x:c>
      <x:c r="F710" s="52" t="str">
        <x:v>model_update</x:v>
      </x:c>
      <x:c r="G710" s="52" t="str">
        <x:v>active</x:v>
      </x:c>
      <x:c r="H710" s="63" t="str">
        <x:v>Updated our image encoder to fix a small bug with inputimage inputs in GPT-5.4.</x:v>
      </x:c>
      <x:c r="I710" s="63" t="str">
        <x:v>模型更新：Image API</x:v>
      </x:c>
      <x:c r="J710" s="63" t="str">
        <x:v>Updated our image encoder to fix a small bug with inputimage inputs in GPT-5.4. Some image understanding use cases may now see improved quality. No action is required.</x:v>
      </x:c>
      <x:c r="K710" s="63" t="str">
        <x:v>更新：our image encoder to fix a small bug with inputimage inputs in GPT-5.4。OpenAI 將此列為 2026-03-13 的修正；重點涉及圖像與影片、可靠性與效能修正，模型、端點與參數名稱依官方英文保留。</x:v>
      </x:c>
      <x:c r="L710" s="52" t="str">
        <x:v>https://developers.openai.com/api/docs/changelog</x:v>
      </x:c>
      <x:c r="M710" s="52" t="str">
        <x:v>official_changelog</x:v>
      </x:c>
      <x:c r="N710" s="52" t="str">
        <x:v>complete</x:v>
      </x:c>
      <x:c r="O710" s="52" t="str">
        <x:v>high</x:v>
      </x:c>
      <x:c r="P710" s="60" t="n">
        <x:v>1</x:v>
      </x:c>
      <x:c r="Q710" s="52" t="str">
        <x:v>fix | image-generation | multimodal</x:v>
      </x:c>
    </x:row>
    <x:row r="711" ht="38" customHeight="1">
      <x:c r="A711" s="57" t="n">
        <x:v>46097</x:v>
      </x:c>
      <x:c r="B711" s="52" t="str">
        <x:v>codex-changelog</x:v>
      </x:c>
      <x:c r="C711" s="52" t="str">
        <x:v>Codex Changelog</x:v>
      </x:c>
      <x:c r="D711" s="52" t="str">
        <x:v>agents_research</x:v>
      </x:c>
      <x:c r="E711" s="52" t="str">
        <x:v>Codex</x:v>
      </x:c>
      <x:c r="F711" s="52" t="str">
        <x:v>model_update</x:v>
      </x:c>
      <x:c r="G711" s="52" t="str">
        <x:v>active</x:v>
      </x:c>
      <x:c r="H711" s="63" t="str">
        <x:v>Codex app 26.313</x:v>
      </x:c>
      <x:c r="I711" s="63" t="str">
        <x:v>Codex app 26.313 更新</x:v>
      </x:c>
      <x:c r="J711" s="63" t="str">
        <x:v>New features Added back and forward buttons in the header so you can move between recent screens more quickly. Added an Open in Finder , Open in Explorer , or Open in File Manager action from thread menus to jump straight to a thread’s project folder. Performance improvements and bug fixes Improved resume and thread error toasts with clearer details when something goes wrong. Additional performance improvements and bug fixes.</x:v>
      </x:c>
      <x:c r="K711" s="63" t="str">
        <x:v>Codex Changelog 在 2026-03-16 記錄了Codex 編碼代理、可靠性與效能修正相關更新；完整版本與修正內容見官方英文摘要。</x:v>
      </x:c>
      <x:c r="L711" s="52" t="str">
        <x:v>https://developers.openai.com/codex/changelog/</x:v>
      </x:c>
      <x:c r="M711" s="52" t="str">
        <x:v>developer_changelog</x:v>
      </x:c>
      <x:c r="N711" s="52" t="str">
        <x:v>complete</x:v>
      </x:c>
      <x:c r="O711" s="52" t="str">
        <x:v>high</x:v>
      </x:c>
      <x:c r="P711" s="60" t="n">
        <x:v>2</x:v>
      </x:c>
      <x:c r="Q711" s="52" t="str">
        <x:v>codex | release-notes</x:v>
      </x:c>
    </x:row>
    <x:row r="712" ht="38" customHeight="1">
      <x:c r="A712" s="57" t="n">
        <x:v>46097</x:v>
      </x:c>
      <x:c r="B712" s="52" t="str">
        <x:v>chatgpt-release-notes</x:v>
      </x:c>
      <x:c r="C712" s="52" t="str">
        <x:v>ChatGPT — Release Notes</x:v>
      </x:c>
      <x:c r="D712" s="52" t="str">
        <x:v>models_reasoning</x:v>
      </x:c>
      <x:c r="E712" s="52" t="str">
        <x:v>GPT-5.3</x:v>
      </x:c>
      <x:c r="F712" s="52" t="str">
        <x:v>model_update</x:v>
      </x:c>
      <x:c r="G712" s="52" t="str">
        <x:v>active</x:v>
      </x:c>
      <x:c r="H712" s="63" t="str">
        <x:v>GPT-5.3 Instant update</x:v>
      </x:c>
      <x:c r="I712" s="63" t="str">
        <x:v>GPT-5.3 Instant 更新</x:v>
      </x:c>
      <x:c r="J712" s="63" t="str">
        <x:v>We’re rolling out an update to GPT-5.3 Instant that improves follow-up tone and reduces teaser-style phrasing in responses (e.g., “If you want…”, “You’ll never believe…”, “I can tell you these three things that…”).</x:v>
      </x:c>
      <x:c r="K712" s="63" t="str">
        <x:v>我們正在為 GPT-5.3 Instant 推出更新，改善後續語氣並減少回應中誘餌式的措辭（例如：「如果你想要……」、「你絕對想不到……」、「我可以告訴你這三件事……」）。</x:v>
      </x:c>
      <x:c r="L712" s="52" t="str">
        <x:v>https://help.openai.com/en/articles/6825453-chatgpt-release-notes</x:v>
      </x:c>
      <x:c r="M712" s="52" t="str">
        <x:v>help_center_release_notes</x:v>
      </x:c>
      <x:c r="N712" s="52" t="str">
        <x:v>complete</x:v>
      </x:c>
      <x:c r="O712" s="52" t="str">
        <x:v>high</x:v>
      </x:c>
      <x:c r="P712" s="60" t="n">
        <x:v>3</x:v>
      </x:c>
      <x:c r="Q712" s="52" t="str">
        <x:v>2026 | gpt-5.3 | model_update | models-reasoning</x:v>
      </x:c>
    </x:row>
    <x:row r="713" ht="38" customHeight="1">
      <x:c r="A713" s="57" t="n">
        <x:v>46097</x:v>
      </x:c>
      <x:c r="B713" s="52" t="str">
        <x:v>model-release-notes</x:v>
      </x:c>
      <x:c r="C713" s="52" t="str">
        <x:v>Model Release Notes</x:v>
      </x:c>
      <x:c r="D713" s="52" t="str">
        <x:v>models_reasoning</x:v>
      </x:c>
      <x:c r="E713" s="52" t="str">
        <x:v>GPT-5.3</x:v>
      </x:c>
      <x:c r="F713" s="52" t="str">
        <x:v>availability</x:v>
      </x:c>
      <x:c r="G713" s="52" t="str">
        <x:v>active</x:v>
      </x:c>
      <x:c r="H713" s="63" t="str">
        <x:v>GPT-5.3 Instant update</x:v>
      </x:c>
      <x:c r="I713" s="63" t="str">
        <x:v>開放使用：GPT-5.3 Instant update</x:v>
      </x:c>
      <x:c r="J713" s="63" t="str">
        <x:v>We’re rolling out an update to GPT-5.3 Instant that improves follow-up tone and reduces teaser-style phrasing in responses (e.g., “If you want…”, “You’ll never believe…”, “I can tell you these three things that…”).</x:v>
      </x:c>
      <x:c r="K713" s="63" t="str">
        <x:v>OpenAI 於 2026-03-16 為 GPT-5.3 擴大開放範圍；此節點依官方發布記錄整理，完整能力、適用方案與限制請見來源。</x:v>
      </x:c>
      <x:c r="L713" s="52" t="str">
        <x:v>https://help.openai.com/en/articles/9624314-model-release-notes</x:v>
      </x:c>
      <x:c r="M713" s="52" t="str">
        <x:v>help_center_release_notes</x:v>
      </x:c>
      <x:c r="N713" s="52" t="str">
        <x:v>parsed</x:v>
      </x:c>
      <x:c r="O713" s="52" t="str">
        <x:v>high</x:v>
      </x:c>
      <x:c r="P713" s="60" t="n">
        <x:v>0</x:v>
      </x:c>
      <x:c r="Q713" s="52" t="str"/>
    </x:row>
    <x:row r="714" ht="38" customHeight="1">
      <x:c r="A714" s="57" t="n">
        <x:v>46097</x:v>
      </x:c>
      <x:c r="B714" s="52" t="str">
        <x:v>api-changelog</x:v>
      </x:c>
      <x:c r="C714" s="52" t="str">
        <x:v>OpenAI API Changelog</x:v>
      </x:c>
      <x:c r="D714" s="52" t="str">
        <x:v>models_reasoning</x:v>
      </x:c>
      <x:c r="E714" s="52" t="str">
        <x:v>GPT-5.3</x:v>
      </x:c>
      <x:c r="F714" s="52" t="str">
        <x:v>model_update</x:v>
      </x:c>
      <x:c r="G714" s="52" t="str">
        <x:v>active</x:v>
      </x:c>
      <x:c r="H714" s="63" t="str">
        <x:v>gpt-5.3-chat-latest</x:v>
      </x:c>
      <x:c r="I714" s="63" t="str">
        <x:v>模型更新：gpt-5.3-chat-latest</x:v>
      </x:c>
      <x:c r="J714" s="63" t="str">
        <x:v>gpt-5.3-chat-latest Updated the gpt-5.3-chat-latest slug to point to the latest model currently used in ChatGPT.</x:v>
      </x:c>
      <x:c r="K714" s="63" t="str">
        <x:v>OpenAI 於 2026-03-16 為 GPT-5.3 更新模型或體驗；此節點依官方發布記錄整理，完整能力、適用方案與限制請見來源。</x:v>
      </x:c>
      <x:c r="L714" s="52" t="str">
        <x:v>https://platform.openai.com/docs/changelog</x:v>
      </x:c>
      <x:c r="M714" s="52" t="str">
        <x:v>developer_changelog</x:v>
      </x:c>
      <x:c r="N714" s="52" t="str">
        <x:v>parsed</x:v>
      </x:c>
      <x:c r="O714" s="52" t="str">
        <x:v>high</x:v>
      </x:c>
      <x:c r="P714" s="60" t="n">
        <x:v>0</x:v>
      </x:c>
      <x:c r="Q714" s="52" t="str"/>
    </x:row>
    <x:row r="715" ht="38" customHeight="1">
      <x:c r="A715" s="57" t="n">
        <x:v>46097</x:v>
      </x:c>
      <x:c r="B715" s="52" t="str">
        <x:v>lane-openai-api-changelog</x:v>
      </x:c>
      <x:c r="C715" s="52" t="str">
        <x:v>OpenAI API Changelog</x:v>
      </x:c>
      <x:c r="D715" s="52" t="str">
        <x:v>models_reasoning</x:v>
      </x:c>
      <x:c r="E715" s="52" t="str">
        <x:v>Model Platform</x:v>
      </x:c>
      <x:c r="F715" s="52" t="str">
        <x:v>model_update</x:v>
      </x:c>
      <x:c r="G715" s="52" t="str">
        <x:v>active</x:v>
      </x:c>
      <x:c r="H715" s="63" t="str">
        <x:v>Updated the gpt-5.3-chat-latest slug to point to the latest model currently used in ChatGPT.</x:v>
      </x:c>
      <x:c r="I715" s="63" t="str">
        <x:v>模型更新：Model Platform</x:v>
      </x:c>
      <x:c r="J715" s="63" t="str">
        <x:v>Updated the gpt-5.3-chat-latest slug to point to the latest model currently used in ChatGPT.</x:v>
      </x:c>
      <x:c r="K715" s="63" t="str">
        <x:v>更新：gpt-5.3-chat-latest slug to point to latest 模型 currently used in ChatGPT。OpenAI 將此列為 2026-03-16 的更新；重點涉及平台功能與可用性，模型、端點與參數名稱依官方英文保留。</x:v>
      </x:c>
      <x:c r="L715" s="52" t="str">
        <x:v>https://developers.openai.com/api/docs/changelog</x:v>
      </x:c>
      <x:c r="M715" s="52" t="str">
        <x:v>official_changelog</x:v>
      </x:c>
      <x:c r="N715" s="52" t="str">
        <x:v>complete</x:v>
      </x:c>
      <x:c r="O715" s="52" t="str">
        <x:v>high</x:v>
      </x:c>
      <x:c r="P715" s="60" t="n">
        <x:v>2</x:v>
      </x:c>
      <x:c r="Q715" s="52" t="str">
        <x:v>api | models | update</x:v>
      </x:c>
    </x:row>
    <x:row r="716" ht="38" customHeight="1">
      <x:c r="A716" s="57" t="n">
        <x:v>46098</x:v>
      </x:c>
      <x:c r="B716" s="52" t="str">
        <x:v>lane-introducing-gpt-5-4-mini-and-nano</x:v>
      </x:c>
      <x:c r="C716" s="52" t="str">
        <x:v>Introducing GPT-5.4 mini and nano</x:v>
      </x:c>
      <x:c r="D716" s="52" t="str">
        <x:v>models_reasoning</x:v>
      </x:c>
      <x:c r="E716" s="52" t="str">
        <x:v>GPT-5.4</x:v>
      </x:c>
      <x:c r="F716" s="52" t="str">
        <x:v>model_release</x:v>
      </x:c>
      <x:c r="G716" s="52" t="str">
        <x:v>active</x:v>
      </x:c>
      <x:c r="H716" s="63" t="str">
        <x:v>Introducing GPT-5.4 mini and nano</x:v>
      </x:c>
      <x:c r="I716" s="63" t="str">
        <x:v>推出 GPT-5.4 mini 和 nano</x:v>
      </x:c>
      <x:c r="J716" s="63" t="str">
        <x:v>OpenAI released GPT-5.4 mini and nano as faster, efficient models for high-volume coding, computer-use, tool-use, and subagent workloads; mini also became available in ChatGPT.</x:v>
      </x:c>
      <x:c r="K716" s="63" t="str">
        <x:v>OpenAI 推出 GPT-5.4 mini 和 nano，作為針對大量程式開發、電腦使用、工具使用和子代理工作負載更快速、高效的模型；mini 也已在 ChatGPT 中提供。</x:v>
      </x:c>
      <x:c r="L716" s="52" t="str">
        <x:v>https://openai.com/index/introducing-gpt-5-4-mini-and-nano/</x:v>
      </x:c>
      <x:c r="M716" s="52" t="str">
        <x:v>official_launch_post</x:v>
      </x:c>
      <x:c r="N716" s="52" t="str">
        <x:v>complete</x:v>
      </x:c>
      <x:c r="O716" s="52" t="str">
        <x:v>high</x:v>
      </x:c>
      <x:c r="P716" s="60" t="n">
        <x:v>5</x:v>
      </x:c>
      <x:c r="Q716" s="52" t="str">
        <x:v>2026 | gpt-5.4 | model_release | models-reasoning</x:v>
      </x:c>
    </x:row>
    <x:row r="717" ht="38" customHeight="1">
      <x:c r="A717" s="57" t="n">
        <x:v>46098</x:v>
      </x:c>
      <x:c r="B717" s="52" t="str">
        <x:v>codex-changelog</x:v>
      </x:c>
      <x:c r="C717" s="52" t="str">
        <x:v>Codex Changelog</x:v>
      </x:c>
      <x:c r="D717" s="52" t="str">
        <x:v>agents_research</x:v>
      </x:c>
      <x:c r="E717" s="52" t="str">
        <x:v>GPT-5.4</x:v>
      </x:c>
      <x:c r="F717" s="52" t="str">
        <x:v>launch</x:v>
      </x:c>
      <x:c r="G717" s="52" t="str">
        <x:v>active</x:v>
      </x:c>
      <x:c r="H717" s="63" t="str">
        <x:v>Introducing GPT-5.4 mini in Codex</x:v>
      </x:c>
      <x:c r="I717" s="63" t="str">
        <x:v>推出 GPT-5.4 mini in Codex</x:v>
      </x:c>
      <x:c r="J717" s="63" t="str">
        <x:v>GPT-5.4 mini is now available in Codex as a fast, efficient model for lighter coding tasks and subagents. It improves over GPT-5 mini across coding, reasoning, image understanding, and tool use while running more than 2x faster. In Codex, GPT-5.4 mini uses 30% as much of your included limits as GPT-5.4, so comparable tasks can last about 3.3x longer before you hit those limits. GPT-5.4 mini is available in the Codex app, the CLI, the…</x:v>
      </x:c>
      <x:c r="K717" s="63" t="str">
        <x:v>Codex Changelog 在 2026-03-17 記錄了Codex 編碼代理、代理與工具調用、圖像與影片相關更新；完整版本與修正內容見官方英文摘要。</x:v>
      </x:c>
      <x:c r="L717" s="52" t="str">
        <x:v>https://developers.openai.com/codex/changelog/</x:v>
      </x:c>
      <x:c r="M717" s="52" t="str">
        <x:v>developer_changelog</x:v>
      </x:c>
      <x:c r="N717" s="52" t="str">
        <x:v>complete</x:v>
      </x:c>
      <x:c r="O717" s="52" t="str">
        <x:v>high</x:v>
      </x:c>
      <x:c r="P717" s="60" t="n">
        <x:v>3</x:v>
      </x:c>
      <x:c r="Q717" s="52" t="str">
        <x:v>codex | release-notes</x:v>
      </x:c>
    </x:row>
    <x:row r="718" ht="38" customHeight="1">
      <x:c r="A718" s="57" t="n">
        <x:v>46098</x:v>
      </x:c>
      <x:c r="B718" s="52" t="str">
        <x:v>api-changelog</x:v>
      </x:c>
      <x:c r="C718" s="52" t="str">
        <x:v>OpenAI API Changelog</x:v>
      </x:c>
      <x:c r="D718" s="52" t="str">
        <x:v>models_reasoning</x:v>
      </x:c>
      <x:c r="E718" s="52" t="str">
        <x:v>GPT-5.4</x:v>
      </x:c>
      <x:c r="F718" s="52" t="str">
        <x:v>model_release</x:v>
      </x:c>
      <x:c r="G718" s="52" t="str">
        <x:v>active</x:v>
      </x:c>
      <x:c r="H718" s="63" t="str">
        <x:v>Released GPT-5.4 mini and GPT-5.4 nano to the Chat Completions and Responses API.</x:v>
      </x:c>
      <x:c r="I718" s="63" t="str">
        <x:v>模型發布：GPT-5.4</x:v>
      </x:c>
      <x:c r="J718" s="63" t="str">
        <x:v>v1/chat/completions Released GPT-5.4 mini and GPT-5.4 nano to the Chat Completions and Responses API. GPT-5.4 mini brings GPT-5.4-class capabilities to a faster, more efficient model for high-volume workloads, while GPT-5.4 nano is optimized for simple high-volume tasks where speed and cost matter most.</x:v>
      </x:c>
      <x:c r="K718" s="63" t="str">
        <x:v>OpenAI 於 2026-03-17 為 GPT-5.4 發布模型；此節點依官方發布記錄整理，完整能力、適用方案與限制請見來源。</x:v>
      </x:c>
      <x:c r="L718" s="52" t="str">
        <x:v>https://platform.openai.com/docs/changelog</x:v>
      </x:c>
      <x:c r="M718" s="52" t="str">
        <x:v>developer_changelog</x:v>
      </x:c>
      <x:c r="N718" s="52" t="str">
        <x:v>parsed</x:v>
      </x:c>
      <x:c r="O718" s="52" t="str">
        <x:v>high</x:v>
      </x:c>
      <x:c r="P718" s="60" t="n">
        <x:v>0</x:v>
      </x:c>
      <x:c r="Q718" s="52" t="str"/>
    </x:row>
    <x:row r="719" ht="38" customHeight="1">
      <x:c r="A719" s="57" t="n">
        <x:v>46098</x:v>
      </x:c>
      <x:c r="B719" s="52" t="str">
        <x:v>lane-openai-api-changelog</x:v>
      </x:c>
      <x:c r="C719" s="52" t="str">
        <x:v>OpenAI API Changelog</x:v>
      </x:c>
      <x:c r="D719" s="52" t="str">
        <x:v>models_reasoning</x:v>
      </x:c>
      <x:c r="E719" s="52" t="str">
        <x:v>Model Platform</x:v>
      </x:c>
      <x:c r="F719" s="52" t="str">
        <x:v>model_release</x:v>
      </x:c>
      <x:c r="G719" s="52" t="str">
        <x:v>active</x:v>
      </x:c>
      <x:c r="H719" s="63" t="str">
        <x:v>Released GPT-5.4 mini and GPT-5.4 nano to the Chat Completions and Responses API.</x:v>
      </x:c>
      <x:c r="I719" s="63" t="str">
        <x:v>API 推出 GPT‑5.4 mini 與 GPT‑5.4 nano</x:v>
      </x:c>
      <x:c r="J719" s="63" t="str">
        <x:v>Released GPT-5.4 mini and GPT-5.4 nano to the Chat Completions and Responses API. GPT-5.4 mini brings GPT-5.4-class capabilities to a faster, more efficient model for high-volume workloads, while GPT-5.4 nano is optimized for simple high-volume tasks where speed and cost matter most. GPT-5.4 mini supports tool search , built-in computer use , and compaction . GPT-5.4 nano supports compaction, but does not support tool search or compu…</x:v>
      </x:c>
      <x:c r="K719" s="63" t="str">
        <x:v>API 推出 GPT‑5.4 mini 與 GPT‑5.4 nano。OpenAI 將此列為 2026-03-17 的功能；重點涉及代理與工具調用、定價與用量，模型、端點與參數名稱依官方英文保留。</x:v>
      </x:c>
      <x:c r="L719" s="52" t="str">
        <x:v>https://developers.openai.com/api/docs/changelog</x:v>
      </x:c>
      <x:c r="M719" s="52" t="str">
        <x:v>official_changelog</x:v>
      </x:c>
      <x:c r="N719" s="52" t="str">
        <x:v>complete</x:v>
      </x:c>
      <x:c r="O719" s="52" t="str">
        <x:v>high</x:v>
      </x:c>
      <x:c r="P719" s="60" t="n">
        <x:v>4</x:v>
      </x:c>
      <x:c r="Q719" s="52" t="str">
        <x:v>api | feature | models</x:v>
      </x:c>
    </x:row>
    <x:row r="720" ht="38" customHeight="1">
      <x:c r="A720" s="57" t="n">
        <x:v>46098</x:v>
      </x:c>
      <x:c r="B720" s="52" t="str">
        <x:v>chatgpt-release-notes</x:v>
      </x:c>
      <x:c r="C720" s="52" t="str">
        <x:v>ChatGPT — Release Notes</x:v>
      </x:c>
      <x:c r="D720" s="52" t="str">
        <x:v>chatgpt_core</x:v>
      </x:c>
      <x:c r="E720" s="52" t="str">
        <x:v>ChatGPT</x:v>
      </x:c>
      <x:c r="F720" s="52" t="str">
        <x:v>deprecation</x:v>
      </x:c>
      <x:c r="G720" s="52" t="str">
        <x:v>deprecated</x:v>
      </x:c>
      <x:c r="H720" s="63" t="str">
        <x:v>Sunsetting the “Nerdy” base style</x:v>
      </x:c>
      <x:c r="I720" s="63" t="str">
        <x:v>停止支援「Nerdy」基礎風格</x:v>
      </x:c>
      <x:c r="J720" s="63" t="str">
        <x:v>We’re sunsetting the preset Nerdy base style to simplify options and improve response quality. Users who selected it will be moved to the default personality. You can manage personality settings anytime in ChatGPT under Settings → Personalization.</x:v>
      </x:c>
      <x:c r="K720" s="63" t="str">
        <x:v>我們將停止支援預設的「Nerdy」基礎風格，以簡化選項並提升回應品質。曾選擇此風格的使用者將被移至預設人格。您隨時可以在 ChatGPT 的「設定」→「個人化」中管理人格設定。</x:v>
      </x:c>
      <x:c r="L720" s="52" t="str">
        <x:v>https://help.openai.com/en/articles/6825453-chatgpt-release-notes</x:v>
      </x:c>
      <x:c r="M720" s="52" t="str">
        <x:v>help_center_release_notes</x:v>
      </x:c>
      <x:c r="N720" s="52" t="str">
        <x:v>complete</x:v>
      </x:c>
      <x:c r="O720" s="52" t="str">
        <x:v>high</x:v>
      </x:c>
      <x:c r="P720" s="60" t="n">
        <x:v>3</x:v>
      </x:c>
      <x:c r="Q720" s="52" t="str">
        <x:v>2026 | chatgpt | chatgpt-core | deprecation</x:v>
      </x:c>
    </x:row>
    <x:row r="721" ht="38" customHeight="1">
      <x:c r="A721" s="57" t="n">
        <x:v>46098</x:v>
      </x:c>
      <x:c r="B721" s="52" t="str">
        <x:v>chatgpt-release-notes</x:v>
      </x:c>
      <x:c r="C721" s="52" t="str">
        <x:v>ChatGPT — Release Notes</x:v>
      </x:c>
      <x:c r="D721" s="52" t="str">
        <x:v>models_reasoning</x:v>
      </x:c>
      <x:c r="E721" s="52" t="str">
        <x:v>ChatGPT Enterprise &amp; Edu</x:v>
      </x:c>
      <x:c r="F721" s="52" t="str">
        <x:v>feature</x:v>
      </x:c>
      <x:c r="G721" s="52" t="str">
        <x:v>active</x:v>
      </x:c>
      <x:c r="H721" s="63" t="str">
        <x:v>Updates to the model picker in ChatGPT</x:v>
      </x:c>
      <x:c r="I721" s="63" t="str">
        <x:v>ChatGPT 模型選擇器更新</x:v>
      </x:c>
      <x:c r="J721" s="63" t="str">
        <x:v>We’ve simplified the model picker to make it easier to choose the right level of reasoning. Users on Plus, Pro, Business, Enterprise, and Edu accounts will see a set of model options depending on their plan, including: Instant – fast responses for everyday questions Thinking – deeper reasoning for more complex tasks Pro – the most advanced reasoning models The Auto functionality can be accessed by clicking Configure in the model pick…</x:v>
      </x:c>
      <x:c r="K721" s="63" t="str">
        <x:v>我們簡化了模型選擇器，讓選擇合適的推理層級變得更容易。Plus、Pro、Business、Enterprise 和 Edu 帳戶的使用者將根據其方案看到一系列模型選項，包括：Instant – 針對日常問題的快速回應；Thinking – 針對更複雜任務的深度推理；Pro – 最先進的推理模型……</x:v>
      </x:c>
      <x:c r="L721" s="52" t="str">
        <x:v>https://help.openai.com/en/articles/6825453-chatgpt-release-notes</x:v>
      </x:c>
      <x:c r="M721" s="52" t="str">
        <x:v>help_center_release_notes</x:v>
      </x:c>
      <x:c r="N721" s="52" t="str">
        <x:v>complete</x:v>
      </x:c>
      <x:c r="O721" s="52" t="str">
        <x:v>high</x:v>
      </x:c>
      <x:c r="P721" s="60" t="n">
        <x:v>3</x:v>
      </x:c>
      <x:c r="Q721" s="52" t="str">
        <x:v>2026 | chatgpt | feature | models-reasoning</x:v>
      </x:c>
    </x:row>
    <x:row r="722" ht="38" customHeight="1">
      <x:c r="A722" s="57" t="n">
        <x:v>46099</x:v>
      </x:c>
      <x:c r="B722" s="52" t="str">
        <x:v>codex-changelog</x:v>
      </x:c>
      <x:c r="C722" s="52" t="str">
        <x:v>Codex Changelog</x:v>
      </x:c>
      <x:c r="D722" s="52" t="str">
        <x:v>agents_research</x:v>
      </x:c>
      <x:c r="E722" s="52" t="str">
        <x:v>Codex</x:v>
      </x:c>
      <x:c r="F722" s="52" t="str">
        <x:v>pricing_quota</x:v>
      </x:c>
      <x:c r="G722" s="52" t="str">
        <x:v>active</x:v>
      </x:c>
      <x:c r="H722" s="63" t="str">
        <x:v>Codex app 26.317</x:v>
      </x:c>
      <x:c r="I722" s="63" t="str">
        <x:v>Codex app 26.317 更新</x:v>
      </x:c>
      <x:c r="J722" s="63" t="str">
        <x:v>New features You can now fork a conversation from an earlier message, not just the latest turn. Added slash commands for switching models and reasoning levels, and made slash commands work in the middle of a draft prompt. Added notifications for plan mode questions so it’s easier to notice when Codex needs input. Performance improvements and bug fixes Fixed thread handoff and subagent navigation issues across worktrees and the VS Cod…</x:v>
      </x:c>
      <x:c r="K722" s="63" t="str">
        <x:v>Codex Changelog 在 2026-03-18 記錄了Codex 編碼代理、代理與工具調用、可靠性與效能修正相關更新；完整版本與修正內容見官方英文摘要。</x:v>
      </x:c>
      <x:c r="L722" s="52" t="str">
        <x:v>https://developers.openai.com/codex/changelog/</x:v>
      </x:c>
      <x:c r="M722" s="52" t="str">
        <x:v>developer_changelog</x:v>
      </x:c>
      <x:c r="N722" s="52" t="str">
        <x:v>complete</x:v>
      </x:c>
      <x:c r="O722" s="52" t="str">
        <x:v>high</x:v>
      </x:c>
      <x:c r="P722" s="60" t="n">
        <x:v>2</x:v>
      </x:c>
      <x:c r="Q722" s="52" t="str">
        <x:v>codex | release-notes</x:v>
      </x:c>
    </x:row>
    <x:row r="723" ht="38" customHeight="1">
      <x:c r="A723" s="57" t="n">
        <x:v>46099</x:v>
      </x:c>
      <x:c r="B723" s="52" t="str">
        <x:v>chatgpt-release-notes</x:v>
      </x:c>
      <x:c r="C723" s="52" t="str">
        <x:v>ChatGPT — Release Notes</x:v>
      </x:c>
      <x:c r="D723" s="52" t="str">
        <x:v>models_reasoning</x:v>
      </x:c>
      <x:c r="E723" s="52" t="str">
        <x:v>GPT-5.4</x:v>
      </x:c>
      <x:c r="F723" s="52" t="str">
        <x:v>model_release</x:v>
      </x:c>
      <x:c r="G723" s="52" t="str">
        <x:v>active</x:v>
      </x:c>
      <x:c r="H723" s="63" t="str">
        <x:v>GPT-5.4 mini in ChatGPT</x:v>
      </x:c>
      <x:c r="I723" s="63" t="str">
        <x:v>ChatGPT 中的 GPT-5.4 mini</x:v>
      </x:c>
      <x:c r="J723" s="63" t="str">
        <x:v>We’re rolling out GPT-5.4 mini in ChatGPT. GPT-5.4 mini is available to Free and Go users via the “Thinking” feature in the + menu. For all other users, GPT-5.4 mini is available as a rate limit fallback for GPT-5.4 Thinking. For Plus, Pro, and other paid users, GPT-5.4 mini will be used as a fallback for GPT-5.4 Thinking when rate limits are reached, helping with continued access to reasoning capabilities during high usage. Enterpri…</x:v>
      </x:c>
      <x:c r="K723" s="63" t="str">
        <x:v>我們正在 ChatGPT 中推出 GPT-5.4 mini。Free 和 Go 使用者可透過 + 選單中的「Thinking」功能使用 GPT-5.4 mini。對於所有其他使用者，GPT-5.4 mini 可作為 GPT-5.4 Thinking 的速率限制備援選項……</x:v>
      </x:c>
      <x:c r="L723" s="52" t="str">
        <x:v>https://help.openai.com/en/articles/6825453-chatgpt-release-notes</x:v>
      </x:c>
      <x:c r="M723" s="52" t="str">
        <x:v>help_center_release_notes</x:v>
      </x:c>
      <x:c r="N723" s="52" t="str">
        <x:v>complete</x:v>
      </x:c>
      <x:c r="O723" s="52" t="str">
        <x:v>high</x:v>
      </x:c>
      <x:c r="P723" s="60" t="n">
        <x:v>4</x:v>
      </x:c>
      <x:c r="Q723" s="52" t="str">
        <x:v>2026 | gpt-5.4 | model_release | models-reasoning</x:v>
      </x:c>
    </x:row>
    <x:row r="724" ht="38" customHeight="1">
      <x:c r="A724" s="57" t="n">
        <x:v>46099</x:v>
      </x:c>
      <x:c r="B724" s="52" t="str">
        <x:v>model-release-notes</x:v>
      </x:c>
      <x:c r="C724" s="52" t="str">
        <x:v>Model Release Notes</x:v>
      </x:c>
      <x:c r="D724" s="52" t="str">
        <x:v>models_reasoning</x:v>
      </x:c>
      <x:c r="E724" s="52" t="str">
        <x:v>GPT-5.4</x:v>
      </x:c>
      <x:c r="F724" s="52" t="str">
        <x:v>pricing_quota</x:v>
      </x:c>
      <x:c r="G724" s="52" t="str">
        <x:v>active</x:v>
      </x:c>
      <x:c r="H724" s="63" t="str">
        <x:v>GPT-5.4 mini in ChatGPT</x:v>
      </x:c>
      <x:c r="I724" s="63" t="str">
        <x:v>GPT-5.4 mini 於 ChatGPT</x:v>
      </x:c>
      <x:c r="J724" s="63" t="str">
        <x:v>We’re rolling out GPT-5.4 mini in ChatGPT. GPT-5.4 mini is available to Free and Go users via the “Thinking” feature in the + menu. For all other users, GPT-5.4 mini is available as a rate limit fallback for GPT-5.4 Thinking. For Plus, Pro, and other paid users, GPT-5.4 mini will be used as a fallback for GPT-5.4 Thinking when rate limits are reached, helping with continued access to reasoning capabilities during high usage. Enterpri…</x:v>
      </x:c>
      <x:c r="K724" s="63" t="str">
        <x:v>OpenAI 於 2026-03-18 為 GPT-5.4 調整方案、額度或計費；此節點依官方發布記錄整理，完整能力、適用方案與限制請見來源。</x:v>
      </x:c>
      <x:c r="L724" s="52" t="str">
        <x:v>https://help.openai.com/en/articles/9624314-model-release-notes</x:v>
      </x:c>
      <x:c r="M724" s="52" t="str">
        <x:v>help_center_release_notes</x:v>
      </x:c>
      <x:c r="N724" s="52" t="str">
        <x:v>parsed</x:v>
      </x:c>
      <x:c r="O724" s="52" t="str">
        <x:v>high</x:v>
      </x:c>
      <x:c r="P724" s="60" t="n">
        <x:v>0</x:v>
      </x:c>
      <x:c r="Q724" s="52" t="str"/>
    </x:row>
    <x:row r="725" ht="38" customHeight="1">
      <x:c r="A725" s="57" t="n">
        <x:v>46100</x:v>
      </x:c>
      <x:c r="B725" s="52" t="str">
        <x:v>codex-changelog</x:v>
      </x:c>
      <x:c r="C725" s="52" t="str">
        <x:v>Codex Changelog</x:v>
      </x:c>
      <x:c r="D725" s="52" t="str">
        <x:v>agents_research</x:v>
      </x:c>
      <x:c r="E725" s="52" t="str">
        <x:v>Codex</x:v>
      </x:c>
      <x:c r="F725" s="52" t="str">
        <x:v>model_update</x:v>
      </x:c>
      <x:c r="G725" s="52" t="str">
        <x:v>active</x:v>
      </x:c>
      <x:c r="H725" s="63" t="str">
        <x:v>Codex app 26.318, 26.319</x:v>
      </x:c>
      <x:c r="I725" s="63" t="str">
        <x:v>Codex app 26.318, 26.319 更新</x:v>
      </x:c>
      <x:c r="J725" s="63" t="str">
        <x:v>New features Added skills to the @ menu so you can insert them from the composer alongside other mentions. Cmd/Ctrl+F now starts with your current text selection, which makes searching reviews and diffs faster, alongside broader review navigation improvements such as a refreshed file tree and percentage-based file tree resizing. Added a branded loading shimmer while the app starts. Performance improvements and bug fixes Improved coll…</x:v>
      </x:c>
      <x:c r="K725" s="63" t="str">
        <x:v>Codex Changelog 在 2026-03-19 記錄了Codex 編碼代理、可靠性與效能修正相關更新；完整版本與修正內容見官方英文摘要。</x:v>
      </x:c>
      <x:c r="L725" s="52" t="str">
        <x:v>https://developers.openai.com/codex/changelog/</x:v>
      </x:c>
      <x:c r="M725" s="52" t="str">
        <x:v>developer_changelog</x:v>
      </x:c>
      <x:c r="N725" s="52" t="str">
        <x:v>complete</x:v>
      </x:c>
      <x:c r="O725" s="52" t="str">
        <x:v>high</x:v>
      </x:c>
      <x:c r="P725" s="60" t="n">
        <x:v>2</x:v>
      </x:c>
      <x:c r="Q725" s="52" t="str">
        <x:v>codex | release-notes</x:v>
      </x:c>
    </x:row>
    <x:row r="726" ht="38" customHeight="1">
      <x:c r="A726" s="57" t="n">
        <x:v>46100</x:v>
      </x:c>
      <x:c r="B726" s="52" t="str">
        <x:v>enterprise-edu-release-notes</x:v>
      </x:c>
      <x:c r="C726" s="52" t="str">
        <x:v>ChatGPT Enterprise &amp; Edu — Release Notes</x:v>
      </x:c>
      <x:c r="D726" s="52" t="str">
        <x:v>safety_lifecycle</x:v>
      </x:c>
      <x:c r="E726" s="52" t="str">
        <x:v>Deep Research</x:v>
      </x:c>
      <x:c r="F726" s="52" t="str">
        <x:v>deprecation</x:v>
      </x:c>
      <x:c r="G726" s="52" t="str">
        <x:v>deprecated</x:v>
      </x:c>
      <x:c r="H726" s="63" t="str">
        <x:v>Legacy deep research mode deprecation</x:v>
      </x:c>
      <x:c r="I726" s="63" t="str">
        <x:v>舊版 deep research 模式棄用</x:v>
      </x:c>
      <x:c r="J726" s="63" t="str">
        <x:v>OpenAI announced that legacy deep research mode would be removed on March 26, while the current deep research experience and historical results would remain.</x:v>
      </x:c>
      <x:c r="K726" s="63" t="str">
        <x:v>OpenAI 宣布舊版 deep research 模式將於 3 月 26 日移除；現行體驗與歷史結果不受影響。</x:v>
      </x:c>
      <x:c r="L726" s="52" t="str">
        <x:v>https://help.openai.com/en/articles/10128477-chatgpt-enterprise-edu-release-notes</x:v>
      </x:c>
      <x:c r="M726" s="52" t="str">
        <x:v>help_center_release_notes</x:v>
      </x:c>
      <x:c r="N726" s="52" t="str">
        <x:v>parsed</x:v>
      </x:c>
      <x:c r="O726" s="52" t="str">
        <x:v>high</x:v>
      </x:c>
      <x:c r="P726" s="60" t="n">
        <x:v>4</x:v>
      </x:c>
      <x:c r="Q726" s="52" t="str">
        <x:v>deep-research | deprecation</x:v>
      </x:c>
    </x:row>
    <x:row r="727" ht="38" customHeight="1">
      <x:c r="A727" s="57" t="n">
        <x:v>46100</x:v>
      </x:c>
      <x:c r="B727" s="52" t="str">
        <x:v>chatgpt-release-notes</x:v>
      </x:c>
      <x:c r="C727" s="52" t="str">
        <x:v>ChatGPT — Release Notes</x:v>
      </x:c>
      <x:c r="D727" s="52" t="str">
        <x:v>agents_research</x:v>
      </x:c>
      <x:c r="E727" s="52" t="str">
        <x:v>deep research</x:v>
      </x:c>
      <x:c r="F727" s="52" t="str">
        <x:v>deprecation</x:v>
      </x:c>
      <x:c r="G727" s="52" t="str">
        <x:v>deprecated</x:v>
      </x:c>
      <x:c r="H727" s="63" t="str">
        <x:v>Legacy deep research mode deprecation notice</x:v>
      </x:c>
      <x:c r="I727" s="63" t="str">
        <x:v>舊版深度研究模式棄用通知</x:v>
      </x:c>
      <x:c r="J727" s="63" t="str">
        <x:v>The legacy deep research mode will be removed on Thursday, March 26, 2026. This change only affects the legacy mode; the current deep research experience will remain unchanged. Historical conversations and results will remain accessible. To learn more about deep research, see: Deep research in ChatGPT.</x:v>
      </x:c>
      <x:c r="K727" s="63" t="str">
        <x:v>舊版深度研究模式將於 2026 年 3 月 26 日星期四移除。此變更僅影響舊版模式；目前的深度研究體驗將保持不變。歷史對話與結果仍可存取。若要了解更多關於深度研究的資訊，請參閱：ChatGPT 中的深度研究。</x:v>
      </x:c>
      <x:c r="L727" s="52" t="str">
        <x:v>https://help.openai.com/en/articles/6825453-chatgpt-release-notes</x:v>
      </x:c>
      <x:c r="M727" s="52" t="str">
        <x:v>help_center_release_notes</x:v>
      </x:c>
      <x:c r="N727" s="52" t="str">
        <x:v>complete</x:v>
      </x:c>
      <x:c r="O727" s="52" t="str">
        <x:v>high</x:v>
      </x:c>
      <x:c r="P727" s="60" t="n">
        <x:v>3</x:v>
      </x:c>
      <x:c r="Q727" s="52" t="str">
        <x:v>2026 | agents-research | deep-research | deprecation</x:v>
      </x:c>
    </x:row>
    <x:row r="728" ht="38" customHeight="1">
      <x:c r="A728" s="57" t="n">
        <x:v>46101</x:v>
      </x:c>
      <x:c r="B728" s="52" t="str">
        <x:v>codex-changelog</x:v>
      </x:c>
      <x:c r="C728" s="52" t="str">
        <x:v>Codex Changelog</x:v>
      </x:c>
      <x:c r="D728" s="52" t="str">
        <x:v>agents_research</x:v>
      </x:c>
      <x:c r="E728" s="52" t="str">
        <x:v>Codex</x:v>
      </x:c>
      <x:c r="F728" s="52" t="str">
        <x:v>model_update</x:v>
      </x:c>
      <x:c r="G728" s="52" t="str">
        <x:v>active</x:v>
      </x:c>
      <x:c r="H728" s="63" t="str">
        <x:v>Codex app 26.320</x:v>
      </x:c>
      <x:c r="I728" s="63" t="str">
        <x:v>Codex app 26.320 更新</x:v>
      </x:c>
      <x:c r="J728" s="63" t="str">
        <x:v>New features Added Floating Composer v2. Added terminal shortcuts for jumping by word and line. Improved plugin discovery surfaces and file-path rendering for saved images. Performance improvements and bug fixes Fixed sidebar crashes when subagent turn items are missing. Fixed pop-out thread routing and preserved local paths for composer image attachments. Additional performance improvements and bug fixes.</x:v>
      </x:c>
      <x:c r="K728" s="63" t="str">
        <x:v>Codex Changelog 在 2026-03-20 記錄了Codex 編碼代理、代理與工具調用、圖像與影片相關更新；完整版本與修正內容見官方英文摘要。</x:v>
      </x:c>
      <x:c r="L728" s="52" t="str">
        <x:v>https://developers.openai.com/codex/changelog/</x:v>
      </x:c>
      <x:c r="M728" s="52" t="str">
        <x:v>developer_changelog</x:v>
      </x:c>
      <x:c r="N728" s="52" t="str">
        <x:v>complete</x:v>
      </x:c>
      <x:c r="O728" s="52" t="str">
        <x:v>high</x:v>
      </x:c>
      <x:c r="P728" s="60" t="n">
        <x:v>2</x:v>
      </x:c>
      <x:c r="Q728" s="52" t="str">
        <x:v>codex | release-notes</x:v>
      </x:c>
    </x:row>
    <x:row r="729" ht="38" customHeight="1">
      <x:c r="A729" s="57" t="n">
        <x:v>46101</x:v>
      </x:c>
      <x:c r="B729" s="52" t="str">
        <x:v>chatgpt-release-notes</x:v>
      </x:c>
      <x:c r="C729" s="52" t="str">
        <x:v>ChatGPT — Release Notes</x:v>
      </x:c>
      <x:c r="D729" s="52" t="str">
        <x:v>agents_research</x:v>
      </x:c>
      <x:c r="E729" s="52" t="str">
        <x:v>Codex</x:v>
      </x:c>
      <x:c r="F729" s="52" t="str">
        <x:v>launch</x:v>
      </x:c>
      <x:c r="G729" s="52" t="str">
        <x:v>active</x:v>
      </x:c>
      <x:c r="H729" s="63" t="str">
        <x:v>Codex for Students</x:v>
      </x:c>
      <x:c r="I729" s="63" t="str">
        <x:v>學生版 Codex</x:v>
      </x:c>
      <x:c r="J729" s="63" t="str">
        <x:v>Codex for Students is now available for verified university students in the United States and Canada. Eligible students can claim $100 in ChatGPT credits, or 2,500 credits, to extend Codex usage beyond the limits included in ChatGPT Free, Go, Plus, and Pro. To get started, students sign in at chatgpt.com/codex/students and complete student verification through SheerID with their university email. Credits are applied automatically to…</x:v>
      </x:c>
      <x:c r="K729" s="63" t="str">
        <x:v>學生版 Codex 現已開放給美國和加拿大的已驗證大學生使用。符合資格的學生可領取 100 美元的 ChatGPT 點數（或 2,500 點），以擴展超出 ChatGPT Free、Go、Plus 和 Pro 所包含限制的 Codex 使用量……</x:v>
      </x:c>
      <x:c r="L729" s="52" t="str">
        <x:v>https://help.openai.com/en/articles/6825453-chatgpt-release-notes</x:v>
      </x:c>
      <x:c r="M729" s="52" t="str">
        <x:v>help_center_release_notes</x:v>
      </x:c>
      <x:c r="N729" s="52" t="str">
        <x:v>complete</x:v>
      </x:c>
      <x:c r="O729" s="52" t="str">
        <x:v>high</x:v>
      </x:c>
      <x:c r="P729" s="60" t="n">
        <x:v>4</x:v>
      </x:c>
      <x:c r="Q729" s="52" t="str">
        <x:v>2026 | agents-research | codex | launch</x:v>
      </x:c>
    </x:row>
    <x:row r="730" ht="38" customHeight="1">
      <x:c r="A730" s="57" t="n">
        <x:v>46104</x:v>
      </x:c>
      <x:c r="B730" s="52" t="str">
        <x:v>chatgpt-release-notes</x:v>
      </x:c>
      <x:c r="C730" s="52" t="str">
        <x:v>ChatGPT — Release Notes</x:v>
      </x:c>
      <x:c r="D730" s="52" t="str">
        <x:v>memory_knowledge</x:v>
      </x:c>
      <x:c r="E730" s="52" t="str">
        <x:v>ChatGPT Images</x:v>
      </x:c>
      <x:c r="F730" s="52" t="str">
        <x:v>launch</x:v>
      </x:c>
      <x:c r="G730" s="52" t="str">
        <x:v>active</x:v>
      </x:c>
      <x:c r="H730" s="63" t="str">
        <x:v>File Library in ChatGPT</x:v>
      </x:c>
      <x:c r="I730" s="63" t="str">
        <x:v>ChatGPT 中的檔案庫</x:v>
      </x:c>
      <x:c r="J730" s="63" t="str">
        <x:v>Now, it’s easier to find, reuse, and build on your files over time. When you upload or create a file—whether it’s a PDF, spreadsheet, image, or more—it’s automatically saved to your Library. Generated images will continue to appear in the Images tab. You can quickly reference files in a chat using recent files in the composer, or browse everything you’ve uploaded in the Library tab in the sidebar. You can also ask ChatGPT about files…</x:v>
      </x:c>
      <x:c r="K730" s="63" t="str">
        <x:v>現在，您可以更輕鬆地查找、重複使用並持續運用您的檔案。當您上傳或建立檔案（無論是 PDF、試算表、圖像或其他類型）時，它會自動儲存至您的「檔案庫」。生成的圖像將繼續出現在「圖像」標籤頁中……</x:v>
      </x:c>
      <x:c r="L730" s="52" t="str">
        <x:v>https://help.openai.com/en/articles/6825453-chatgpt-release-notes</x:v>
      </x:c>
      <x:c r="M730" s="52" t="str">
        <x:v>help_center_release_notes</x:v>
      </x:c>
      <x:c r="N730" s="52" t="str">
        <x:v>complete</x:v>
      </x:c>
      <x:c r="O730" s="52" t="str">
        <x:v>high</x:v>
      </x:c>
      <x:c r="P730" s="60" t="n">
        <x:v>4</x:v>
      </x:c>
      <x:c r="Q730" s="52" t="str">
        <x:v>2026 | files | launch | memory-knowledge</x:v>
      </x:c>
    </x:row>
    <x:row r="731" ht="38" customHeight="1">
      <x:c r="A731" s="57" t="n">
        <x:v>46105</x:v>
      </x:c>
      <x:c r="B731" s="52" t="str">
        <x:v>codex-changelog</x:v>
      </x:c>
      <x:c r="C731" s="52" t="str">
        <x:v>Codex Changelog</x:v>
      </x:c>
      <x:c r="D731" s="52" t="str">
        <x:v>agents_research</x:v>
      </x:c>
      <x:c r="E731" s="52" t="str">
        <x:v>Codex</x:v>
      </x:c>
      <x:c r="F731" s="52" t="str">
        <x:v>model_update</x:v>
      </x:c>
      <x:c r="G731" s="52" t="str">
        <x:v>active</x:v>
      </x:c>
      <x:c r="H731" s="63" t="str">
        <x:v>Codex app 26.323</x:v>
      </x:c>
      <x:c r="I731" s="63" t="str">
        <x:v>Codex app 26.323 更新</x:v>
      </x:c>
      <x:c r="J731" s="63" t="str">
        <x:v>New features Added search for past Codex app threads, including a sidebar shortcut and keyboard shortcuts for jumping to recent threads. Added a one-click option to archive all local threads in a project. Synced key settings between the Codex app and the VS Code extension, and added a settings entry point in the extension. Performance improvements and bug fixes Additional performance improvements and bug fixes.</x:v>
      </x:c>
      <x:c r="K731" s="63" t="str">
        <x:v>Codex Changelog 在 2026-03-24 記錄了Codex 編碼代理、可靠性與效能修正相關更新；完整版本與修正內容見官方英文摘要。</x:v>
      </x:c>
      <x:c r="L731" s="52" t="str">
        <x:v>https://developers.openai.com/codex/changelog/</x:v>
      </x:c>
      <x:c r="M731" s="52" t="str">
        <x:v>developer_changelog</x:v>
      </x:c>
      <x:c r="N731" s="52" t="str">
        <x:v>complete</x:v>
      </x:c>
      <x:c r="O731" s="52" t="str">
        <x:v>high</x:v>
      </x:c>
      <x:c r="P731" s="60" t="n">
        <x:v>2</x:v>
      </x:c>
      <x:c r="Q731" s="52" t="str">
        <x:v>codex | release-notes</x:v>
      </x:c>
    </x:row>
    <x:row r="732" ht="38" customHeight="1">
      <x:c r="A732" s="57" t="n">
        <x:v>46105</x:v>
      </x:c>
      <x:c r="B732" s="52" t="str">
        <x:v>apps-sdk-changelog</x:v>
      </x:c>
      <x:c r="C732" s="52" t="str">
        <x:v>Apps SDK Changelog</x:v>
      </x:c>
      <x:c r="D732" s="52" t="str">
        <x:v>developer_platform</x:v>
      </x:c>
      <x:c r="E732" s="52" t="str">
        <x:v>Apps SDK</x:v>
      </x:c>
      <x:c r="F732" s="52" t="str">
        <x:v>availability</x:v>
      </x:c>
      <x:c r="G732" s="52" t="str">
        <x:v>active</x:v>
      </x:c>
      <x:c r="H732" s="63" t="str">
        <x:v>File library helpers in window.openai</x:v>
      </x:c>
      <x:c r="I732" s="63" t="str">
        <x:v>File library helpers in window.openai 更新</x:v>
      </x:c>
      <x:c r="J732" s="63" t="str">
        <x:v>Fixes &amp; improvements window.openai.selectFiles() lets widgets pick existing files from the user’s ChatGPT file library when that library is available. window.openai.uploadFile(file, { library: true }) lets widgets save uploads into the user’s ChatGPT file library when that library is available.</x:v>
      </x:c>
      <x:c r="K732" s="63" t="str">
        <x:v>OpenAI 於 2026-03-24 為 Apps SDK 擴大開放範圍；此節點依官方發布記錄整理，完整能力、適用方案與限制請見來源。</x:v>
      </x:c>
      <x:c r="L732" s="52" t="str">
        <x:v>https://developers.openai.com/apps-sdk/changelog/</x:v>
      </x:c>
      <x:c r="M732" s="52" t="str">
        <x:v>developer_changelog</x:v>
      </x:c>
      <x:c r="N732" s="52" t="str">
        <x:v>complete</x:v>
      </x:c>
      <x:c r="O732" s="52" t="str">
        <x:v>high</x:v>
      </x:c>
      <x:c r="P732" s="60" t="n">
        <x:v>2</x:v>
      </x:c>
      <x:c r="Q732" s="52" t="str">
        <x:v>apps-sdk | chatgpt-apps | mcp</x:v>
      </x:c>
    </x:row>
    <x:row r="733" ht="38" customHeight="1">
      <x:c r="A733" s="57" t="n">
        <x:v>46105</x:v>
      </x:c>
      <x:c r="B733" s="52" t="str">
        <x:v>chatgpt-release-notes</x:v>
      </x:c>
      <x:c r="C733" s="52" t="str">
        <x:v>ChatGPT — Release Notes</x:v>
      </x:c>
      <x:c r="D733" s="52" t="str">
        <x:v>search_commerce</x:v>
      </x:c>
      <x:c r="E733" s="52" t="str">
        <x:v>ChatGPT Images</x:v>
      </x:c>
      <x:c r="F733" s="52" t="str">
        <x:v>feature</x:v>
      </x:c>
      <x:c r="G733" s="52" t="str">
        <x:v>active</x:v>
      </x:c>
      <x:c r="H733" s="63" t="str">
        <x:v>Shopping updates in ChatGPT</x:v>
      </x:c>
      <x:c r="I733" s="63" t="str">
        <x:v>ChatGPT 購物功能更新</x:v>
      </x:c>
      <x:c r="J733" s="63" t="str">
        <x:v>We’ve improved shopping in ChatGPT to make it easier to discover, compare, and decide on products. Product results are now more visually rich, with improved detail and relevance. You can browse products in chat, refine results through conversation, and upload images to find similar items. Products can also be compared side by side with key details such as price, reviews, and features, making it easier to compare without opening multi…</x:v>
      </x:c>
      <x:c r="K733" s="63" t="str">
        <x:v>我們改善了 ChatGPT 中的購物體驗，讓產品探索、比較與決策變得更簡單。產品結果現在更具視覺豐富度，並提升了細節與相關性。您可以在對話中瀏覽產品、透過對話優化搜尋結果，並上傳圖像以尋找類似商品……</x:v>
      </x:c>
      <x:c r="L733" s="52" t="str">
        <x:v>https://help.openai.com/en/articles/6825453-chatgpt-release-notes</x:v>
      </x:c>
      <x:c r="M733" s="52" t="str">
        <x:v>help_center_release_notes</x:v>
      </x:c>
      <x:c r="N733" s="52" t="str">
        <x:v>complete</x:v>
      </x:c>
      <x:c r="O733" s="52" t="str">
        <x:v>high</x:v>
      </x:c>
      <x:c r="P733" s="60" t="n">
        <x:v>3</x:v>
      </x:c>
      <x:c r="Q733" s="52" t="str">
        <x:v>2026 | feature | search-commerce | shopping</x:v>
      </x:c>
    </x:row>
    <x:row r="734" ht="38" customHeight="1">
      <x:c r="A734" s="57" t="n">
        <x:v>46105</x:v>
      </x:c>
      <x:c r="B734" s="52" t="str">
        <x:v>api-deprecations</x:v>
      </x:c>
      <x:c r="C734" s="52" t="str">
        <x:v>OpenAI API Deprecations</x:v>
      </x:c>
      <x:c r="D734" s="52" t="str">
        <x:v>safety_lifecycle</x:v>
      </x:c>
      <x:c r="E734" s="52" t="str">
        <x:v>Sora</x:v>
      </x:c>
      <x:c r="F734" s="52" t="str">
        <x:v>deprecation</x:v>
      </x:c>
      <x:c r="G734" s="52" t="str">
        <x:v>deprecated</x:v>
      </x:c>
      <x:c r="H734" s="63" t="str">
        <x:v>Sora 2 video generation models and Videos API</x:v>
      </x:c>
      <x:c r="I734" s="63" t="str">
        <x:v>淘汰通知：Sora 2 video generation models and Videos API</x:v>
      </x:c>
      <x:c r="J734" s="63" t="str">
        <x:v>On March 24th, 2026, we notified developers using the Videos API and Sora 2 video generation model aliases and snapshots of their deprecation and removal from the API on September 24, 2026.</x:v>
      </x:c>
      <x:c r="K734" s="63" t="str">
        <x:v>OpenAI 於 2026-03-24 為 Sora 公布淘汰計畫；此節點依官方發布記錄整理，完整能力、適用方案與限制請見來源。</x:v>
      </x:c>
      <x:c r="L734" s="52" t="str">
        <x:v>https://platform.openai.com/docs/deprecations</x:v>
      </x:c>
      <x:c r="M734" s="52" t="str">
        <x:v>developer_deprecations</x:v>
      </x:c>
      <x:c r="N734" s="52" t="str">
        <x:v>parsed</x:v>
      </x:c>
      <x:c r="O734" s="52" t="str">
        <x:v>high</x:v>
      </x:c>
      <x:c r="P734" s="60" t="n">
        <x:v>0</x:v>
      </x:c>
      <x:c r="Q734" s="52" t="str"/>
    </x:row>
    <x:row r="735" ht="38" customHeight="1">
      <x:c r="A735" s="57" t="n">
        <x:v>46105</x:v>
      </x:c>
      <x:c r="B735" s="52" t="str">
        <x:v>lane-openai-api-deprecations</x:v>
      </x:c>
      <x:c r="C735" s="52" t="str">
        <x:v>OpenAI API Deprecations</x:v>
      </x:c>
      <x:c r="D735" s="52" t="str">
        <x:v>safety_lifecycle</x:v>
      </x:c>
      <x:c r="E735" s="52" t="str">
        <x:v>Videos API</x:v>
      </x:c>
      <x:c r="F735" s="52" t="str">
        <x:v>deprecation</x:v>
      </x:c>
      <x:c r="G735" s="52" t="str">
        <x:v>deprecated</x:v>
      </x:c>
      <x:c r="H735" s="63" t="str">
        <x:v>Sora 2 video generation models and Videos API deprecation</x:v>
      </x:c>
      <x:c r="I735" s="63" t="str">
        <x:v>Sora 2 video generation models and Videos API 棄用公告</x:v>
      </x:c>
      <x:c r="J735" s="63" t="str">
        <x:v>On March 24th, 2026, we notified developers using the Videos API and Sora 2 video generation model aliases and snapshots of their deprecation and removal from the API on September 24, 2026. Schedule/replacements: 2026-09-24 Videos API ---; 2026-09-24 sora-2 ---; 2026-09-24 sora-2-pro ---; 2026-09-24 sora-2-2025-10-06 ---; 2026-09-24 sora-2-2025-12-08 ---; 2026-09-24 sora-2-pro-2025-10-06 ---</x:v>
      </x:c>
      <x:c r="K735" s="63" t="str">
        <x:v>OpenAI 於 2026-03-24 公告 Sora 2 video generation models and Videos API 的棄用或下線時程，並列出替代方案與遷移方向。</x:v>
      </x:c>
      <x:c r="L735" s="52" t="str">
        <x:v>https://developers.openai.com/api/docs/deprecations#2026-03-24-sora-2-video-generation-models-and-videos-api</x:v>
      </x:c>
      <x:c r="M735" s="52" t="str">
        <x:v>official_deprecation_registry</x:v>
      </x:c>
      <x:c r="N735" s="52" t="str">
        <x:v>complete</x:v>
      </x:c>
      <x:c r="O735" s="52" t="str">
        <x:v>high</x:v>
      </x:c>
      <x:c r="P735" s="60" t="n">
        <x:v>4</x:v>
      </x:c>
      <x:c r="Q735" s="52" t="str">
        <x:v>api | deprecation | videos-api</x:v>
      </x:c>
    </x:row>
    <x:row r="736" ht="38" customHeight="1">
      <x:c r="A736" s="57" t="n">
        <x:v>46106</x:v>
      </x:c>
      <x:c r="B736" s="52" t="str">
        <x:v>codex-changelog</x:v>
      </x:c>
      <x:c r="C736" s="52" t="str">
        <x:v>Codex Changelog</x:v>
      </x:c>
      <x:c r="D736" s="52" t="str">
        <x:v>agents_research</x:v>
      </x:c>
      <x:c r="E736" s="52" t="str">
        <x:v>Codex</x:v>
      </x:c>
      <x:c r="F736" s="52" t="str">
        <x:v>availability</x:v>
      </x:c>
      <x:c r="G736" s="52" t="str">
        <x:v>active</x:v>
      </x:c>
      <x:c r="H736" s="63" t="str">
        <x:v>Build and install plugins in Codex</x:v>
      </x:c>
      <x:c r="I736" s="63" t="str">
        <x:v>建置並安裝 plugins in Codex</x:v>
      </x:c>
      <x:c r="J736" s="63" t="str">
        <x:v>Codex now supports plugins : installable bundles that package skills, app integrations, and MCP server configuration for reusable workflows. Plugins are available in the Codex app, CLI, and IDE extensions. You can install curated plugins from the plugin directory, or scaffold a local plugin with @plugin-creator and test it with workspace-scoped or home-scoped marketplaces. Learn more in the plugins documentation . Plugin structure Ev…</x:v>
      </x:c>
      <x:c r="K736" s="63" t="str">
        <x:v>Codex Changelog 在 2026-03-25 記錄了Codex 編碼代理、代理與工具調用相關更新；完整版本與修正內容見官方英文摘要。</x:v>
      </x:c>
      <x:c r="L736" s="52" t="str">
        <x:v>https://developers.openai.com/codex/changelog/</x:v>
      </x:c>
      <x:c r="M736" s="52" t="str">
        <x:v>developer_changelog</x:v>
      </x:c>
      <x:c r="N736" s="52" t="str">
        <x:v>complete</x:v>
      </x:c>
      <x:c r="O736" s="52" t="str">
        <x:v>high</x:v>
      </x:c>
      <x:c r="P736" s="60" t="n">
        <x:v>3</x:v>
      </x:c>
      <x:c r="Q736" s="52" t="str">
        <x:v>codex | release-notes</x:v>
      </x:c>
    </x:row>
    <x:row r="737" ht="38" customHeight="1">
      <x:c r="A737" s="57" t="n">
        <x:v>46106</x:v>
      </x:c>
      <x:c r="B737" s="52" t="str">
        <x:v>codex-changelog</x:v>
      </x:c>
      <x:c r="C737" s="52" t="str">
        <x:v>Codex Changelog</x:v>
      </x:c>
      <x:c r="D737" s="52" t="str">
        <x:v>agents_research</x:v>
      </x:c>
      <x:c r="E737" s="52" t="str">
        <x:v>Codex</x:v>
      </x:c>
      <x:c r="F737" s="52" t="str">
        <x:v>model_update</x:v>
      </x:c>
      <x:c r="G737" s="52" t="str">
        <x:v>active</x:v>
      </x:c>
      <x:c r="H737" s="63" t="str">
        <x:v>Codex app 26.324</x:v>
      </x:c>
      <x:c r="I737" s="63" t="str">
        <x:v>Codex app 26.324 更新</x:v>
      </x:c>
      <x:c r="J737" s="63" t="str">
        <x:v>New features Redesigned the skills and plugins browse and manage pages. Added per-window zoom and a clearer edited-files state in review. Added automation titles and icons in the sidebar, plus bundled Raycast themes. Performance improvements and bug fixes Kept loaded threads and projects visible during reconnects and made navigation feel faster. Fixed archive freezes, markdown wrapping, hotkey-window regressions, and several permissi…</x:v>
      </x:c>
      <x:c r="K737" s="63" t="str">
        <x:v>Codex Changelog 在 2026-03-25 記錄了Codex 編碼代理、可靠性與效能修正相關更新；完整版本與修正內容見官方英文摘要。</x:v>
      </x:c>
      <x:c r="L737" s="52" t="str">
        <x:v>https://developers.openai.com/codex/changelog/</x:v>
      </x:c>
      <x:c r="M737" s="52" t="str">
        <x:v>developer_changelog</x:v>
      </x:c>
      <x:c r="N737" s="52" t="str">
        <x:v>complete</x:v>
      </x:c>
      <x:c r="O737" s="52" t="str">
        <x:v>high</x:v>
      </x:c>
      <x:c r="P737" s="60" t="n">
        <x:v>2</x:v>
      </x:c>
      <x:c r="Q737" s="52" t="str">
        <x:v>codex | release-notes</x:v>
      </x:c>
    </x:row>
    <x:row r="738" ht="38" customHeight="1">
      <x:c r="A738" s="57" t="n">
        <x:v>46106</x:v>
      </x:c>
      <x:c r="B738" s="52" t="str">
        <x:v>chatgpt-release-notes</x:v>
      </x:c>
      <x:c r="C738" s="52" t="str">
        <x:v>ChatGPT — Release Notes</x:v>
      </x:c>
      <x:c r="D738" s="52" t="str">
        <x:v>developer_platform</x:v>
      </x:c>
      <x:c r="E738" s="52" t="str">
        <x:v>Apps &amp; Connectors</x:v>
      </x:c>
      <x:c r="F738" s="52" t="str">
        <x:v>integration</x:v>
      </x:c>
      <x:c r="G738" s="52" t="str">
        <x:v>active</x:v>
      </x:c>
      <x:c r="H738" s="63" t="str">
        <x:v>Google Drive app unification</x:v>
      </x:c>
      <x:c r="I738" s="63" t="str">
        <x:v>Google Drive 應用程式整合</x:v>
      </x:c>
      <x:c r="J738" s="63" t="str">
        <x:v>Google’s file connectors in ChatGPT are now unified under Google Drive, providing a single app experience for interacting with your Google Docs, Sheets and Slides on Google Drive. If you’re a new user, you can connect to the Google Drive app in ChatGPT to use Google Drive, Docs, Sheets, and Slides actions, removing the need to install and authenticate separate Google file apps. If you’ve already connected to the separate apps in the…</x:v>
      </x:c>
      <x:c r="K738" s="63" t="str">
        <x:v>ChatGPT 中的 Google 檔案連接器現已整合至 Google Drive，為您提供單一應用程式體驗，以與您在 Google Drive 上的 Google 文件、試算表和簡報進行互動。…</x:v>
      </x:c>
      <x:c r="L738" s="52" t="str">
        <x:v>https://help.openai.com/en/articles/6825453-chatgpt-release-notes</x:v>
      </x:c>
      <x:c r="M738" s="52" t="str">
        <x:v>help_center_release_notes</x:v>
      </x:c>
      <x:c r="N738" s="52" t="str">
        <x:v>complete</x:v>
      </x:c>
      <x:c r="O738" s="52" t="str">
        <x:v>high</x:v>
      </x:c>
      <x:c r="P738" s="60" t="n">
        <x:v>3</x:v>
      </x:c>
      <x:c r="Q738" s="52" t="str">
        <x:v>2026 | apps-connectors | developer-platform | integration</x:v>
      </x:c>
    </x:row>
    <x:row r="739" ht="38" customHeight="1">
      <x:c r="A739" s="57" t="n">
        <x:v>46106</x:v>
      </x:c>
      <x:c r="B739" s="52" t="str">
        <x:v>chatgpt-release-notes</x:v>
      </x:c>
      <x:c r="C739" s="52" t="str">
        <x:v>ChatGPT — Release Notes</x:v>
      </x:c>
      <x:c r="D739" s="52" t="str">
        <x:v>chatgpt_core</x:v>
      </x:c>
      <x:c r="E739" s="52" t="str">
        <x:v>ChatGPT Plus</x:v>
      </x:c>
      <x:c r="F739" s="52" t="str">
        <x:v>feature</x:v>
      </x:c>
      <x:c r="G739" s="52" t="str">
        <x:v>active</x:v>
      </x:c>
      <x:c r="H739" s="63" t="str">
        <x:v>Large pastes are now handled as attachments</x:v>
      </x:c>
      <x:c r="I739" s="63" t="str">
        <x:v>大型貼上內容現以附件形式處理</x:v>
      </x:c>
      <x:c r="J739" s="63" t="str">
        <x:v>Starting today for ChatGPT Plus, Pro, and Business users, long pastes are handled differently in ChatGPT. If you paste more than 5k characters into the composer, ChatGPT will automatically convert the content into an attachment instead of inserting it directly into the text field. This keeps the composer cleaner and helps prevent large pastes from consuming your entire context window. You can still move the content back into the mess…</x:v>
      </x:c>
      <x:c r="K739" s="63" t="str">
        <x:v>從今日起，對於 ChatGPT Plus、Pro 和 Business 使用者，長篇貼上內容在 ChatGPT 中的處理方式有所不同。若您在編輯器中貼上超過 5k 字元，ChatGPT 將自動把內容轉換為附件，而非直接插入文字欄位。…</x:v>
      </x:c>
      <x:c r="L739" s="52" t="str">
        <x:v>https://help.openai.com/en/articles/6825453-chatgpt-release-notes</x:v>
      </x:c>
      <x:c r="M739" s="52" t="str">
        <x:v>help_center_release_notes</x:v>
      </x:c>
      <x:c r="N739" s="52" t="str">
        <x:v>complete</x:v>
      </x:c>
      <x:c r="O739" s="52" t="str">
        <x:v>high</x:v>
      </x:c>
      <x:c r="P739" s="60" t="n">
        <x:v>3</x:v>
      </x:c>
      <x:c r="Q739" s="52" t="str">
        <x:v>2026 | chatgpt | chatgpt-core | feature</x:v>
      </x:c>
    </x:row>
    <x:row r="740" ht="38" customHeight="1">
      <x:c r="A740" s="57" t="n">
        <x:v>46106</x:v>
      </x:c>
      <x:c r="B740" s="52" t="str">
        <x:v>apps-sdk-changelog</x:v>
      </x:c>
      <x:c r="C740" s="52" t="str">
        <x:v>Apps SDK Changelog</x:v>
      </x:c>
      <x:c r="D740" s="52" t="str">
        <x:v>developer_platform</x:v>
      </x:c>
      <x:c r="E740" s="52" t="str">
        <x:v>Apps SDK</x:v>
      </x:c>
      <x:c r="F740" s="52" t="str">
        <x:v>availability</x:v>
      </x:c>
      <x:c r="G740" s="52" t="str">
        <x:v>active</x:v>
      </x:c>
      <x:c r="H740" s="63" t="str">
        <x:v>Plugin distribution guidance</x:v>
      </x:c>
      <x:c r="I740" s="63" t="str">
        <x:v>Plugin distribution guidance 更新</x:v>
      </x:c>
      <x:c r="J740" s="63" t="str">
        <x:v>Fixes &amp; improvements Apps SDK docs now explain that OpenAI turns approved apps into plugins for Codex distribution, and that for now plugins are only available in Codex.</x:v>
      </x:c>
      <x:c r="K740" s="63" t="str">
        <x:v>Apps SDK Changelog 在 2026-03-25 記錄了Codex 編碼代理、可靠性與效能修正相關更新；完整版本與修正內容見官方英文摘要。</x:v>
      </x:c>
      <x:c r="L740" s="52" t="str">
        <x:v>https://developers.openai.com/apps-sdk/changelog/</x:v>
      </x:c>
      <x:c r="M740" s="52" t="str">
        <x:v>developer_changelog</x:v>
      </x:c>
      <x:c r="N740" s="52" t="str">
        <x:v>complete</x:v>
      </x:c>
      <x:c r="O740" s="52" t="str">
        <x:v>high</x:v>
      </x:c>
      <x:c r="P740" s="60" t="n">
        <x:v>4</x:v>
      </x:c>
      <x:c r="Q740" s="52" t="str">
        <x:v>apps-sdk | chatgpt-apps | mcp</x:v>
      </x:c>
    </x:row>
    <x:row r="741" ht="38" customHeight="1">
      <x:c r="A741" s="57" t="n">
        <x:v>46107</x:v>
      </x:c>
      <x:c r="B741" s="52" t="str">
        <x:v>chatgpt-release-notes</x:v>
      </x:c>
      <x:c r="C741" s="52" t="str">
        <x:v>ChatGPT — Release Notes</x:v>
      </x:c>
      <x:c r="D741" s="52" t="str">
        <x:v>clients_surfaces</x:v>
      </x:c>
      <x:c r="E741" s="52" t="str">
        <x:v>ChatGPT</x:v>
      </x:c>
      <x:c r="F741" s="52" t="str">
        <x:v>feature</x:v>
      </x:c>
      <x:c r="G741" s="52" t="str">
        <x:v>active</x:v>
      </x:c>
      <x:c r="H741" s="63" t="str">
        <x:v>A simplified sidebar on mobile</x:v>
      </x:c>
      <x:c r="I741" s="63" t="str">
        <x:v>行動裝置上簡化的側邊欄</x:v>
      </x:c>
      <x:c r="J741" s="63" t="str">
        <x:v>To give you more space to view your most critical chats and projects, the sidebar menu is now simplified on iOS and Android. ChatGPT experiences available to you based on your plan and usage—like Images, Codex, Pulse, and Apps—now appear in a horizontal bar above your chats and projects.</x:v>
      </x:c>
      <x:c r="K741" s="63" t="str">
        <x:v>為了讓您有更多空間檢視最重要的對話與專案，iOS 和 Android 上的側邊欄選單現已簡化。根據您的方案與使用情況提供給您的 ChatGPT 體驗（如 Images、Codex、Pulse 和 Apps），現在會顯示在對話與專案上方的水平列中。</x:v>
      </x:c>
      <x:c r="L741" s="52" t="str">
        <x:v>https://help.openai.com/en/articles/6825453-chatgpt-release-notes</x:v>
      </x:c>
      <x:c r="M741" s="52" t="str">
        <x:v>help_center_release_notes</x:v>
      </x:c>
      <x:c r="N741" s="52" t="str">
        <x:v>complete</x:v>
      </x:c>
      <x:c r="O741" s="52" t="str">
        <x:v>high</x:v>
      </x:c>
      <x:c r="P741" s="60" t="n">
        <x:v>3</x:v>
      </x:c>
      <x:c r="Q741" s="52" t="str">
        <x:v>2026 | chatgpt | clients-surfaces | feature</x:v>
      </x:c>
    </x:row>
    <x:row r="742" ht="38" customHeight="1">
      <x:c r="A742" s="57" t="n">
        <x:v>46107</x:v>
      </x:c>
      <x:c r="B742" s="52" t="str">
        <x:v>chatgpt-release-notes</x:v>
      </x:c>
      <x:c r="C742" s="52" t="str">
        <x:v>ChatGPT — Release Notes</x:v>
      </x:c>
      <x:c r="D742" s="52" t="str">
        <x:v>chatgpt_core</x:v>
      </x:c>
      <x:c r="E742" s="52" t="str">
        <x:v>ChatGPT</x:v>
      </x:c>
      <x:c r="F742" s="52" t="str">
        <x:v>feature</x:v>
      </x:c>
      <x:c r="G742" s="52" t="str">
        <x:v>active</x:v>
      </x:c>
      <x:c r="H742" s="63" t="str">
        <x:v>Location Sharing</x:v>
      </x:c>
      <x:c r="I742" s="63" t="str">
        <x:v>位置共享</x:v>
      </x:c>
      <x:c r="J742" s="63" t="str">
        <x:v>Users can now choose to share their device location so ChatGPT can provide more relevant information, such as local recommendations, news, and weather. Sharing your device location is completely optional and off until you choose to enable it. You can update device location sharing in Settings Data Controls at any time. Enabling location sharing will also enable precise location. Precise location means ChatGPT can use your device’s sp…</x:v>
      </x:c>
      <x:c r="K742" s="63" t="str">
        <x:v>使用者現在可以選擇共享其裝置位置，以便 ChatGPT 提供更相關的資訊，例如在地推薦、新聞和天氣。共享裝置位置完全是可選的，在您選擇啟用之前預設為關閉。您可以隨時在「設定」「資料控制」中更新裝置位置共享設定。…</x:v>
      </x:c>
      <x:c r="L742" s="52" t="str">
        <x:v>https://help.openai.com/en/articles/6825453-chatgpt-release-notes</x:v>
      </x:c>
      <x:c r="M742" s="52" t="str">
        <x:v>help_center_release_notes</x:v>
      </x:c>
      <x:c r="N742" s="52" t="str">
        <x:v>complete</x:v>
      </x:c>
      <x:c r="O742" s="52" t="str">
        <x:v>high</x:v>
      </x:c>
      <x:c r="P742" s="60" t="n">
        <x:v>3</x:v>
      </x:c>
      <x:c r="Q742" s="52" t="str">
        <x:v>2026 | chatgpt | chatgpt-core | feature</x:v>
      </x:c>
    </x:row>
    <x:row r="743" ht="38" customHeight="1">
      <x:c r="A743" s="57" t="n">
        <x:v>46107</x:v>
      </x:c>
      <x:c r="B743" s="52" t="str">
        <x:v>chatgpt-release-notes</x:v>
      </x:c>
      <x:c r="C743" s="52" t="str">
        <x:v>ChatGPT — Release Notes</x:v>
      </x:c>
      <x:c r="D743" s="52" t="str">
        <x:v>agents_research</x:v>
      </x:c>
      <x:c r="E743" s="52" t="str">
        <x:v>Codex</x:v>
      </x:c>
      <x:c r="F743" s="52" t="str">
        <x:v>integration</x:v>
      </x:c>
      <x:c r="G743" s="52" t="str">
        <x:v>active</x:v>
      </x:c>
      <x:c r="H743" s="63" t="str">
        <x:v>Plugins in Codex</x:v>
      </x:c>
      <x:c r="I743" s="63" t="str">
        <x:v>Codex 中的外掛程式</x:v>
      </x:c>
      <x:c r="J743" s="63" t="str">
        <x:v>Codex now includes a curated plugins directory that lets users discover, install, and use packaged workflows built from apps and skills directly in Codex. Plugins are installable bundles for reusable Codex workflows, making it easier to share the same setup across projects or teams. Plugins can package skills, optional app integrations, and MCP server configurations in a single place. Learn more.</x:v>
      </x:c>
      <x:c r="K743" s="63" t="str">
        <x:v>Codex 現在包含一個精選外掛程式目錄，讓使用者可以直接在 Codex 中探索、安裝並使用由應用程式與技能建立的封裝工作流程。外掛程式是可安裝的套件，用於可重複使用的 Codex 工作流程，讓跨專案或團隊共享相同的設定變得更加容易。…</x:v>
      </x:c>
      <x:c r="L743" s="52" t="str">
        <x:v>https://help.openai.com/en/articles/6825453-chatgpt-release-notes</x:v>
      </x:c>
      <x:c r="M743" s="52" t="str">
        <x:v>help_center_release_notes</x:v>
      </x:c>
      <x:c r="N743" s="52" t="str">
        <x:v>complete</x:v>
      </x:c>
      <x:c r="O743" s="52" t="str">
        <x:v>high</x:v>
      </x:c>
      <x:c r="P743" s="60" t="n">
        <x:v>3</x:v>
      </x:c>
      <x:c r="Q743" s="52" t="str">
        <x:v>2026 | agents-research | codex | integration</x:v>
      </x:c>
    </x:row>
    <x:row r="744" ht="38" customHeight="1">
      <x:c r="A744" s="57" t="n">
        <x:v>46108</x:v>
      </x:c>
      <x:c r="B744" s="52" t="str">
        <x:v>chatgpt-release-notes</x:v>
      </x:c>
      <x:c r="C744" s="52" t="str">
        <x:v>ChatGPT — Release Notes</x:v>
      </x:c>
      <x:c r="D744" s="52" t="str">
        <x:v>developer_platform</x:v>
      </x:c>
      <x:c r="E744" s="52" t="str">
        <x:v>Apps &amp; Connectors</x:v>
      </x:c>
      <x:c r="F744" s="52" t="str">
        <x:v>feature</x:v>
      </x:c>
      <x:c r="G744" s="52" t="str">
        <x:v>active</x:v>
      </x:c>
      <x:c r="H744" s="63" t="str">
        <x:v>Updated Box, Notion, Linear, and Dropbox apps</x:v>
      </x:c>
      <x:c r="I744" s="63" t="str">
        <x:v>更新 Box、Notion、Linear 和 Dropbox 應用程式</x:v>
      </x:c>
      <x:c r="J744" s="63" t="str">
        <x:v>We’re rolling out updated Box, Notion, Linear, and Dropbox apps in ChatGPT. These updates add new app actions, including new write capabilities where supported, and bring the latest app experience into ChatGPT. If you already use these apps in ChatGPT, reconnect the app to start using the updated experience. Existing sync functionality (Pro users only) for these apps is not affected.</x:v>
      </x:c>
      <x:c r="K744" s="63" t="str">
        <x:v>我們正在 ChatGPT 中推出更新後的 Box、Notion、Linear 和 Dropbox 應用程式。這些更新增加了新的應用程式動作，包括在支援的情況下提供新的寫入功能，並將最新的應用程式體驗帶入 ChatGPT。如果您已經在 ChatGPT 中使用這些應用程式，請重新連接應用程式以開始使用更新後的體驗。…</x:v>
      </x:c>
      <x:c r="L744" s="52" t="str">
        <x:v>https://help.openai.com/en/articles/6825453-chatgpt-release-notes</x:v>
      </x:c>
      <x:c r="M744" s="52" t="str">
        <x:v>help_center_release_notes</x:v>
      </x:c>
      <x:c r="N744" s="52" t="str">
        <x:v>complete</x:v>
      </x:c>
      <x:c r="O744" s="52" t="str">
        <x:v>high</x:v>
      </x:c>
      <x:c r="P744" s="60" t="n">
        <x:v>3</x:v>
      </x:c>
      <x:c r="Q744" s="52" t="str">
        <x:v>2026 | apps-connectors | developer-platform | feature</x:v>
      </x:c>
    </x:row>
    <x:row r="745" ht="38" customHeight="1">
      <x:c r="A745" s="57" t="n">
        <x:v>46113</x:v>
      </x:c>
      <x:c r="B745" s="52" t="str">
        <x:v>codex-changelog</x:v>
      </x:c>
      <x:c r="C745" s="52" t="str">
        <x:v>Codex Changelog</x:v>
      </x:c>
      <x:c r="D745" s="52" t="str">
        <x:v>agents_research</x:v>
      </x:c>
      <x:c r="E745" s="52" t="str">
        <x:v>Codex</x:v>
      </x:c>
      <x:c r="F745" s="52" t="str">
        <x:v>platform</x:v>
      </x:c>
      <x:c r="G745" s="52" t="str">
        <x:v>active</x:v>
      </x:c>
      <x:c r="H745" s="63" t="str">
        <x:v>Codex app 26.325, 26.331, 26.401</x:v>
      </x:c>
      <x:c r="I745" s="63" t="str">
        <x:v>Codex app 26.325, 26.331, 26.401 更新</x:v>
      </x:c>
      <x:c r="J745" s="63" t="str">
        <x:v>New features Added workspace settings to the app. Added “Don’t ask again” handling and polish for custom MCP approval panels. Added native Windows updater support, including MSIX support, plus a Windows system tray menu so Codex can stay resident after the last window closes. Added app and file @ mentions in the automation composer, surfaced subagent diff stats in the composer, and added artifact cards for generated file citations. A…</x:v>
      </x:c>
      <x:c r="K745" s="63" t="str">
        <x:v>Codex Changelog 在 2026-04-01 記錄了Codex 編碼代理、代理與工具調用、圖像與影片相關更新；完整版本與修正內容見官方英文摘要。</x:v>
      </x:c>
      <x:c r="L745" s="52" t="str">
        <x:v>https://developers.openai.com/codex/changelog/</x:v>
      </x:c>
      <x:c r="M745" s="52" t="str">
        <x:v>developer_changelog</x:v>
      </x:c>
      <x:c r="N745" s="52" t="str">
        <x:v>complete</x:v>
      </x:c>
      <x:c r="O745" s="52" t="str">
        <x:v>high</x:v>
      </x:c>
      <x:c r="P745" s="60" t="n">
        <x:v>3</x:v>
      </x:c>
      <x:c r="Q745" s="52" t="str">
        <x:v>codex | release-notes</x:v>
      </x:c>
    </x:row>
    <x:row r="746" ht="38" customHeight="1">
      <x:c r="A746" s="57" t="n">
        <x:v>46114</x:v>
      </x:c>
      <x:c r="B746" s="52" t="str">
        <x:v>chatgpt-release-notes</x:v>
      </x:c>
      <x:c r="C746" s="52" t="str">
        <x:v>ChatGPT — Release Notes</x:v>
      </x:c>
      <x:c r="D746" s="52" t="str">
        <x:v>clients_surfaces</x:v>
      </x:c>
      <x:c r="E746" s="52" t="str">
        <x:v>ChatGPT Voice</x:v>
      </x:c>
      <x:c r="F746" s="52" t="str">
        <x:v>platform</x:v>
      </x:c>
      <x:c r="G746" s="52" t="str">
        <x:v>active</x:v>
      </x:c>
      <x:c r="H746" s="63" t="str">
        <x:v>ChatGPT in Apple CarPlay</x:v>
      </x:c>
      <x:c r="I746" s="63" t="str">
        <x:v>Apple CarPlay 中的 ChatGPT</x:v>
      </x:c>
      <x:c r="J746" s="63" t="str">
        <x:v>We’re rolling out ChatGPT in CarPlay, giving you access to a hands-free ChatGPT experience while on-the-go. If you have iOS 26.4 or newer and are connected to a supported car, you can start new voice conversations with ChatGPT directly from the CarPlay interface. You can also resume existing conversations you were having using voice mode in the ChatGPT mobile app. Learn more.</x:v>
      </x:c>
      <x:c r="K746" s="63" t="str">
        <x:v>我們正在 CarPlay 中推出 ChatGPT，讓您在行動中也能體驗免手持的 ChatGPT。如果您擁有 iOS 26.4 或更新版本，並連接到受支援的汽車，即可直接從 CarPlay 介面與 ChatGPT 進行新的語音對話。…</x:v>
      </x:c>
      <x:c r="L746" s="52" t="str">
        <x:v>https://help.openai.com/en/articles/6825453-chatgpt-release-notes</x:v>
      </x:c>
      <x:c r="M746" s="52" t="str">
        <x:v>help_center_release_notes</x:v>
      </x:c>
      <x:c r="N746" s="52" t="str">
        <x:v>complete</x:v>
      </x:c>
      <x:c r="O746" s="52" t="str">
        <x:v>high</x:v>
      </x:c>
      <x:c r="P746" s="60" t="n">
        <x:v>3</x:v>
      </x:c>
      <x:c r="Q746" s="52" t="str">
        <x:v>2026 | chatgpt | clients-surfaces | platform</x:v>
      </x:c>
    </x:row>
    <x:row r="747" ht="38" customHeight="1">
      <x:c r="A747" s="57" t="n">
        <x:v>46114</x:v>
      </x:c>
      <x:c r="B747" s="52" t="str">
        <x:v>enterprise-edu-release-notes</x:v>
      </x:c>
      <x:c r="C747" s="52" t="str">
        <x:v>ChatGPT Enterprise &amp; Edu — Release Notes</x:v>
      </x:c>
      <x:c r="D747" s="52" t="str">
        <x:v>enterprise_vertical</x:v>
      </x:c>
      <x:c r="E747" s="52" t="str">
        <x:v>Codex Enterprise</x:v>
      </x:c>
      <x:c r="F747" s="52" t="str">
        <x:v>launch</x:v>
      </x:c>
      <x:c r="G747" s="52" t="str">
        <x:v>active</x:v>
      </x:c>
      <x:c r="H747" s="63" t="str">
        <x:v>Codex seats for ChatGPT Enterprise</x:v>
      </x:c>
      <x:c r="I747" s="63" t="str">
        <x:v>ChatGPT Enterprise 新增 Codex 席次</x:v>
      </x:c>
      <x:c r="J747" s="63" t="str">
        <x:v>OpenAI introduced usage-based Codex-only seats for ChatGPT Enterprise, separate from standard ChatGPT workspace seats.</x:v>
      </x:c>
      <x:c r="K747" s="63" t="str">
        <x:v>OpenAI 為 ChatGPT Enterprise 推出按用量計費的 Codex-only 席次，與標準 ChatGPT 工作區席次分開。</x:v>
      </x:c>
      <x:c r="L747" s="52" t="str">
        <x:v>https://help.openai.com/en/articles/10128477-chatgpt-enterprise-edu-release-notes</x:v>
      </x:c>
      <x:c r="M747" s="52" t="str">
        <x:v>help_center_release_notes</x:v>
      </x:c>
      <x:c r="N747" s="52" t="str">
        <x:v>parsed</x:v>
      </x:c>
      <x:c r="O747" s="52" t="str">
        <x:v>high</x:v>
      </x:c>
      <x:c r="P747" s="60" t="n">
        <x:v>4</x:v>
      </x:c>
      <x:c r="Q747" s="52" t="str">
        <x:v>codex | enterprise | pricing</x:v>
      </x:c>
    </x:row>
    <x:row r="748" ht="38" customHeight="1">
      <x:c r="A748" s="57" t="n">
        <x:v>46119</x:v>
      </x:c>
      <x:c r="B748" s="52" t="str">
        <x:v>codex-changelog</x:v>
      </x:c>
      <x:c r="C748" s="52" t="str">
        <x:v>Codex Changelog</x:v>
      </x:c>
      <x:c r="D748" s="52" t="str">
        <x:v>agents_research</x:v>
      </x:c>
      <x:c r="E748" s="52" t="str">
        <x:v>GPT-5.4</x:v>
      </x:c>
      <x:c r="F748" s="52" t="str">
        <x:v>availability</x:v>
      </x:c>
      <x:c r="G748" s="52" t="str">
        <x:v>active</x:v>
      </x:c>
      <x:c r="H748" s="63" t="str">
        <x:v>Codex model availability update</x:v>
      </x:c>
      <x:c r="I748" s="63" t="str">
        <x:v>Codex model availability update 更新</x:v>
      </x:c>
      <x:c r="J748" s="63" t="str">
        <x:v>We’re updating model availability for users who sign in with ChatGPT. Starting April 7, the model picker no longer shows gpt-5.2-codex , gpt-5.1-codex-mini , gpt-5.1-codex-max , gpt-5.1-codex , gpt-5.1 , or gpt-5 . On April 14, we’ll remove those models from Codex for ChatGPT sign-in. Users can still choose from gpt-5.4 , gpt-5.4-mini , gpt-5.3-codex , and gpt-5.2 . ChatGPT Pro users can also choose gpt-5.3-codex-spark . To use anoth…</x:v>
      </x:c>
      <x:c r="K748" s="63" t="str">
        <x:v>OpenAI 於 2026-04-07 為 GPT-5.4 擴大開放範圍；此節點依官方發布記錄整理，完整能力、適用方案與限制請見來源。</x:v>
      </x:c>
      <x:c r="L748" s="52" t="str">
        <x:v>https://developers.openai.com/codex/changelog/</x:v>
      </x:c>
      <x:c r="M748" s="52" t="str">
        <x:v>developer_changelog</x:v>
      </x:c>
      <x:c r="N748" s="52" t="str">
        <x:v>complete</x:v>
      </x:c>
      <x:c r="O748" s="52" t="str">
        <x:v>high</x:v>
      </x:c>
      <x:c r="P748" s="60" t="n">
        <x:v>2</x:v>
      </x:c>
      <x:c r="Q748" s="52" t="str">
        <x:v>codex | release-notes</x:v>
      </x:c>
    </x:row>
    <x:row r="749" ht="38" customHeight="1">
      <x:c r="A749" s="57" t="n">
        <x:v>46120</x:v>
      </x:c>
      <x:c r="B749" s="52" t="str">
        <x:v>chatgpt-release-notes</x:v>
      </x:c>
      <x:c r="C749" s="52" t="str">
        <x:v>ChatGPT — Release Notes</x:v>
      </x:c>
      <x:c r="D749" s="52" t="str">
        <x:v>developer_platform</x:v>
      </x:c>
      <x:c r="E749" s="52" t="str">
        <x:v>Apps &amp; Connectors</x:v>
      </x:c>
      <x:c r="F749" s="52" t="str">
        <x:v>integration</x:v>
      </x:c>
      <x:c r="G749" s="52" t="str">
        <x:v>active</x:v>
      </x:c>
      <x:c r="H749" s="63" t="str">
        <x:v>Outlook shared mailboxes and calendars in ChatGPT</x:v>
      </x:c>
      <x:c r="I749" s="63" t="str">
        <x:v>ChatGPT 中的 Outlook 共用信箱與行事曆</x:v>
      </x:c>
      <x:c r="J749" s="63" t="str">
        <x:v>The Outlook Email and Calendar apps for ChatGPT can now help with delegated or shared Outlook resources, when you have access. You can ask ChatGPT to read messages from a shared mailbox, browse its folders, mark mail read or unread, move messages, or send plain-text email from or on behalf of that mailbox. For shared Outlook calendars, ChatGPT can help create, update, RSVP to, cancel, delete, or add small attachments to events.…</x:v>
      </x:c>
      <x:c r="K749" s="63" t="str">
        <x:v>當您擁有存取權時，適用於 ChatGPT 的 Outlook 電子郵件與行事曆應用程式現在可以協助處理受委派或共用的 Outlook 資源。您可以要求 ChatGPT 讀取共用信箱中的郵件、瀏覽其資料夾、將郵件標記為已讀或未讀、移動郵件，或以該信箱的名義傳送純文字電子郵件。…</x:v>
      </x:c>
      <x:c r="L749" s="52" t="str">
        <x:v>https://help.openai.com/en/articles/6825453-chatgpt-release-notes</x:v>
      </x:c>
      <x:c r="M749" s="52" t="str">
        <x:v>help_center_release_notes</x:v>
      </x:c>
      <x:c r="N749" s="52" t="str">
        <x:v>complete</x:v>
      </x:c>
      <x:c r="O749" s="52" t="str">
        <x:v>high</x:v>
      </x:c>
      <x:c r="P749" s="60" t="n">
        <x:v>3</x:v>
      </x:c>
      <x:c r="Q749" s="52" t="str">
        <x:v>2026 | apps-connectors | developer-platform | integration</x:v>
      </x:c>
    </x:row>
    <x:row r="750" ht="38" customHeight="1">
      <x:c r="A750" s="57" t="n">
        <x:v>46121</x:v>
      </x:c>
      <x:c r="B750" s="52" t="str">
        <x:v>codex-changelog</x:v>
      </x:c>
      <x:c r="C750" s="52" t="str">
        <x:v>Codex Changelog</x:v>
      </x:c>
      <x:c r="D750" s="52" t="str">
        <x:v>agents_research</x:v>
      </x:c>
      <x:c r="E750" s="52" t="str">
        <x:v>Codex</x:v>
      </x:c>
      <x:c r="F750" s="52" t="str">
        <x:v>model_update</x:v>
      </x:c>
      <x:c r="G750" s="52" t="str">
        <x:v>active</x:v>
      </x:c>
      <x:c r="H750" s="63" t="str">
        <x:v>Codex app 26.406</x:v>
      </x:c>
      <x:c r="I750" s="63" t="str">
        <x:v>Codex app 26.406 更新</x:v>
      </x:c>
      <x:c r="J750" s="63" t="str">
        <x:v>New features Added collapsible inline review comments and inline or detached review modes. Added a Git summary and Sources section in the thread side panel. Added a New Quick Chat command and local video embeds in the app. Performance improvements and bug fixes Preserved thread scroll position per conversation and unread state across windows. Improved review refresh reliability, and fixed dictation loss, right-panel reset, and GitHub…</x:v>
      </x:c>
      <x:c r="K750" s="63" t="str">
        <x:v>Codex Changelog 在 2026-04-09 記錄了Codex 編碼代理、圖像與影片、可靠性與效能修正相關更新；完整版本與修正內容見官方英文摘要。</x:v>
      </x:c>
      <x:c r="L750" s="52" t="str">
        <x:v>https://developers.openai.com/codex/changelog/</x:v>
      </x:c>
      <x:c r="M750" s="52" t="str">
        <x:v>developer_changelog</x:v>
      </x:c>
      <x:c r="N750" s="52" t="str">
        <x:v>complete</x:v>
      </x:c>
      <x:c r="O750" s="52" t="str">
        <x:v>high</x:v>
      </x:c>
      <x:c r="P750" s="60" t="n">
        <x:v>2</x:v>
      </x:c>
      <x:c r="Q750" s="52" t="str">
        <x:v>codex | release-notes</x:v>
      </x:c>
    </x:row>
    <x:row r="751" ht="38" customHeight="1">
      <x:c r="A751" s="57" t="n">
        <x:v>46121</x:v>
      </x:c>
      <x:c r="B751" s="52" t="str">
        <x:v>chatgpt-release-notes</x:v>
      </x:c>
      <x:c r="C751" s="52" t="str">
        <x:v>ChatGPT — Release Notes</x:v>
      </x:c>
      <x:c r="D751" s="52" t="str">
        <x:v>models_reasoning</x:v>
      </x:c>
      <x:c r="E751" s="52" t="str">
        <x:v>GPT-5.3</x:v>
      </x:c>
      <x:c r="F751" s="52" t="str">
        <x:v>model_release</x:v>
      </x:c>
      <x:c r="G751" s="52" t="str">
        <x:v>active</x:v>
      </x:c>
      <x:c r="H751" s="63" t="str">
        <x:v>GPT-5.3 Instant mini in ChatGPT</x:v>
      </x:c>
      <x:c r="I751" s="63" t="str">
        <x:v>ChatGPT 中的 GPT-5.3 Instant Mini</x:v>
      </x:c>
      <x:c r="J751" s="63" t="str">
        <x:v>Today, we’re releasing GPT-5.3 Instant Mini in ChatGPT. It replaces GPT-5 Instant Mini as the fallback model users reach after hitting their rate limits for GPT-5.3 Instant. Because it serves as a fallback, it won’t appear in the model picker. Compared with GPT-5 Instant Mini, GPT-5.3 Instant Mini feels more natural in conversation, with stronger writing and contextual awareness throughout chats. It outperforms GPT-5 Instant Mini acr…</x:v>
      </x:c>
      <x:c r="K751" s="63" t="str">
        <x:v>今日，我們在 ChatGPT 中推出 GPT-5.3 Instant Mini。它取代了 GPT-5 Instant Mini，成為使用者在達到 GPT-5.3 Instant 的速率限制後會觸發的備用模型。由於它是作為備用模型，因此不會出現在模型選擇器中。…</x:v>
      </x:c>
      <x:c r="L751" s="52" t="str">
        <x:v>https://help.openai.com/en/articles/6825453-chatgpt-release-notes</x:v>
      </x:c>
      <x:c r="M751" s="52" t="str">
        <x:v>help_center_release_notes</x:v>
      </x:c>
      <x:c r="N751" s="52" t="str">
        <x:v>complete</x:v>
      </x:c>
      <x:c r="O751" s="52" t="str">
        <x:v>high</x:v>
      </x:c>
      <x:c r="P751" s="60" t="n">
        <x:v>4</x:v>
      </x:c>
      <x:c r="Q751" s="52" t="str">
        <x:v>2026 | gpt-5.3 | model_release | models-reasoning</x:v>
      </x:c>
    </x:row>
    <x:row r="752" ht="38" customHeight="1">
      <x:c r="A752" s="57" t="n">
        <x:v>46121</x:v>
      </x:c>
      <x:c r="B752" s="52" t="str">
        <x:v>chatgpt-release-notes</x:v>
      </x:c>
      <x:c r="C752" s="52" t="str">
        <x:v>ChatGPT — Release Notes</x:v>
      </x:c>
      <x:c r="D752" s="52" t="str">
        <x:v>chatgpt_core</x:v>
      </x:c>
      <x:c r="E752" s="52" t="str">
        <x:v>ChatGPT</x:v>
      </x:c>
      <x:c r="F752" s="52" t="str">
        <x:v>pricing_quota</x:v>
      </x:c>
      <x:c r="G752" s="52" t="str">
        <x:v>active</x:v>
      </x:c>
      <x:c r="H752" s="63" t="str">
        <x:v>New Pro plan options</x:v>
      </x:c>
      <x:c r="I752" s="63" t="str">
        <x:v>新的 Pro 方案選項</x:v>
      </x:c>
      <x:c r="J752" s="63" t="str">
        <x:v>We’re introducing a new $100/month Pro plan and updating how Codex usage works across Plus and Pro. Pro ($100/month): Built for longer, high-intensity Codex sessions. It includes unlimited access to GPT-5.4, access to GPT-5.4 Pro, and, for a limited time, up to 10x more Codex usage than Plus (up from 5X standard usage allowance). Pro ($200/month): Our highest-usage option remains available and continues on its current Codex promotion…</x:v>
      </x:c>
      <x:c r="K752" s="63" t="str">
        <x:v>我們推出了一項每月 $100 的新 Pro 方案，並更新了 Plus 和 Pro 方案的 Codex 使用方式。Pro（每月 $100）：專為更長、高強度的 Codex 工作階段打造。包含無限存取 GPT-5.4、存取 GPT-5.4 Pro，且在限時內，Codex 的使用量比 Plus 多達 10 倍（從標準使用配額的 5 倍提升）。…</x:v>
      </x:c>
      <x:c r="L752" s="52" t="str">
        <x:v>https://help.openai.com/en/articles/6825453-chatgpt-release-notes</x:v>
      </x:c>
      <x:c r="M752" s="52" t="str">
        <x:v>help_center_release_notes</x:v>
      </x:c>
      <x:c r="N752" s="52" t="str">
        <x:v>complete</x:v>
      </x:c>
      <x:c r="O752" s="52" t="str">
        <x:v>high</x:v>
      </x:c>
      <x:c r="P752" s="60" t="n">
        <x:v>3</x:v>
      </x:c>
      <x:c r="Q752" s="52" t="str">
        <x:v>2026 | chatgpt | chatgpt-core | pricing_quota</x:v>
      </x:c>
    </x:row>
    <x:row r="753" ht="38" customHeight="1">
      <x:c r="A753" s="57" t="n">
        <x:v>46122</x:v>
      </x:c>
      <x:c r="B753" s="52" t="str">
        <x:v>codex-changelog</x:v>
      </x:c>
      <x:c r="C753" s="52" t="str">
        <x:v>Codex Changelog</x:v>
      </x:c>
      <x:c r="D753" s="52" t="str">
        <x:v>agents_research</x:v>
      </x:c>
      <x:c r="E753" s="52" t="str">
        <x:v>Codex</x:v>
      </x:c>
      <x:c r="F753" s="52" t="str">
        <x:v>model_update</x:v>
      </x:c>
      <x:c r="G753" s="52" t="str">
        <x:v>active</x:v>
      </x:c>
      <x:c r="H753" s="63" t="str">
        <x:v>Codex app 26.409</x:v>
      </x:c>
      <x:c r="I753" s="63" t="str">
        <x:v>Codex app 26.409 更新</x:v>
      </x:c>
      <x:c r="J753" s="63" t="str">
        <x:v>New features Added Windows Store updater support. Expanded pull request workflows with an activity timeline, PR-page commenting, and push choices in the push modal. Added workspace file tabs in the thread side panel, drag-and-drop tab reordering, run action editing, and a logout confirmation dialog. Performance improvements and bug fixes Improved pull request board performance and comment flyouts. Improved update and navigation resil…</x:v>
      </x:c>
      <x:c r="K753" s="63" t="str">
        <x:v>Codex Changelog 在 2026-04-10 記錄了Codex 編碼代理、可靠性與效能修正相關更新；完整版本與修正內容見官方英文摘要。</x:v>
      </x:c>
      <x:c r="L753" s="52" t="str">
        <x:v>https://developers.openai.com/codex/changelog/</x:v>
      </x:c>
      <x:c r="M753" s="52" t="str">
        <x:v>developer_changelog</x:v>
      </x:c>
      <x:c r="N753" s="52" t="str">
        <x:v>complete</x:v>
      </x:c>
      <x:c r="O753" s="52" t="str">
        <x:v>high</x:v>
      </x:c>
      <x:c r="P753" s="60" t="n">
        <x:v>2</x:v>
      </x:c>
      <x:c r="Q753" s="52" t="str">
        <x:v>codex | release-notes</x:v>
      </x:c>
    </x:row>
    <x:row r="754" ht="38" customHeight="1">
      <x:c r="A754" s="57" t="n">
        <x:v>46124</x:v>
      </x:c>
      <x:c r="B754" s="52" t="str">
        <x:v>codex-changelog</x:v>
      </x:c>
      <x:c r="C754" s="52" t="str">
        <x:v>Codex Changelog</x:v>
      </x:c>
      <x:c r="D754" s="52" t="str">
        <x:v>agents_research</x:v>
      </x:c>
      <x:c r="E754" s="52" t="str">
        <x:v>Codex</x:v>
      </x:c>
      <x:c r="F754" s="52" t="str">
        <x:v>model_update</x:v>
      </x:c>
      <x:c r="G754" s="52" t="str">
        <x:v>active</x:v>
      </x:c>
      <x:c r="H754" s="63" t="str">
        <x:v>Codex app 26.410</x:v>
      </x:c>
      <x:c r="I754" s="63" t="str">
        <x:v>Codex app 26.410 更新</x:v>
      </x:c>
      <x:c r="J754" s="63" t="str">
        <x:v>New features Added command-menu file search, including Cmd+P routing into workspace file search. Added rich previews in the sidebar file viewer for images, PDFs, and Markdown. Added terminal tabs per thread, a selected-text Ask Codex overlay, and a Help menu feedback entry. Performance improvements and bug fixes Improved review diff whitespace handling and search highlighting. Fixed in-app browser address bar and external-open issues…</x:v>
      </x:c>
      <x:c r="K754" s="63" t="str">
        <x:v>Codex Changelog 在 2026-04-12 記錄了Codex 編碼代理、圖像與影片、可靠性與效能修正相關更新；完整版本與修正內容見官方英文摘要。</x:v>
      </x:c>
      <x:c r="L754" s="52" t="str">
        <x:v>https://developers.openai.com/codex/changelog/</x:v>
      </x:c>
      <x:c r="M754" s="52" t="str">
        <x:v>developer_changelog</x:v>
      </x:c>
      <x:c r="N754" s="52" t="str">
        <x:v>complete</x:v>
      </x:c>
      <x:c r="O754" s="52" t="str">
        <x:v>high</x:v>
      </x:c>
      <x:c r="P754" s="60" t="n">
        <x:v>2</x:v>
      </x:c>
      <x:c r="Q754" s="52" t="str">
        <x:v>codex | release-notes</x:v>
      </x:c>
    </x:row>
    <x:row r="755" ht="38" customHeight="1">
      <x:c r="A755" s="57" t="n">
        <x:v>46127</x:v>
      </x:c>
      <x:c r="B755" s="52" t="str">
        <x:v>api-changelog</x:v>
      </x:c>
      <x:c r="C755" s="52" t="str">
        <x:v>OpenAI API Changelog</x:v>
      </x:c>
      <x:c r="D755" s="52" t="str">
        <x:v>agents_research</x:v>
      </x:c>
      <x:c r="E755" s="52" t="str">
        <x:v>OpenAI API</x:v>
      </x:c>
      <x:c r="F755" s="52" t="str">
        <x:v>platform</x:v>
      </x:c>
      <x:c r="G755" s="52" t="str">
        <x:v>active</x:v>
      </x:c>
      <x:c r="H755" s="63" t="str">
        <x:v>Updated the Agents SDK with new capabilities</x:v>
      </x:c>
      <x:c r="I755" s="63" t="str">
        <x:v>平台更新：OpenAI API</x:v>
      </x:c>
      <x:c r="J755" s="63" t="str">
        <x:v>Updated the Agents SDK with new capabilities, including: running agents in controlled sandboxes;</x:v>
      </x:c>
      <x:c r="K755" s="63" t="str">
        <x:v>OpenAI 於 2026-04-15 為 OpenAI API 更新開發者平台；此節點依官方發布記錄整理，完整能力、適用方案與限制請見來源。</x:v>
      </x:c>
      <x:c r="L755" s="52" t="str">
        <x:v>https://platform.openai.com/docs/changelog</x:v>
      </x:c>
      <x:c r="M755" s="52" t="str">
        <x:v>developer_changelog</x:v>
      </x:c>
      <x:c r="N755" s="52" t="str">
        <x:v>parsed</x:v>
      </x:c>
      <x:c r="O755" s="52" t="str">
        <x:v>high</x:v>
      </x:c>
      <x:c r="P755" s="60" t="n">
        <x:v>0</x:v>
      </x:c>
      <x:c r="Q755" s="52" t="str"/>
    </x:row>
    <x:row r="756" ht="38" customHeight="1">
      <x:c r="A756" s="57" t="n">
        <x:v>46127</x:v>
      </x:c>
      <x:c r="B756" s="52" t="str">
        <x:v>lane-openai-api-changelog</x:v>
      </x:c>
      <x:c r="C756" s="52" t="str">
        <x:v>OpenAI API Changelog</x:v>
      </x:c>
      <x:c r="D756" s="52" t="str">
        <x:v>agents_research</x:v>
      </x:c>
      <x:c r="E756" s="52" t="str">
        <x:v>Agents SDK</x:v>
      </x:c>
      <x:c r="F756" s="52" t="str">
        <x:v>platform</x:v>
      </x:c>
      <x:c r="G756" s="52" t="str">
        <x:v>active</x:v>
      </x:c>
      <x:c r="H756" s="63" t="str">
        <x:v>Updated the Agents SDK with new capabilities</x:v>
      </x:c>
      <x:c r="I756" s="63" t="str">
        <x:v>平台更新：Agents SDK</x:v>
      </x:c>
      <x:c r="J756" s="63" t="str">
        <x:v>Updated the Agents SDK with new capabilities, including: running agents in controlled sandboxes; inspecting and customizing the open-source harness; and controlling when memories are created and where they're stored.</x:v>
      </x:c>
      <x:c r="K756" s="63" t="str">
        <x:v>更新：Agents SDK with 全新 capabilities, including: running agents in controlled sandboxes; inspecting and customizing open-source harness; and controlling when memories are created…。OpenAI 將此列為 2026-04-15 的更新；重點涉及代理與工具調用，模型、端點與參數名稱依官方英文保留。</x:v>
      </x:c>
      <x:c r="L756" s="52" t="str">
        <x:v>https://developers.openai.com/api/docs/changelog</x:v>
      </x:c>
      <x:c r="M756" s="52" t="str">
        <x:v>official_changelog</x:v>
      </x:c>
      <x:c r="N756" s="52" t="str">
        <x:v>complete</x:v>
      </x:c>
      <x:c r="O756" s="52" t="str">
        <x:v>high</x:v>
      </x:c>
      <x:c r="P756" s="60" t="n">
        <x:v>4</x:v>
      </x:c>
      <x:c r="Q756" s="52" t="str">
        <x:v>agents | agents-sdk | update</x:v>
      </x:c>
    </x:row>
    <x:row r="757" ht="38" customHeight="1">
      <x:c r="A757" s="57" t="n">
        <x:v>46128</x:v>
      </x:c>
      <x:c r="B757" s="52" t="str">
        <x:v>codex-changelog</x:v>
      </x:c>
      <x:c r="C757" s="52" t="str">
        <x:v>Codex Changelog</x:v>
      </x:c>
      <x:c r="D757" s="52" t="str">
        <x:v>agents_research</x:v>
      </x:c>
      <x:c r="E757" s="52" t="str">
        <x:v>Codex</x:v>
      </x:c>
      <x:c r="F757" s="52" t="str">
        <x:v>model_update</x:v>
      </x:c>
      <x:c r="G757" s="52" t="str">
        <x:v>active</x:v>
      </x:c>
      <x:c r="H757" s="63" t="str">
        <x:v>Codex can now help with more of your work 26.415</x:v>
      </x:c>
      <x:c r="I757" s="63" t="str">
        <x:v>Codex can now help with more of your work 26.415 更新</x:v>
      </x:c>
      <x:c r="J757" s="63" t="str">
        <x:v>Codex is becoming a broader workspace for getting work done with AI. This update makes it easier to start work with less setup, verify what Codex is building, create richer outputs, and keep momentum across longer-running tasks. Verify more of your work The Codex app now includes an early in-app browser . You can open local or public pages that don’t require sign-in, comment directly on the rendered page, and ask Codex to address pag…</x:v>
      </x:c>
      <x:c r="K757" s="63" t="str">
        <x:v>Codex Changelog 在 2026-04-16 記錄了Codex 編碼代理、代理與工具調用、可靠性與效能修正相關更新；完整版本與修正內容見官方英文摘要。</x:v>
      </x:c>
      <x:c r="L757" s="52" t="str">
        <x:v>https://developers.openai.com/codex/changelog/</x:v>
      </x:c>
      <x:c r="M757" s="52" t="str">
        <x:v>developer_changelog</x:v>
      </x:c>
      <x:c r="N757" s="52" t="str">
        <x:v>complete</x:v>
      </x:c>
      <x:c r="O757" s="52" t="str">
        <x:v>high</x:v>
      </x:c>
      <x:c r="P757" s="60" t="n">
        <x:v>2</x:v>
      </x:c>
      <x:c r="Q757" s="52" t="str">
        <x:v>codex | release-notes</x:v>
      </x:c>
    </x:row>
    <x:row r="758" ht="38" customHeight="1">
      <x:c r="A758" s="57" t="n">
        <x:v>46128</x:v>
      </x:c>
      <x:c r="B758" s="52" t="str">
        <x:v>chatgpt-release-notes</x:v>
      </x:c>
      <x:c r="C758" s="52" t="str">
        <x:v>ChatGPT — Release Notes</x:v>
      </x:c>
      <x:c r="D758" s="52" t="str">
        <x:v>search_commerce</x:v>
      </x:c>
      <x:c r="E758" s="52" t="str">
        <x:v>ChatGPT Enterprise &amp; Edu</x:v>
      </x:c>
      <x:c r="F758" s="52" t="str">
        <x:v>availability</x:v>
      </x:c>
      <x:c r="G758" s="52" t="str">
        <x:v>active</x:v>
      </x:c>
      <x:c r="H758" s="63" t="str">
        <x:v>Rolling out ads in Australia, New Zealand, and Canada</x:v>
      </x:c>
      <x:c r="I758" s="63" t="str">
        <x:v>於澳洲、紐西蘭與加拿大推出廣告</x:v>
      </x:c>
      <x:c r="J758" s="63" t="str">
        <x:v>We're beginning to rollout ads for users on Free and Go plans in Australia, New Zealand, and Canada. Plus, Pro, Business, Enterprise, and Education plans do not have ads.</x:v>
      </x:c>
      <x:c r="K758" s="63" t="str">
        <x:v>OpenAI 於 2026-04-16 為 ChatGPT Enterprise &amp; Edu 調整方案、額度或計費；此節點依官方發布記錄整理，完整能力、適用方案與限制請見來源。</x:v>
      </x:c>
      <x:c r="L758" s="52" t="str">
        <x:v>https://help.openai.com/en/articles/6825453-chatgpt-release-notes</x:v>
      </x:c>
      <x:c r="M758" s="52" t="str">
        <x:v>help_center_release_notes</x:v>
      </x:c>
      <x:c r="N758" s="52" t="str">
        <x:v>complete</x:v>
      </x:c>
      <x:c r="O758" s="52" t="str">
        <x:v>high</x:v>
      </x:c>
      <x:c r="P758" s="60" t="n">
        <x:v>3</x:v>
      </x:c>
      <x:c r="Q758" s="52" t="str">
        <x:v>2026 | availability | chatgpt | search-commerce</x:v>
      </x:c>
    </x:row>
    <x:row r="759" ht="38" customHeight="1">
      <x:c r="A759" s="57" t="n">
        <x:v>46132</x:v>
      </x:c>
      <x:c r="B759" s="52" t="str">
        <x:v>codex-changelog</x:v>
      </x:c>
      <x:c r="C759" s="52" t="str">
        <x:v>Codex Changelog</x:v>
      </x:c>
      <x:c r="D759" s="52" t="str">
        <x:v>agents_research</x:v>
      </x:c>
      <x:c r="E759" s="52" t="str">
        <x:v>Codex</x:v>
      </x:c>
      <x:c r="F759" s="52" t="str">
        <x:v>model_update</x:v>
      </x:c>
      <x:c r="G759" s="52" t="str">
        <x:v>active</x:v>
      </x:c>
      <x:c r="H759" s="63" t="str">
        <x:v>Codex app 26.417</x:v>
      </x:c>
      <x:c r="I759" s="63" t="str">
        <x:v>Codex app 26.417 更新</x:v>
      </x:c>
      <x:c r="J759" s="63" t="str">
        <x:v>New features Added local branch search and non-image file pasting in the composer. Added collapsible sidebar sections, tray usage-limit surfacing, and a command-palette theme switcher. Performance improvements and bug fixes Made review faster and more stable with better diff batching and preserved diff and search state. Fixed projectless cwd and permissions handling, default file opening, spreadsheet suggestions, and remote-control r…</x:v>
      </x:c>
      <x:c r="K759" s="63" t="str">
        <x:v>Codex Changelog 在 2026-04-20 記錄了Codex 編碼代理、圖像與影片、可靠性與效能修正相關更新；完整版本與修正內容見官方英文摘要。</x:v>
      </x:c>
      <x:c r="L759" s="52" t="str">
        <x:v>https://developers.openai.com/codex/changelog/</x:v>
      </x:c>
      <x:c r="M759" s="52" t="str">
        <x:v>developer_changelog</x:v>
      </x:c>
      <x:c r="N759" s="52" t="str">
        <x:v>complete</x:v>
      </x:c>
      <x:c r="O759" s="52" t="str">
        <x:v>high</x:v>
      </x:c>
      <x:c r="P759" s="60" t="n">
        <x:v>2</x:v>
      </x:c>
      <x:c r="Q759" s="52" t="str">
        <x:v>codex | release-notes</x:v>
      </x:c>
    </x:row>
    <x:row r="760" ht="38" customHeight="1">
      <x:c r="A760" s="57" t="n">
        <x:v>46133</x:v>
      </x:c>
      <x:c r="B760" s="52" t="str">
        <x:v>chatgpt-release-notes</x:v>
      </x:c>
      <x:c r="C760" s="52" t="str">
        <x:v>ChatGPT — Release Notes</x:v>
      </x:c>
      <x:c r="D760" s="52" t="str">
        <x:v>multimodal</x:v>
      </x:c>
      <x:c r="E760" s="52" t="str">
        <x:v>ChatGPT Images</x:v>
      </x:c>
      <x:c r="F760" s="52" t="str">
        <x:v>model_release</x:v>
      </x:c>
      <x:c r="G760" s="52" t="str">
        <x:v>active</x:v>
      </x:c>
      <x:c r="H760" s="63" t="str">
        <x:v>ChatGPT Images 2.0 in ChatGPT</x:v>
      </x:c>
      <x:c r="I760" s="63" t="str">
        <x:v>ChatGPT 推出 ChatGPT Images 2.0</x:v>
      </x:c>
      <x:c r="J760" s="63" t="str">
        <x:v>We’re introducing ChatGPT Images 2.0, our new image generation model in ChatGPT. ChatGPT Images 2.0 is available on all ChatGPT plans. We’re also introducing images with thinking. When given more time to think, it can plan and refine image outputs before generating them. Images with thinking is available on all paid ChatGPT plans. It is available when you select Thinking and Pro models.</x:v>
      </x:c>
      <x:c r="K760" s="63" t="str">
        <x:v>我們推出 ChatGPT Images 2.0，這是我們在 ChatGPT 中的新圖像生成模型。ChatGPT Images 2.0 適用於所有 ChatGPT 方案。我們也推出了具備思考能力的圖像功能。當給予更多思考時間時，它可以在生成圖像前規劃並精煉輸出。具備思考能力的圖像功能適用於所有付費 ChatGPT 方案。</x:v>
      </x:c>
      <x:c r="L760" s="52" t="str">
        <x:v>https://help.openai.com/en/articles/6825453-chatgpt-release-notes</x:v>
      </x:c>
      <x:c r="M760" s="52" t="str">
        <x:v>help_center_release_notes</x:v>
      </x:c>
      <x:c r="N760" s="52" t="str">
        <x:v>complete</x:v>
      </x:c>
      <x:c r="O760" s="52" t="str">
        <x:v>high</x:v>
      </x:c>
      <x:c r="P760" s="60" t="n">
        <x:v>5</x:v>
      </x:c>
      <x:c r="Q760" s="52" t="str">
        <x:v>2026 | chatgpt-images | model_release | multimodal</x:v>
      </x:c>
    </x:row>
    <x:row r="761" ht="38" customHeight="1">
      <x:c r="A761" s="57" t="n">
        <x:v>46133</x:v>
      </x:c>
      <x:c r="B761" s="52" t="str">
        <x:v>api-changelog</x:v>
      </x:c>
      <x:c r="C761" s="52" t="str">
        <x:v>OpenAI API Changelog</x:v>
      </x:c>
      <x:c r="D761" s="52" t="str">
        <x:v>multimodal</x:v>
      </x:c>
      <x:c r="E761" s="52" t="str">
        <x:v>ChatGPT Images</x:v>
      </x:c>
      <x:c r="F761" s="52" t="str">
        <x:v>model_release</x:v>
      </x:c>
      <x:c r="G761" s="52" t="str">
        <x:v>active</x:v>
      </x:c>
      <x:c r="H761" s="63" t="str">
        <x:v>Released GPT Image 2, a state-of-the-art image generation model for image generation and editing.</x:v>
      </x:c>
      <x:c r="I761" s="63" t="str">
        <x:v>模型發布：ChatGPT Images</x:v>
      </x:c>
      <x:c r="J761" s="63" t="str">
        <x:v>v1/images/generations Released GPT Image 2, a state-of-the-art image generation model for image generation and editing. GPT Image 2 supports flexible image sizes, high-fidelity image inputs, token-based image pricing, and Batch API support with a 50% discount.</x:v>
      </x:c>
      <x:c r="K761" s="63" t="str">
        <x:v>OpenAI 於 2026-04-21 為 ChatGPT Images 發布模型；此節點依官方發布記錄整理，完整能力、適用方案與限制請見來源。</x:v>
      </x:c>
      <x:c r="L761" s="52" t="str">
        <x:v>https://platform.openai.com/docs/changelog</x:v>
      </x:c>
      <x:c r="M761" s="52" t="str">
        <x:v>developer_changelog</x:v>
      </x:c>
      <x:c r="N761" s="52" t="str">
        <x:v>parsed</x:v>
      </x:c>
      <x:c r="O761" s="52" t="str">
        <x:v>high</x:v>
      </x:c>
      <x:c r="P761" s="60" t="n">
        <x:v>0</x:v>
      </x:c>
      <x:c r="Q761" s="52" t="str"/>
    </x:row>
    <x:row r="762" ht="38" customHeight="1">
      <x:c r="A762" s="57" t="n">
        <x:v>46133</x:v>
      </x:c>
      <x:c r="B762" s="52" t="str">
        <x:v>lane-openai-api-changelog</x:v>
      </x:c>
      <x:c r="C762" s="52" t="str">
        <x:v>OpenAI API Changelog</x:v>
      </x:c>
      <x:c r="D762" s="52" t="str">
        <x:v>multimodal</x:v>
      </x:c>
      <x:c r="E762" s="52" t="str">
        <x:v>Image API</x:v>
      </x:c>
      <x:c r="F762" s="52" t="str">
        <x:v>model_release</x:v>
      </x:c>
      <x:c r="G762" s="52" t="str">
        <x:v>active</x:v>
      </x:c>
      <x:c r="H762" s="63" t="str">
        <x:v>Released GPT Image 2, a state-of-the-art image generation model for image generation and editing.</x:v>
      </x:c>
      <x:c r="I762" s="63" t="str">
        <x:v>API 推出 GPT Image 2</x:v>
      </x:c>
      <x:c r="J762" s="63" t="str">
        <x:v>Released GPT Image 2 , a state-of-the-art image generation model for image generation and editing. GPT Image 2 supports flexible image sizes, high-fidelity image inputs, token-based image pricing, and Batch API support with a 50% discount.</x:v>
      </x:c>
      <x:c r="K762" s="63" t="str">
        <x:v>API 推出 GPT Image 2。OpenAI 將此列為 2026-04-21 的功能；重點涉及圖像與影片，模型、端點與參數名稱依官方英文保留。</x:v>
      </x:c>
      <x:c r="L762" s="52" t="str">
        <x:v>https://developers.openai.com/api/docs/changelog</x:v>
      </x:c>
      <x:c r="M762" s="52" t="str">
        <x:v>official_changelog</x:v>
      </x:c>
      <x:c r="N762" s="52" t="str">
        <x:v>complete</x:v>
      </x:c>
      <x:c r="O762" s="52" t="str">
        <x:v>high</x:v>
      </x:c>
      <x:c r="P762" s="60" t="n">
        <x:v>4</x:v>
      </x:c>
      <x:c r="Q762" s="52" t="str">
        <x:v>feature | image-generation | multimodal</x:v>
      </x:c>
    </x:row>
    <x:row r="763" ht="38" customHeight="1">
      <x:c r="A763" s="57" t="n">
        <x:v>46134</x:v>
      </x:c>
      <x:c r="B763" s="52" t="str">
        <x:v>chatgpt-release-notes</x:v>
      </x:c>
      <x:c r="C763" s="52" t="str">
        <x:v>ChatGPT — Release Notes</x:v>
      </x:c>
      <x:c r="D763" s="52" t="str">
        <x:v>enterprise_vertical</x:v>
      </x:c>
      <x:c r="E763" s="52" t="str">
        <x:v>ChatGPT Health</x:v>
      </x:c>
      <x:c r="F763" s="52" t="str">
        <x:v>launch</x:v>
      </x:c>
      <x:c r="G763" s="52" t="str">
        <x:v>active</x:v>
      </x:c>
      <x:c r="H763" s="63" t="str">
        <x:v>ChatGPT for Clinicians</x:v>
      </x:c>
      <x:c r="I763" s="63" t="str">
        <x:v>推出 ChatGPT for Clinicians</x:v>
      </x:c>
      <x:c r="J763" s="63" t="str">
        <x:v>We’re launching ChatGPT for Clinicians, a free version of ChatGPT for verified clinicians in the United States. It’s designed to support real clinical work at the time of care, including evidence review, documentation, and medical research, with trusted clinical search, citations, reusable skills, deep research across medical literature, and support for earning CME credits on eligible clinical questions. If you already have a ChatGPT…</x:v>
      </x:c>
      <x:c r="K763" s="63" t="str">
        <x:v>我們推出 ChatGPT for Clinicians，這是專為美國已驗證的臨床醫師所提供的免費版 ChatGPT。它旨在支援診療當下的實際臨床工作，包括證據審查、文件記錄與醫學研究，並具備可信的臨床搜尋、引用、可重複使用的技能、跨醫學文獻的深度研究，以及對……的支援。</x:v>
      </x:c>
      <x:c r="L763" s="52" t="str">
        <x:v>https://help.openai.com/en/articles/6825453-chatgpt-release-notes</x:v>
      </x:c>
      <x:c r="M763" s="52" t="str">
        <x:v>help_center_release_notes</x:v>
      </x:c>
      <x:c r="N763" s="52" t="str">
        <x:v>complete</x:v>
      </x:c>
      <x:c r="O763" s="52" t="str">
        <x:v>high</x:v>
      </x:c>
      <x:c r="P763" s="60" t="n">
        <x:v>4</x:v>
      </x:c>
      <x:c r="Q763" s="52" t="str">
        <x:v>2026 | chatgpt-health | enterprise-vertical | launch</x:v>
      </x:c>
    </x:row>
    <x:row r="764" ht="38" customHeight="1">
      <x:c r="A764" s="57" t="n">
        <x:v>46134</x:v>
      </x:c>
      <x:c r="B764" s="52" t="str">
        <x:v>chatgpt-release-notes</x:v>
      </x:c>
      <x:c r="C764" s="52" t="str">
        <x:v>ChatGPT — Release Notes</x:v>
      </x:c>
      <x:c r="D764" s="52" t="str">
        <x:v>search_commerce</x:v>
      </x:c>
      <x:c r="E764" s="52" t="str">
        <x:v>ChatGPT Business</x:v>
      </x:c>
      <x:c r="F764" s="52" t="str">
        <x:v>launch</x:v>
      </x:c>
      <x:c r="G764" s="52" t="str">
        <x:v>active</x:v>
      </x:c>
      <x:c r="H764" s="63" t="str">
        <x:v>Fast answers in ChatGPT</x:v>
      </x:c>
      <x:c r="I764" s="63" t="str">
        <x:v>ChatGPT 推出 Fast answers</x:v>
      </x:c>
      <x:c r="J764" s="63" t="str">
        <x:v>Sometimes, you just want the right answer as quickly as possible. We’re rolling out Fast answers, a quicker way to get responses to common information-seeking questions in ChatGPT, like “Show me the Seven Wonders of the World” or “Which football team has the most super bowl titles?”When your question doesn’t require a personalized response and ChatGPT has a high-confidence answer ready, it can now respond faster while still providing…</x:v>
      </x:c>
      <x:c r="K764" s="63" t="str">
        <x:v>有時您只想盡快獲得正確答案。我們正在推出 Fast answers，這是 ChatGPT 中針對常見資訊尋求問題（如「向我展示世界七大奇景」或「哪支美式足球隊獲得最多超級盃冠軍？」）獲得回應的更快方式。當您的問題不需要個人化回應且 ChatGPT 擁有……時。</x:v>
      </x:c>
      <x:c r="L764" s="52" t="str">
        <x:v>https://help.openai.com/en/articles/6825453-chatgpt-release-notes</x:v>
      </x:c>
      <x:c r="M764" s="52" t="str">
        <x:v>help_center_release_notes</x:v>
      </x:c>
      <x:c r="N764" s="52" t="str">
        <x:v>complete</x:v>
      </x:c>
      <x:c r="O764" s="52" t="str">
        <x:v>high</x:v>
      </x:c>
      <x:c r="P764" s="60" t="n">
        <x:v>4</x:v>
      </x:c>
      <x:c r="Q764" s="52" t="str">
        <x:v>2026 | chatgpt | launch | search-commerce</x:v>
      </x:c>
    </x:row>
    <x:row r="765" ht="38" customHeight="1">
      <x:c r="A765" s="57" t="n">
        <x:v>46134</x:v>
      </x:c>
      <x:c r="B765" s="52" t="str">
        <x:v>api-deprecations</x:v>
      </x:c>
      <x:c r="C765" s="52" t="str">
        <x:v>OpenAI API Deprecations</x:v>
      </x:c>
      <x:c r="D765" s="52" t="str">
        <x:v>safety_lifecycle</x:v>
      </x:c>
      <x:c r="E765" s="52" t="str">
        <x:v>OpenAI API</x:v>
      </x:c>
      <x:c r="F765" s="52" t="str">
        <x:v>deprecation</x:v>
      </x:c>
      <x:c r="G765" s="52" t="str">
        <x:v>deprecated</x:v>
      </x:c>
      <x:c r="H765" s="63" t="str">
        <x:v>Legacy GPT model snapshots</x:v>
      </x:c>
      <x:c r="I765" s="63" t="str">
        <x:v>淘汰通知：Legacy GPT model snapshots</x:v>
      </x:c>
      <x:c r="J765" s="63" t="str">
        <x:v>To improve reliability and make it easier for developers to choose the right models, we are deprecating a set of older OpenAI models. Access to these models will be shut down on the dates below. We are also removing fine-tuned versions as below:</x:v>
      </x:c>
      <x:c r="K765" s="63" t="str">
        <x:v>OpenAI 於 2026-04-22 為 OpenAI API 公布淘汰計畫；此節點依官方發布記錄整理，完整能力、適用方案與限制請見來源。</x:v>
      </x:c>
      <x:c r="L765" s="52" t="str">
        <x:v>https://platform.openai.com/docs/deprecations</x:v>
      </x:c>
      <x:c r="M765" s="52" t="str">
        <x:v>developer_deprecations</x:v>
      </x:c>
      <x:c r="N765" s="52" t="str">
        <x:v>parsed</x:v>
      </x:c>
      <x:c r="O765" s="52" t="str">
        <x:v>high</x:v>
      </x:c>
      <x:c r="P765" s="60" t="n">
        <x:v>0</x:v>
      </x:c>
      <x:c r="Q765" s="52" t="str"/>
    </x:row>
    <x:row r="766" ht="38" customHeight="1">
      <x:c r="A766" s="57" t="n">
        <x:v>46134</x:v>
      </x:c>
      <x:c r="B766" s="52" t="str">
        <x:v>lane-openai-api-deprecations</x:v>
      </x:c>
      <x:c r="C766" s="52" t="str">
        <x:v>OpenAI API Deprecations</x:v>
      </x:c>
      <x:c r="D766" s="52" t="str">
        <x:v>safety_lifecycle</x:v>
      </x:c>
      <x:c r="E766" s="52" t="str">
        <x:v>Fine-tuning API</x:v>
      </x:c>
      <x:c r="F766" s="52" t="str">
        <x:v>deprecation</x:v>
      </x:c>
      <x:c r="G766" s="52" t="str">
        <x:v>deprecated</x:v>
      </x:c>
      <x:c r="H766" s="63" t="str">
        <x:v>Legacy GPT model snapshots deprecation</x:v>
      </x:c>
      <x:c r="I766" s="63" t="str">
        <x:v>Legacy GPT model snapshots 棄用公告</x:v>
      </x:c>
      <x:c r="J766" s="63" t="str">
        <x:v>To improve reliability and make it easier for developers to choose the right models, we are deprecating a set of older OpenAI models. Access to these models will be shut down on the dates below. We are also removing fine-tuned versions as below: Schedule/replacements: 2026-07-23 computer-use-preview-2025-03-11 | computer-use-preview gpt-5.4-mini; 2026-07-23 gpt-4o-mini-search-preview-2025-03-11 gpt-5.4-mini; 2026-07-23 gpt-4o-mini-tt…</x:v>
      </x:c>
      <x:c r="K766" s="63" t="str">
        <x:v>OpenAI 於 2026-04-22 公告 Legacy GPT model snapshots 的棄用或下線時程，並列出替代方案與遷移方向。</x:v>
      </x:c>
      <x:c r="L766" s="52" t="str">
        <x:v>https://developers.openai.com/api/docs/deprecations#2026-04-22-legacy-gpt-model-snapshots</x:v>
      </x:c>
      <x:c r="M766" s="52" t="str">
        <x:v>official_deprecation_registry</x:v>
      </x:c>
      <x:c r="N766" s="52" t="str">
        <x:v>complete</x:v>
      </x:c>
      <x:c r="O766" s="52" t="str">
        <x:v>high</x:v>
      </x:c>
      <x:c r="P766" s="60" t="n">
        <x:v>4</x:v>
      </x:c>
      <x:c r="Q766" s="52" t="str">
        <x:v>api | deprecation | fine-tuning-api</x:v>
      </x:c>
    </x:row>
    <x:row r="767" ht="38" customHeight="1">
      <x:c r="A767" s="57" t="n">
        <x:v>46135</x:v>
      </x:c>
      <x:c r="B767" s="52" t="str">
        <x:v>codex-changelog</x:v>
      </x:c>
      <x:c r="C767" s="52" t="str">
        <x:v>Codex Changelog</x:v>
      </x:c>
      <x:c r="D767" s="52" t="str">
        <x:v>agents_research</x:v>
      </x:c>
      <x:c r="E767" s="52" t="str">
        <x:v>GPT-5.5</x:v>
      </x:c>
      <x:c r="F767" s="52" t="str">
        <x:v>availability</x:v>
      </x:c>
      <x:c r="G767" s="52" t="str">
        <x:v>active</x:v>
      </x:c>
      <x:c r="H767" s="63" t="str">
        <x:v>GPT-5.5 and Codex app updates</x:v>
      </x:c>
      <x:c r="I767" s="63" t="str">
        <x:v>GPT-5.5 and Codex app updates 更新</x:v>
      </x:c>
      <x:c r="J767" s="63" t="str">
        <x:v>GPT-5.5 is now available in Codex as OpenAI’s newest frontier model for complex coding, computer use, knowledge work, and research workflows. GPT-5.5 in Codex GPT-5.5 is the recommended choice for most Codex tasks when it appears in your model picker. It’s especially useful for implementation, refactors, debugging, testing, validation, and knowledge-work artifacts. To switch to GPT-5.5: In the CLI, start a new thread with: codex --mo…</x:v>
      </x:c>
      <x:c r="K767" s="63" t="str">
        <x:v>Codex Changelog 在 2026-04-23 記錄了Codex 編碼代理、可靠性與效能修正相關更新；完整版本與修正內容見官方英文摘要。</x:v>
      </x:c>
      <x:c r="L767" s="52" t="str">
        <x:v>https://developers.openai.com/codex/changelog/</x:v>
      </x:c>
      <x:c r="M767" s="52" t="str">
        <x:v>developer_changelog</x:v>
      </x:c>
      <x:c r="N767" s="52" t="str">
        <x:v>complete</x:v>
      </x:c>
      <x:c r="O767" s="52" t="str">
        <x:v>high</x:v>
      </x:c>
      <x:c r="P767" s="60" t="n">
        <x:v>5</x:v>
      </x:c>
      <x:c r="Q767" s="52" t="str">
        <x:v>codex | release-notes</x:v>
      </x:c>
    </x:row>
    <x:row r="768" ht="38" customHeight="1">
      <x:c r="A768" s="57" t="n">
        <x:v>46135</x:v>
      </x:c>
      <x:c r="B768" s="52" t="str">
        <x:v>lane-introducing-gpt-5-5</x:v>
      </x:c>
      <x:c r="C768" s="52" t="str">
        <x:v>Introducing GPT-5.5</x:v>
      </x:c>
      <x:c r="D768" s="52" t="str">
        <x:v>models_reasoning</x:v>
      </x:c>
      <x:c r="E768" s="52" t="str">
        <x:v>GPT-5.5</x:v>
      </x:c>
      <x:c r="F768" s="52" t="str">
        <x:v>model_release</x:v>
      </x:c>
      <x:c r="G768" s="52" t="str">
        <x:v>active</x:v>
      </x:c>
      <x:c r="H768" s="63" t="str">
        <x:v>Introducing GPT-5.5</x:v>
      </x:c>
      <x:c r="I768" s="63" t="str">
        <x:v>推出 GPT-5.5</x:v>
      </x:c>
      <x:c r="J768" s="63" t="str">
        <x:v>OpenAI released GPT-5.5 in ChatGPT and Codex for agentic coding, professional knowledge work, scientific research, and computer use; GPT-5.5 Thinking and Pro rolled out to eligible paid ChatGPT plans.</x:v>
      </x:c>
      <x:c r="K768" s="63" t="str">
        <x:v>OpenAI 在 ChatGPT 與 Codex 中發布了 GPT-5.5，用於代理式程式開發、專業知識工作、科學研究與電腦使用；GPT-5.5 Thinking 與 Pro 已向符合資格的付費 ChatGPT 方案推出。</x:v>
      </x:c>
      <x:c r="L768" s="52" t="str">
        <x:v>https://openai.com/index/introducing-gpt-5-5/</x:v>
      </x:c>
      <x:c r="M768" s="52" t="str">
        <x:v>official_launch_post</x:v>
      </x:c>
      <x:c r="N768" s="52" t="str">
        <x:v>complete</x:v>
      </x:c>
      <x:c r="O768" s="52" t="str">
        <x:v>high</x:v>
      </x:c>
      <x:c r="P768" s="60" t="n">
        <x:v>5</x:v>
      </x:c>
      <x:c r="Q768" s="52" t="str">
        <x:v>2026 | gpt-5.5 | model_release | models-reasoning</x:v>
      </x:c>
    </x:row>
    <x:row r="769" ht="38" customHeight="1">
      <x:c r="A769" s="57" t="n">
        <x:v>46136</x:v>
      </x:c>
      <x:c r="B769" s="52" t="str">
        <x:v>codex-changelog</x:v>
      </x:c>
      <x:c r="C769" s="52" t="str">
        <x:v>Codex Changelog</x:v>
      </x:c>
      <x:c r="D769" s="52" t="str">
        <x:v>agents_research</x:v>
      </x:c>
      <x:c r="E769" s="52" t="str">
        <x:v>Codex</x:v>
      </x:c>
      <x:c r="F769" s="52" t="str">
        <x:v>platform</x:v>
      </x:c>
      <x:c r="G769" s="52" t="str">
        <x:v>active</x:v>
      </x:c>
      <x:c r="H769" s="63" t="str">
        <x:v>Codex app 26.423</x:v>
      </x:c>
      <x:c r="I769" s="63" t="str">
        <x:v>Codex app 26.423 更新</x:v>
      </x:c>
      <x:c r="J769" s="63" t="str">
        <x:v>New features Added a tooltip on realtime delegation messages to clarify that Codex uses the surrounding voice conversation as context. Performance improvements and bug fixes Fixed search in long review files so next and previous results reliably jump to off-screen matches. Kept embedded MCP app panels from restarting or losing state during fullscreen changes and thread reloads. Fixed several desktop regressions, including tray crashe…</x:v>
      </x:c>
      <x:c r="K769" s="63" t="str">
        <x:v>Codex Changelog 在 2026-04-24 記錄了Codex 編碼代理、代理與工具調用、即時語音與音訊相關更新；完整版本與修正內容見官方英文摘要。</x:v>
      </x:c>
      <x:c r="L769" s="52" t="str">
        <x:v>https://developers.openai.com/codex/changelog/</x:v>
      </x:c>
      <x:c r="M769" s="52" t="str">
        <x:v>developer_changelog</x:v>
      </x:c>
      <x:c r="N769" s="52" t="str">
        <x:v>complete</x:v>
      </x:c>
      <x:c r="O769" s="52" t="str">
        <x:v>high</x:v>
      </x:c>
      <x:c r="P769" s="60" t="n">
        <x:v>3</x:v>
      </x:c>
      <x:c r="Q769" s="52" t="str">
        <x:v>codex | release-notes</x:v>
      </x:c>
    </x:row>
    <x:row r="770" ht="38" customHeight="1">
      <x:c r="A770" s="57" t="n">
        <x:v>46136</x:v>
      </x:c>
      <x:c r="B770" s="52" t="str">
        <x:v>api-changelog</x:v>
      </x:c>
      <x:c r="C770" s="52" t="str">
        <x:v>OpenAI API Changelog</x:v>
      </x:c>
      <x:c r="D770" s="52" t="str">
        <x:v>models_reasoning</x:v>
      </x:c>
      <x:c r="E770" s="52" t="str">
        <x:v>GPT-5.5</x:v>
      </x:c>
      <x:c r="F770" s="52" t="str">
        <x:v>model_release</x:v>
      </x:c>
      <x:c r="G770" s="52" t="str">
        <x:v>active</x:v>
      </x:c>
      <x:c r="H770" s="63" t="str">
        <x:v>Released GPT-5.5</x:v>
      </x:c>
      <x:c r="I770" s="63" t="str">
        <x:v>發布GPT-5.5</x:v>
      </x:c>
      <x:c r="J770" s="63" t="str">
        <x:v>v1/chat/completions Released GPT-5.5, a new frontier model for complex professional work, to the Chat Completions and Responses API, and released GPT-5.5 Pro for Responses API requests for tougher problems that benefit from more compute.</x:v>
      </x:c>
      <x:c r="K770" s="63" t="str">
        <x:v>OpenAI 於 2026-04-24 為 GPT-5.5 發布模型；此節點依官方發布記錄整理，完整能力、適用方案與限制請見來源。</x:v>
      </x:c>
      <x:c r="L770" s="52" t="str">
        <x:v>https://platform.openai.com/docs/changelog</x:v>
      </x:c>
      <x:c r="M770" s="52" t="str">
        <x:v>developer_changelog</x:v>
      </x:c>
      <x:c r="N770" s="52" t="str">
        <x:v>parsed</x:v>
      </x:c>
      <x:c r="O770" s="52" t="str">
        <x:v>high</x:v>
      </x:c>
      <x:c r="P770" s="60" t="n">
        <x:v>0</x:v>
      </x:c>
      <x:c r="Q770" s="52" t="str"/>
    </x:row>
    <x:row r="771" ht="38" customHeight="1">
      <x:c r="A771" s="57" t="n">
        <x:v>46136</x:v>
      </x:c>
      <x:c r="B771" s="52" t="str">
        <x:v>lane-openai-api-changelog</x:v>
      </x:c>
      <x:c r="C771" s="52" t="str">
        <x:v>OpenAI API Changelog</x:v>
      </x:c>
      <x:c r="D771" s="52" t="str">
        <x:v>models_reasoning</x:v>
      </x:c>
      <x:c r="E771" s="52" t="str">
        <x:v>Model Platform</x:v>
      </x:c>
      <x:c r="F771" s="52" t="str">
        <x:v>model_release</x:v>
      </x:c>
      <x:c r="G771" s="52" t="str">
        <x:v>active</x:v>
      </x:c>
      <x:c r="H771" s="63" t="str">
        <x:v>Released GPT-5.5</x:v>
      </x:c>
      <x:c r="I771" s="63" t="str">
        <x:v>API 推出 GPT‑5.5 與 GPT‑5.5 Pro</x:v>
      </x:c>
      <x:c r="J771" s="63" t="str">
        <x:v>Released GPT-5.5 , a new frontier model for complex professional work, to the Chat Completions and Responses API, and released GPT-5.5 Pro for Responses API requests for tougher problems that benefit from more compute. GPT-5.5 supports a 1M token context window, image input, structured outputs, function calling, prompt caching, Batch, tool search, built-in computer use, hosted shell, apply patch, Skills, MCP, and web search. Key upda…</x:v>
      </x:c>
      <x:c r="K771" s="63" t="str">
        <x:v>API 推出 GPT‑5.5 與 GPT‑5.5 Pro。OpenAI 將此列為 2026-04-24 的功能；重點涉及代理與工具調用、圖像與影片，模型、端點與參數名稱依官方英文保留。</x:v>
      </x:c>
      <x:c r="L771" s="52" t="str">
        <x:v>https://developers.openai.com/api/docs/changelog</x:v>
      </x:c>
      <x:c r="M771" s="52" t="str">
        <x:v>official_changelog</x:v>
      </x:c>
      <x:c r="N771" s="52" t="str">
        <x:v>complete</x:v>
      </x:c>
      <x:c r="O771" s="52" t="str">
        <x:v>high</x:v>
      </x:c>
      <x:c r="P771" s="60" t="n">
        <x:v>5</x:v>
      </x:c>
      <x:c r="Q771" s="52" t="str">
        <x:v>api | feature | models</x:v>
      </x:c>
    </x:row>
    <x:row r="772" ht="38" customHeight="1">
      <x:c r="A772" s="57" t="n">
        <x:v>46138</x:v>
      </x:c>
      <x:c r="B772" s="52" t="str">
        <x:v>sora-discontinuation</x:v>
      </x:c>
      <x:c r="C772" s="52" t="str">
        <x:v>What to know about the Sora discontinuation</x:v>
      </x:c>
      <x:c r="D772" s="52" t="str">
        <x:v>multimodal</x:v>
      </x:c>
      <x:c r="E772" s="52" t="str">
        <x:v>Sora</x:v>
      </x:c>
      <x:c r="F772" s="52" t="str">
        <x:v>retirement</x:v>
      </x:c>
      <x:c r="G772" s="52" t="str">
        <x:v>retired</x:v>
      </x:c>
      <x:c r="H772" s="63" t="str">
        <x:v>Sora product discontinued</x:v>
      </x:c>
      <x:c r="I772" s="63" t="str">
        <x:v>終止 Sora 產品</x:v>
      </x:c>
      <x:c r="J772" s="63" t="str">
        <x:v>OpenAI discontinued the Sora web and app experiences on April 26, 2026.</x:v>
      </x:c>
      <x:c r="K772" s="63" t="str">
        <x:v>OpenAI 於 2026 年 4 月 26 日終止了 Sora 的網頁與應用程式體驗。</x:v>
      </x:c>
      <x:c r="L772" s="52" t="str">
        <x:v>https://help.openai.com/en/articles/20001152-what-to-know-about-the-sora-discontinuation</x:v>
      </x:c>
      <x:c r="M772" s="52" t="str">
        <x:v>official_lifecycle_notice</x:v>
      </x:c>
      <x:c r="N772" s="52" t="str">
        <x:v>complete</x:v>
      </x:c>
      <x:c r="O772" s="52" t="str">
        <x:v>high</x:v>
      </x:c>
      <x:c r="P772" s="60" t="n">
        <x:v>3</x:v>
      </x:c>
      <x:c r="Q772" s="52" t="str">
        <x:v>2026 | multimodal | retirement | sora</x:v>
      </x:c>
    </x:row>
    <x:row r="773" ht="38" customHeight="1">
      <x:c r="A773" s="57" t="n">
        <x:v>46140</x:v>
      </x:c>
      <x:c r="B773" s="52" t="str">
        <x:v>chatgpt-release-notes</x:v>
      </x:c>
      <x:c r="C773" s="52" t="str">
        <x:v>ChatGPT — Release Notes</x:v>
      </x:c>
      <x:c r="D773" s="52" t="str">
        <x:v>chatgpt_core</x:v>
      </x:c>
      <x:c r="E773" s="52" t="str">
        <x:v>ChatGPT</x:v>
      </x:c>
      <x:c r="F773" s="52" t="str">
        <x:v>feature</x:v>
      </x:c>
      <x:c r="G773" s="52" t="str">
        <x:v>active</x:v>
      </x:c>
      <x:c r="H773" s="63" t="str">
        <x:v>Easier model selection in ChatGPT</x:v>
      </x:c>
      <x:c r="I773" s="63" t="str">
        <x:v>ChatGPT 簡化模型選擇</x:v>
      </x:c>
      <x:c r="J773" s="63" t="str">
        <x:v>We’re making it easier to choose the right model before you send a message. Model selection now appears in the composer, so you can find and switch models from the same place where you write your prompt. We’re also moving thinking effort controls into the model picker. When you choose a Thinking or Pro model, you can select the level of thinking effort directly from the model picker. This update is available on web to ChatGPT users o…</x:v>
      </x:c>
      <x:c r="K773" s="63" t="str">
        <x:v>我們讓您在發送訊息前能更輕鬆地選擇合適的模型。模型選擇現在顯示於編輯器中，因此您可以在編寫提示詞的同一個位置找到並切換模型。我們也將思考強度控制項移至模型選擇器中。</x:v>
      </x:c>
      <x:c r="L773" s="52" t="str">
        <x:v>https://help.openai.com/en/articles/6825453-chatgpt-release-notes</x:v>
      </x:c>
      <x:c r="M773" s="52" t="str">
        <x:v>help_center_release_notes</x:v>
      </x:c>
      <x:c r="N773" s="52" t="str">
        <x:v>complete</x:v>
      </x:c>
      <x:c r="O773" s="52" t="str">
        <x:v>high</x:v>
      </x:c>
      <x:c r="P773" s="60" t="n">
        <x:v>3</x:v>
      </x:c>
      <x:c r="Q773" s="52" t="str">
        <x:v>2026 | chatgpt | chatgpt-core | feature</x:v>
      </x:c>
    </x:row>
    <x:row r="774" ht="38" customHeight="1">
      <x:c r="A774" s="57" t="n">
        <x:v>46142</x:v>
      </x:c>
      <x:c r="B774" s="52" t="str">
        <x:v>lane-introducing-advanced-account-security</x:v>
      </x:c>
      <x:c r="C774" s="52" t="str">
        <x:v>Introducing Advanced Account Security</x:v>
      </x:c>
      <x:c r="D774" s="52" t="str">
        <x:v>safety_lifecycle</x:v>
      </x:c>
      <x:c r="E774" s="52" t="str">
        <x:v>Account Security</x:v>
      </x:c>
      <x:c r="F774" s="52" t="str">
        <x:v>safety</x:v>
      </x:c>
      <x:c r="G774" s="52" t="str">
        <x:v>active</x:v>
      </x:c>
      <x:c r="H774" s="63" t="str">
        <x:v>Advanced Account Security</x:v>
      </x:c>
      <x:c r="I774" s="63" t="str">
        <x:v>安全更新：Advanced Account Security</x:v>
      </x:c>
      <x:c r="J774" s="63" t="str">
        <x:v>OpenAI introduced an opt-in account setting with stronger protections against unauthorized access to ChatGPT, Codex and sensitive account data.</x:v>
      </x:c>
      <x:c r="K774" s="63" t="str">
        <x:v>OpenAI 推出選用式帳戶設定，強化 ChatGPT、Codex 與敏感帳戶資料免於未授權存取。</x:v>
      </x:c>
      <x:c r="L774" s="52" t="str">
        <x:v>https://openai.com/index/advanced-account-security/</x:v>
      </x:c>
      <x:c r="M774" s="52" t="str">
        <x:v>official_security_post</x:v>
      </x:c>
      <x:c r="N774" s="52" t="str">
        <x:v>parsed</x:v>
      </x:c>
      <x:c r="O774" s="52" t="str">
        <x:v>high</x:v>
      </x:c>
      <x:c r="P774" s="60" t="n">
        <x:v>4</x:v>
      </x:c>
      <x:c r="Q774" s="52" t="str">
        <x:v>account-security | chatgpt | codex</x:v>
      </x:c>
    </x:row>
    <x:row r="775" ht="38" customHeight="1">
      <x:c r="A775" s="57" t="n">
        <x:v>46142</x:v>
      </x:c>
      <x:c r="B775" s="52" t="str">
        <x:v>chatgpt-release-notes</x:v>
      </x:c>
      <x:c r="C775" s="52" t="str">
        <x:v>ChatGPT — Release Notes</x:v>
      </x:c>
      <x:c r="D775" s="52" t="str">
        <x:v>safety_lifecycle</x:v>
      </x:c>
      <x:c r="E775" s="52" t="str">
        <x:v>ChatGPT Enterprise &amp; Edu</x:v>
      </x:c>
      <x:c r="F775" s="52" t="str">
        <x:v>safety</x:v>
      </x:c>
      <x:c r="G775" s="52" t="str">
        <x:v>active</x:v>
      </x:c>
      <x:c r="H775" s="63" t="str">
        <x:v>Advanced Account Security in ChatGPT</x:v>
      </x:c>
      <x:c r="I775" s="63" t="str">
        <x:v>ChatGPT 推出進階帳戶安全功能</x:v>
      </x:c>
      <x:c r="J775" s="63" t="str">
        <x:v>We’re rolling out Advanced Account Security, an optional setting for personal ChatGPT accounts that adds stronger sign-in requirements and stricter account safeguards to help reduce the risk of ATO (account take over), unauthorized access, and data exposure. With Advanced Account Security enabled, ChatGPT uses stronger sign-in methods like passkeys or compatible security keys and turns off weaker paths like password sign-in, email/SM…</x:v>
      </x:c>
      <x:c r="K775" s="63" t="str">
        <x:v>我們正在推出進階帳戶安全功能，這是個人 ChatGPT 帳戶的選用設定，增加更強的登入要求與更嚴格的帳戶保護措施，以協助降低 ATO（帳戶接管）、未經授權的存取與資料外洩風險。</x:v>
      </x:c>
      <x:c r="L775" s="52" t="str">
        <x:v>https://help.openai.com/en/articles/6825453-chatgpt-release-notes</x:v>
      </x:c>
      <x:c r="M775" s="52" t="str">
        <x:v>help_center_release_notes</x:v>
      </x:c>
      <x:c r="N775" s="52" t="str">
        <x:v>complete</x:v>
      </x:c>
      <x:c r="O775" s="52" t="str">
        <x:v>high</x:v>
      </x:c>
      <x:c r="P775" s="60" t="n">
        <x:v>3</x:v>
      </x:c>
      <x:c r="Q775" s="52" t="str">
        <x:v>2026 | chatgpt | safety | safety-lifecycle</x:v>
      </x:c>
    </x:row>
    <x:row r="776" ht="38" customHeight="1">
      <x:c r="A776" s="57" t="n">
        <x:v>46146</x:v>
      </x:c>
      <x:c r="B776" s="52" t="str">
        <x:v>api-changelog</x:v>
      </x:c>
      <x:c r="C776" s="52" t="str">
        <x:v>OpenAI API Changelog</x:v>
      </x:c>
      <x:c r="D776" s="52" t="str">
        <x:v>enterprise_vertical</x:v>
      </x:c>
      <x:c r="E776" s="52" t="str">
        <x:v>OpenAI API</x:v>
      </x:c>
      <x:c r="F776" s="52" t="str">
        <x:v>platform</x:v>
      </x:c>
      <x:c r="G776" s="52" t="str">
        <x:v>active</x:v>
      </x:c>
      <x:c r="H776" s="63" t="str">
        <x:v>Admin APIs are now supported in the OpenAI SDKs for Node, Python, Go, Ruby, and Java.</x:v>
      </x:c>
      <x:c r="I776" s="63" t="str">
        <x:v>平台更新：OpenAI API</x:v>
      </x:c>
      <x:c r="J776" s="63" t="str">
        <x:v>Admin APIs are now supported in the OpenAI SDKs for Node, Python, Go, Ruby, and Java. See the Admin APIs guide for setup instructions and examples.</x:v>
      </x:c>
      <x:c r="K776" s="63" t="str">
        <x:v>OpenAI 於 2026-05-04 為 OpenAI API 更新開發者平台；此節點依官方發布記錄整理，完整能力、適用方案與限制請見來源。</x:v>
      </x:c>
      <x:c r="L776" s="52" t="str">
        <x:v>https://platform.openai.com/docs/changelog</x:v>
      </x:c>
      <x:c r="M776" s="52" t="str">
        <x:v>developer_changelog</x:v>
      </x:c>
      <x:c r="N776" s="52" t="str">
        <x:v>parsed</x:v>
      </x:c>
      <x:c r="O776" s="52" t="str">
        <x:v>high</x:v>
      </x:c>
      <x:c r="P776" s="60" t="n">
        <x:v>0</x:v>
      </x:c>
      <x:c r="Q776" s="52" t="str"/>
    </x:row>
    <x:row r="777" ht="38" customHeight="1">
      <x:c r="A777" s="57" t="n">
        <x:v>46146</x:v>
      </x:c>
      <x:c r="B777" s="52" t="str">
        <x:v>lane-openai-api-changelog</x:v>
      </x:c>
      <x:c r="C777" s="52" t="str">
        <x:v>OpenAI API Changelog</x:v>
      </x:c>
      <x:c r="D777" s="52" t="str">
        <x:v>enterprise_vertical</x:v>
      </x:c>
      <x:c r="E777" s="52" t="str">
        <x:v>API Platform Admin</x:v>
      </x:c>
      <x:c r="F777" s="52" t="str">
        <x:v>platform</x:v>
      </x:c>
      <x:c r="G777" s="52" t="str">
        <x:v>active</x:v>
      </x:c>
      <x:c r="H777" s="63" t="str">
        <x:v>Admin APIs are now supported in the OpenAI SDKs for Node, Python, Go, Ruby, and Java.</x:v>
      </x:c>
      <x:c r="I777" s="63" t="str">
        <x:v>平台更新：API Platform Admin</x:v>
      </x:c>
      <x:c r="J777" s="63" t="str">
        <x:v>Admin APIs are now supported in the OpenAI SDKs for Node, Python, Go, Ruby, and Java. See the Admin APIs guide for setup instructions and examples.</x:v>
      </x:c>
      <x:c r="K777" s="63" t="str">
        <x:v>API 更新：Admin APIs are now supported in OpenAI SDKs for Node, Python, Go, Ruby, and Java。OpenAI 將此列為 2026-05-04 的更新；重點涉及企業管理控制，模型、端點與參數名稱依官方英文保留。</x:v>
      </x:c>
      <x:c r="L777" s="52" t="str">
        <x:v>https://developers.openai.com/api/docs/changelog</x:v>
      </x:c>
      <x:c r="M777" s="52" t="str">
        <x:v>official_changelog</x:v>
      </x:c>
      <x:c r="N777" s="52" t="str">
        <x:v>complete</x:v>
      </x:c>
      <x:c r="O777" s="52" t="str">
        <x:v>high</x:v>
      </x:c>
      <x:c r="P777" s="60" t="n">
        <x:v>3</x:v>
      </x:c>
      <x:c r="Q777" s="52" t="str">
        <x:v>admin | enterprise | update</x:v>
      </x:c>
    </x:row>
    <x:row r="778" ht="38" customHeight="1">
      <x:c r="A778" s="57" t="n">
        <x:v>46147</x:v>
      </x:c>
      <x:c r="B778" s="52" t="str">
        <x:v>chatgpt-release-notes</x:v>
      </x:c>
      <x:c r="C778" s="52" t="str">
        <x:v>ChatGPT — Release Notes</x:v>
      </x:c>
      <x:c r="D778" s="52" t="str">
        <x:v>enterprise_vertical</x:v>
      </x:c>
      <x:c r="E778" s="52" t="str">
        <x:v>ChatGPT for Spreadsheets</x:v>
      </x:c>
      <x:c r="F778" s="52" t="str">
        <x:v>platform</x:v>
      </x:c>
      <x:c r="G778" s="52" t="str">
        <x:v>active</x:v>
      </x:c>
      <x:c r="H778" s="63" t="str">
        <x:v>ChatGPT for Excel and Google Sheets</x:v>
      </x:c>
      <x:c r="I778" s="63" t="str">
        <x:v>推出 ChatGPT for Excel 與 Google Sheets</x:v>
      </x:c>
      <x:c r="J778" s="63" t="str">
        <x:v>ChatGPT for Excel and Google Sheets is now available globally, bringing ChatGPT into a sidebar in Microsoft Excel and Google Sheets so you can build, update, and understand spreadsheets in place. It can help with trackers, budgets, formulas, multi-tab files, scenario work, and spreadsheet cleanup, and supports Skills and apps where available. Free and Go include limited usage; Plus and Pro use the same agentic usage limits as Codex.…</x:v>
      </x:c>
      <x:c r="K778" s="63" t="str">
        <x:v>ChatGPT for Excel 與 Google Sheets 現已全球發布，將 ChatGPT 帶入 Microsoft Excel 與 Google Sheets 的側邊欄中，讓您能直接建立、更新與理解試算表。它能協助處理追蹤器、預算、公式、多分頁檔案、情境工作與試算表清理，並支援可用地區的技能與應用程式。</x:v>
      </x:c>
      <x:c r="L778" s="52" t="str">
        <x:v>https://help.openai.com/en/articles/6825453-chatgpt-release-notes</x:v>
      </x:c>
      <x:c r="M778" s="52" t="str">
        <x:v>help_center_release_notes</x:v>
      </x:c>
      <x:c r="N778" s="52" t="str">
        <x:v>complete</x:v>
      </x:c>
      <x:c r="O778" s="52" t="str">
        <x:v>high</x:v>
      </x:c>
      <x:c r="P778" s="60" t="n">
        <x:v>3</x:v>
      </x:c>
      <x:c r="Q778" s="52" t="str">
        <x:v>2026 | chatgpt-for-spreadsheets | enterprise-vertical | platform</x:v>
      </x:c>
    </x:row>
    <x:row r="779" ht="38" customHeight="1">
      <x:c r="A779" s="57" t="n">
        <x:v>46147</x:v>
      </x:c>
      <x:c r="B779" s="52" t="str">
        <x:v>codex-changelog</x:v>
      </x:c>
      <x:c r="C779" s="52" t="str">
        <x:v>Codex Changelog</x:v>
      </x:c>
      <x:c r="D779" s="52" t="str">
        <x:v>agents_research</x:v>
      </x:c>
      <x:c r="E779" s="52" t="str">
        <x:v>Codex</x:v>
      </x:c>
      <x:c r="F779" s="52" t="str">
        <x:v>pricing_quota</x:v>
      </x:c>
      <x:c r="G779" s="52" t="str">
        <x:v>active</x:v>
      </x:c>
      <x:c r="H779" s="63" t="str">
        <x:v>Codex app 26.429</x:v>
      </x:c>
      <x:c r="I779" s="63" t="str">
        <x:v>Codex app 26.429 更新</x:v>
      </x:c>
      <x:c r="J779" s="63" t="str">
        <x:v>New features Added dictation cleanup plus a configurable dictation dictionary for names, file paths, and code symbols. Added zoom and download controls to the image lightbox. Performance improvements and bug fixes Improved voice and dictation error messages for microphone, connection, and quota failures. Fixed in-app browser comment markers so they stay aligned across scrolling, zoom, and responsive layout changes. Made pull request…</x:v>
      </x:c>
      <x:c r="K779" s="63" t="str">
        <x:v>Codex Changelog 在 2026-05-05 記錄了Codex 編碼代理、即時語音與音訊、圖像與影片相關更新；完整版本與修正內容見官方英文摘要。</x:v>
      </x:c>
      <x:c r="L779" s="52" t="str">
        <x:v>https://developers.openai.com/codex/changelog/</x:v>
      </x:c>
      <x:c r="M779" s="52" t="str">
        <x:v>developer_changelog</x:v>
      </x:c>
      <x:c r="N779" s="52" t="str">
        <x:v>complete</x:v>
      </x:c>
      <x:c r="O779" s="52" t="str">
        <x:v>high</x:v>
      </x:c>
      <x:c r="P779" s="60" t="n">
        <x:v>2</x:v>
      </x:c>
      <x:c r="Q779" s="52" t="str">
        <x:v>codex | release-notes</x:v>
      </x:c>
    </x:row>
    <x:row r="780" ht="38" customHeight="1">
      <x:c r="A780" s="57" t="n">
        <x:v>46147</x:v>
      </x:c>
      <x:c r="B780" s="52" t="str">
        <x:v>codex-changelog</x:v>
      </x:c>
      <x:c r="C780" s="52" t="str">
        <x:v>Codex Changelog</x:v>
      </x:c>
      <x:c r="D780" s="52" t="str">
        <x:v>agents_research</x:v>
      </x:c>
      <x:c r="E780" s="52" t="str">
        <x:v>ChatGPT Work</x:v>
      </x:c>
      <x:c r="F780" s="52" t="str">
        <x:v>feature</x:v>
      </x:c>
      <x:c r="G780" s="52" t="str">
        <x:v>active</x:v>
      </x:c>
      <x:c r="H780" s="63" t="str">
        <x:v>Create Codex access tokens</x:v>
      </x:c>
      <x:c r="I780" s="63" t="str">
        <x:v>Create Codex access tokens 更新</x:v>
      </x:c>
      <x:c r="J780" s="63" t="str">
        <x:v>ChatGPT Enterprise workspace owners and admins can allow permitted members to create Codex access tokens for trusted, non-interactive Codex local workflows. Members can use access tokens to run Codex from scripts, schedulers, and private CI runners with their ChatGPT workspace identity. Learn more in Access tokens .</x:v>
      </x:c>
      <x:c r="K780" s="63" t="str">
        <x:v>Codex Changelog 在 2026-05-05 記錄了Codex 編碼代理、企業管理控制相關更新；完整版本與修正內容見官方英文摘要。</x:v>
      </x:c>
      <x:c r="L780" s="52" t="str">
        <x:v>https://developers.openai.com/codex/changelog/</x:v>
      </x:c>
      <x:c r="M780" s="52" t="str">
        <x:v>developer_changelog</x:v>
      </x:c>
      <x:c r="N780" s="52" t="str">
        <x:v>complete</x:v>
      </x:c>
      <x:c r="O780" s="52" t="str">
        <x:v>high</x:v>
      </x:c>
      <x:c r="P780" s="60" t="n">
        <x:v>5</x:v>
      </x:c>
      <x:c r="Q780" s="52" t="str">
        <x:v>codex | release-notes</x:v>
      </x:c>
    </x:row>
    <x:row r="781" ht="38" customHeight="1">
      <x:c r="A781" s="57" t="n">
        <x:v>46147</x:v>
      </x:c>
      <x:c r="B781" s="52" t="str">
        <x:v>chatgpt-release-notes</x:v>
      </x:c>
      <x:c r="C781" s="52" t="str">
        <x:v>ChatGPT — Release Notes</x:v>
      </x:c>
      <x:c r="D781" s="52" t="str">
        <x:v>models_reasoning</x:v>
      </x:c>
      <x:c r="E781" s="52" t="str">
        <x:v>GPT-5.5</x:v>
      </x:c>
      <x:c r="F781" s="52" t="str">
        <x:v>model_release</x:v>
      </x:c>
      <x:c r="G781" s="52" t="str">
        <x:v>active</x:v>
      </x:c>
      <x:c r="H781" s="63" t="str">
        <x:v>GPT-5.5 Instant in ChatGPT</x:v>
      </x:c>
      <x:c r="I781" s="63" t="str">
        <x:v>ChatGPT 推出 GPT-5.5 Instant</x:v>
      </x:c>
      <x:c r="J781" s="63" t="str">
        <x:v>We’re rolling out GPT-5.5 Instant as ChatGPT’s new default model. It replaces GPT-5.3 Instant for all ChatGPT users and improves everyday answers across accuracy, clarity and conciseness, image understanding, STEM questions, and when ChatGPT decides to search the web. GPT-5.5 Instant is more factually reliable, especially for prompts where accuracy matters most. It also gives tighter, more direct answers without losing useful details…</x:v>
      </x:c>
      <x:c r="K781" s="63" t="str">
        <x:v>我們正在將 GPT-5.5 Instant 推出為 ChatGPT 的新預設模型。它取代了所有 ChatGPT 用戶的 GPT-5.3 Instant，並提升日常回答的準確度、清晰度、簡潔度、圖像理解能力、STEM 問題以及 ChatGPT 決定搜尋網路時的表現。</x:v>
      </x:c>
      <x:c r="L781" s="52" t="str">
        <x:v>https://help.openai.com/en/articles/6825453-chatgpt-release-notes</x:v>
      </x:c>
      <x:c r="M781" s="52" t="str">
        <x:v>help_center_release_notes</x:v>
      </x:c>
      <x:c r="N781" s="52" t="str">
        <x:v>complete</x:v>
      </x:c>
      <x:c r="O781" s="52" t="str">
        <x:v>high</x:v>
      </x:c>
      <x:c r="P781" s="60" t="n">
        <x:v>4</x:v>
      </x:c>
      <x:c r="Q781" s="52" t="str">
        <x:v>2026 | gpt-5.5 | model_release | models-reasoning</x:v>
      </x:c>
    </x:row>
    <x:row r="782" ht="38" customHeight="1">
      <x:c r="A782" s="57" t="n">
        <x:v>46147</x:v>
      </x:c>
      <x:c r="B782" s="52" t="str">
        <x:v>chatgpt-release-notes</x:v>
      </x:c>
      <x:c r="C782" s="52" t="str">
        <x:v>ChatGPT — Release Notes</x:v>
      </x:c>
      <x:c r="D782" s="52" t="str">
        <x:v>memory_knowledge</x:v>
      </x:c>
      <x:c r="E782" s="52" t="str">
        <x:v>ChatGPT Plus</x:v>
      </x:c>
      <x:c r="F782" s="52" t="str">
        <x:v>feature</x:v>
      </x:c>
      <x:c r="G782" s="52" t="str">
        <x:v>active</x:v>
      </x:c>
      <x:c r="H782" s="63" t="str">
        <x:v>Memory sources and more personalized responses in ChatGPT</x:v>
      </x:c>
      <x:c r="I782" s="63" t="str">
        <x:v>ChatGPT 的記憶來源與更個人化的回應</x:v>
      </x:c>
      <x:c r="J782" s="63" t="str">
        <x:v>Starting today, we’re rolling out memory improvements to ChatGPT Plus and Pro users that make responses more personalized, useful, and continuous over time. ChatGPT can now better pull in relevant context from your past chats, saved memories, and, where available, files and connected Gmail app, to offer more tailored ideas, recommendations, and next steps. It is also faster at searching past conversations to find the right context, s…</x:v>
      </x:c>
      <x:c r="K782" s="63" t="str">
        <x:v>即日起，我們針對 ChatGPT Plus 與 Pro 使用者推出記憶功能優化，使回應更個人化、更有用且具持續性。ChatGPT 現在能更有效地從過往對話、已儲存的記憶，以及可用的檔案與已連結的 Gmail 應用程式中提取相關背景資訊，以提供更客製化的觀點、建議與後續步驟。</x:v>
      </x:c>
      <x:c r="L782" s="52" t="str">
        <x:v>https://help.openai.com/en/articles/6825453-chatgpt-release-notes</x:v>
      </x:c>
      <x:c r="M782" s="52" t="str">
        <x:v>help_center_release_notes</x:v>
      </x:c>
      <x:c r="N782" s="52" t="str">
        <x:v>complete</x:v>
      </x:c>
      <x:c r="O782" s="52" t="str">
        <x:v>high</x:v>
      </x:c>
      <x:c r="P782" s="60" t="n">
        <x:v>3</x:v>
      </x:c>
      <x:c r="Q782" s="52" t="str">
        <x:v>2026 | feature | memory | memory-knowledge</x:v>
      </x:c>
    </x:row>
    <x:row r="783" ht="38" customHeight="1">
      <x:c r="A783" s="57" t="n">
        <x:v>46147</x:v>
      </x:c>
      <x:c r="B783" s="52" t="str">
        <x:v>api-changelog</x:v>
      </x:c>
      <x:c r="C783" s="52" t="str">
        <x:v>OpenAI API Changelog</x:v>
      </x:c>
      <x:c r="D783" s="52" t="str">
        <x:v>models_reasoning</x:v>
      </x:c>
      <x:c r="E783" s="52" t="str">
        <x:v>GPT-5.5</x:v>
      </x:c>
      <x:c r="F783" s="52" t="str">
        <x:v>model_release</x:v>
      </x:c>
      <x:c r="G783" s="52" t="str">
        <x:v>active</x:v>
      </x:c>
      <x:c r="H783" s="63" t="str">
        <x:v>Released chat-latest snapshot which points to the latest Instant model currently used in ChatGPT.</x:v>
      </x:c>
      <x:c r="I783" s="63" t="str">
        <x:v>模型發布：GPT-5.5</x:v>
      </x:c>
      <x:c r="J783" s="63" t="str">
        <x:v>Released chat-latest snapshot which points to the latest Instant model currently used in ChatGPT. We recommend leveraging GPT-5.5 for production API usage, but feel free to use this model to test our latest improvements for chat use cases. The underlying model snapshot will be regularly updated. Read more here.</x:v>
      </x:c>
      <x:c r="K783" s="63" t="str">
        <x:v>OpenAI 於 2026-05-05 為 GPT-5.5 發布模型；此節點依官方發布記錄整理，完整能力、適用方案與限制請見來源。</x:v>
      </x:c>
      <x:c r="L783" s="52" t="str">
        <x:v>https://platform.openai.com/docs/changelog</x:v>
      </x:c>
      <x:c r="M783" s="52" t="str">
        <x:v>developer_changelog</x:v>
      </x:c>
      <x:c r="N783" s="52" t="str">
        <x:v>parsed</x:v>
      </x:c>
      <x:c r="O783" s="52" t="str">
        <x:v>high</x:v>
      </x:c>
      <x:c r="P783" s="60" t="n">
        <x:v>0</x:v>
      </x:c>
      <x:c r="Q783" s="52" t="str"/>
    </x:row>
    <x:row r="784" ht="38" customHeight="1">
      <x:c r="A784" s="57" t="n">
        <x:v>46147</x:v>
      </x:c>
      <x:c r="B784" s="52" t="str">
        <x:v>lane-openai-api-changelog</x:v>
      </x:c>
      <x:c r="C784" s="52" t="str">
        <x:v>OpenAI API Changelog</x:v>
      </x:c>
      <x:c r="D784" s="52" t="str">
        <x:v>models_reasoning</x:v>
      </x:c>
      <x:c r="E784" s="52" t="str">
        <x:v>Model Platform</x:v>
      </x:c>
      <x:c r="F784" s="52" t="str">
        <x:v>model_release</x:v>
      </x:c>
      <x:c r="G784" s="52" t="str">
        <x:v>active</x:v>
      </x:c>
      <x:c r="H784" s="63" t="str">
        <x:v>Released chat-latest snapshot which points to the latest Instant model currently used in ChatGPT.</x:v>
      </x:c>
      <x:c r="I784" s="63" t="str">
        <x:v>模型發布：Model Platform</x:v>
      </x:c>
      <x:c r="J784" s="63" t="str">
        <x:v>Released chat-latest snapshot which points to the latest Instant model currently used in ChatGPT. We recommend leveraging GPT-5.5 for production API usage, but feel free to use this model to test our latest improvements for chat use cases. The underlying model snapshot will be regularly updated. Read more here .</x:v>
      </x:c>
      <x:c r="K784" s="63" t="str">
        <x:v>推出：chat-latest snapshot which points to latest Instant 模型 currently used in ChatGPT。OpenAI 將此列為 2026-05-05 的更新；重點涉及平台功能與可用性，模型、端點與參數名稱依官方英文保留。</x:v>
      </x:c>
      <x:c r="L784" s="52" t="str">
        <x:v>https://developers.openai.com/api/docs/changelog</x:v>
      </x:c>
      <x:c r="M784" s="52" t="str">
        <x:v>official_changelog</x:v>
      </x:c>
      <x:c r="N784" s="52" t="str">
        <x:v>complete</x:v>
      </x:c>
      <x:c r="O784" s="52" t="str">
        <x:v>high</x:v>
      </x:c>
      <x:c r="P784" s="60" t="n">
        <x:v>5</x:v>
      </x:c>
      <x:c r="Q784" s="52" t="str">
        <x:v>api | models | update</x:v>
      </x:c>
    </x:row>
    <x:row r="785" ht="38" customHeight="1">
      <x:c r="A785" s="57" t="n">
        <x:v>46148</x:v>
      </x:c>
      <x:c r="B785" s="52" t="str">
        <x:v>codex-changelog</x:v>
      </x:c>
      <x:c r="C785" s="52" t="str">
        <x:v>Codex Changelog</x:v>
      </x:c>
      <x:c r="D785" s="52" t="str">
        <x:v>agents_research</x:v>
      </x:c>
      <x:c r="E785" s="52" t="str">
        <x:v>Codex</x:v>
      </x:c>
      <x:c r="F785" s="52" t="str">
        <x:v>platform</x:v>
      </x:c>
      <x:c r="G785" s="52" t="str">
        <x:v>active</x:v>
      </x:c>
      <x:c r="H785" s="63" t="str">
        <x:v>Codex analytics governance docs update</x:v>
      </x:c>
      <x:c r="I785" s="63" t="str">
        <x:v>Codex analytics governance docs update 更新</x:v>
      </x:c>
      <x:c r="J785" s="63" t="str">
        <x:v>Updated the Codex enterprise governance guide with more detailed coverage of the Analytics dashboard charts, data export options, and enterprise Analytics API endpoints.</x:v>
      </x:c>
      <x:c r="K785" s="63" t="str">
        <x:v>OpenAI 於 2026-05-06 為 Codex 更新開發者平台；此節點依官方發布記錄整理，完整能力、適用方案與限制請見來源。</x:v>
      </x:c>
      <x:c r="L785" s="52" t="str">
        <x:v>https://developers.openai.com/codex/changelog/</x:v>
      </x:c>
      <x:c r="M785" s="52" t="str">
        <x:v>developer_changelog</x:v>
      </x:c>
      <x:c r="N785" s="52" t="str">
        <x:v>complete</x:v>
      </x:c>
      <x:c r="O785" s="52" t="str">
        <x:v>high</x:v>
      </x:c>
      <x:c r="P785" s="60" t="n">
        <x:v>2</x:v>
      </x:c>
      <x:c r="Q785" s="52" t="str">
        <x:v>codex | release-notes</x:v>
      </x:c>
    </x:row>
    <x:row r="786" ht="38" customHeight="1">
      <x:c r="A786" s="57" t="n">
        <x:v>46148</x:v>
      </x:c>
      <x:c r="B786" s="52" t="str">
        <x:v>apps-sdk-changelog</x:v>
      </x:c>
      <x:c r="C786" s="52" t="str">
        <x:v>Apps SDK Changelog</x:v>
      </x:c>
      <x:c r="D786" s="52" t="str">
        <x:v>developer_platform</x:v>
      </x:c>
      <x:c r="E786" s="52" t="str">
        <x:v>Apps SDK</x:v>
      </x:c>
      <x:c r="F786" s="52" t="str">
        <x:v>platform</x:v>
      </x:c>
      <x:c r="G786" s="52" t="str">
        <x:v>active</x:v>
      </x:c>
      <x:c r="H786" s="63" t="str">
        <x:v>Output schema examples</x:v>
      </x:c>
      <x:c r="I786" s="63" t="str">
        <x:v>Output schema examples 更新</x:v>
      </x:c>
      <x:c r="J786" s="63" t="str">
        <x:v>Fixes &amp; improvements Apps SDK and MCP server docs now show outputSchema in tool examples and recommend declaring one for tools that return structured content.</x:v>
      </x:c>
      <x:c r="K786" s="63" t="str">
        <x:v>Apps SDK Changelog 在 2026-05-06 記錄了代理與工具調用、可靠性與效能修正相關更新；完整版本與修正內容見官方英文摘要。</x:v>
      </x:c>
      <x:c r="L786" s="52" t="str">
        <x:v>https://developers.openai.com/apps-sdk/changelog/</x:v>
      </x:c>
      <x:c r="M786" s="52" t="str">
        <x:v>developer_changelog</x:v>
      </x:c>
      <x:c r="N786" s="52" t="str">
        <x:v>complete</x:v>
      </x:c>
      <x:c r="O786" s="52" t="str">
        <x:v>high</x:v>
      </x:c>
      <x:c r="P786" s="60" t="n">
        <x:v>4</x:v>
      </x:c>
      <x:c r="Q786" s="52" t="str">
        <x:v>apps-sdk | chatgpt-apps | mcp</x:v>
      </x:c>
    </x:row>
    <x:row r="787" ht="38" customHeight="1">
      <x:c r="A787" s="57" t="n">
        <x:v>46148</x:v>
      </x:c>
      <x:c r="B787" s="52" t="str">
        <x:v>api-changelog</x:v>
      </x:c>
      <x:c r="C787" s="52" t="str">
        <x:v>OpenAI API Changelog</x:v>
      </x:c>
      <x:c r="D787" s="52" t="str">
        <x:v>agents_research</x:v>
      </x:c>
      <x:c r="E787" s="52" t="str">
        <x:v>OpenAI API</x:v>
      </x:c>
      <x:c r="F787" s="52" t="str">
        <x:v>availability</x:v>
      </x:c>
      <x:c r="G787" s="52" t="str">
        <x:v>active</x:v>
      </x:c>
      <x:c r="H787" s="63" t="str">
        <x:v>The updated Agents SDK is now available in TypeScript</x:v>
      </x:c>
      <x:c r="I787" s="63" t="str">
        <x:v>開放使用：OpenAI API</x:v>
      </x:c>
      <x:c r="J787" s="63" t="str">
        <x:v>The updated Agents SDK is now available in TypeScript, with support for sandbox agents and an open-source harness built in. Learn more here.</x:v>
      </x:c>
      <x:c r="K787" s="63" t="str">
        <x:v>OpenAI 於 2026-05-06 為 OpenAI API 擴大開放範圍；此節點依官方發布記錄整理，完整能力、適用方案與限制請見來源。</x:v>
      </x:c>
      <x:c r="L787" s="52" t="str">
        <x:v>https://platform.openai.com/docs/changelog</x:v>
      </x:c>
      <x:c r="M787" s="52" t="str">
        <x:v>developer_changelog</x:v>
      </x:c>
      <x:c r="N787" s="52" t="str">
        <x:v>parsed</x:v>
      </x:c>
      <x:c r="O787" s="52" t="str">
        <x:v>high</x:v>
      </x:c>
      <x:c r="P787" s="60" t="n">
        <x:v>0</x:v>
      </x:c>
      <x:c r="Q787" s="52" t="str"/>
    </x:row>
    <x:row r="788" ht="38" customHeight="1">
      <x:c r="A788" s="57" t="n">
        <x:v>46148</x:v>
      </x:c>
      <x:c r="B788" s="52" t="str">
        <x:v>lane-openai-api-changelog</x:v>
      </x:c>
      <x:c r="C788" s="52" t="str">
        <x:v>OpenAI API Changelog</x:v>
      </x:c>
      <x:c r="D788" s="52" t="str">
        <x:v>agents_research</x:v>
      </x:c>
      <x:c r="E788" s="52" t="str">
        <x:v>Agents SDK</x:v>
      </x:c>
      <x:c r="F788" s="52" t="str">
        <x:v>availability</x:v>
      </x:c>
      <x:c r="G788" s="52" t="str">
        <x:v>active</x:v>
      </x:c>
      <x:c r="H788" s="63" t="str">
        <x:v>The updated Agents SDK is now available in TypeScript</x:v>
      </x:c>
      <x:c r="I788" s="63" t="str">
        <x:v>開放使用：Agents SDK</x:v>
      </x:c>
      <x:c r="J788" s="63" t="str">
        <x:v>The updated Agents SDK is now available in TypeScript, with support for sandbox agents and an open-source harness built in. Learn more here .</x:v>
      </x:c>
      <x:c r="K788" s="63" t="str">
        <x:v>API 更新：updated Agents SDK is now available in TypeScript, with 支援 sandbox agents and an open-source harness built in。OpenAI 將此列為 2026-05-06 的更新；重點涉及代理與工具調用，模型、端點與參數名稱依官方英文保留。</x:v>
      </x:c>
      <x:c r="L788" s="52" t="str">
        <x:v>https://developers.openai.com/api/docs/changelog</x:v>
      </x:c>
      <x:c r="M788" s="52" t="str">
        <x:v>official_changelog</x:v>
      </x:c>
      <x:c r="N788" s="52" t="str">
        <x:v>complete</x:v>
      </x:c>
      <x:c r="O788" s="52" t="str">
        <x:v>high</x:v>
      </x:c>
      <x:c r="P788" s="60" t="n">
        <x:v>4</x:v>
      </x:c>
      <x:c r="Q788" s="52" t="str">
        <x:v>agents | agents-sdk | update</x:v>
      </x:c>
    </x:row>
    <x:row r="789" ht="38" customHeight="1">
      <x:c r="A789" s="57" t="n">
        <x:v>46149</x:v>
      </x:c>
      <x:c r="B789" s="52" t="str">
        <x:v>codex-changelog</x:v>
      </x:c>
      <x:c r="C789" s="52" t="str">
        <x:v>Codex Changelog</x:v>
      </x:c>
      <x:c r="D789" s="52" t="str">
        <x:v>agents_research</x:v>
      </x:c>
      <x:c r="E789" s="52" t="str">
        <x:v>Codex</x:v>
      </x:c>
      <x:c r="F789" s="52" t="str">
        <x:v>integration</x:v>
      </x:c>
      <x:c r="G789" s="52" t="str">
        <x:v>active</x:v>
      </x:c>
      <x:c r="H789" s="63" t="str">
        <x:v>Codex for Chrome</x:v>
      </x:c>
      <x:c r="I789" s="63" t="str">
        <x:v>Codex for Chrome 更新</x:v>
      </x:c>
      <x:c r="J789" s="63" t="str">
        <x:v>With the new extension for Chrome, Codex is even better at working with apps and websites in your browser. It works in parallel across tabs in the background without taking over your browser, and you stay in control of which websites Codex can use. Learn more in the Codex Chrome extension documentation .</x:v>
      </x:c>
      <x:c r="K789" s="63" t="str">
        <x:v>Codex Changelog 在 2026-05-07 記錄了Codex 編碼代理相關更新；完整版本與修正內容見官方英文摘要。</x:v>
      </x:c>
      <x:c r="L789" s="52" t="str">
        <x:v>https://developers.openai.com/codex/changelog/</x:v>
      </x:c>
      <x:c r="M789" s="52" t="str">
        <x:v>developer_changelog</x:v>
      </x:c>
      <x:c r="N789" s="52" t="str">
        <x:v>complete</x:v>
      </x:c>
      <x:c r="O789" s="52" t="str">
        <x:v>high</x:v>
      </x:c>
      <x:c r="P789" s="60" t="n">
        <x:v>2</x:v>
      </x:c>
      <x:c r="Q789" s="52" t="str">
        <x:v>codex | release-notes</x:v>
      </x:c>
    </x:row>
    <x:row r="790" ht="38" customHeight="1">
      <x:c r="A790" s="57" t="n">
        <x:v>46149</x:v>
      </x:c>
      <x:c r="B790" s="52" t="str">
        <x:v>lane-scaling-trusted-access-for-cyber-with-gpt-5-5-and-gpt-5-5-</x:v>
      </x:c>
      <x:c r="C790" s="52" t="str">
        <x:v>Scaling Trusted Access for Cyber with GPT-5.5 and GPT-5.5-Cyber</x:v>
      </x:c>
      <x:c r="D790" s="52" t="str">
        <x:v>safety_lifecycle</x:v>
      </x:c>
      <x:c r="E790" s="52" t="str">
        <x:v>GPT-5.5-Cyber</x:v>
      </x:c>
      <x:c r="F790" s="52" t="str">
        <x:v>model_release</x:v>
      </x:c>
      <x:c r="G790" s="52" t="str">
        <x:v>research_preview</x:v>
      </x:c>
      <x:c r="H790" s="63" t="str">
        <x:v>GPT-5.5-Cyber limited preview</x:v>
      </x:c>
      <x:c r="I790" s="63" t="str">
        <x:v>GPT‑5.5‑Cyber 限量預覽</x:v>
      </x:c>
      <x:c r="J790" s="63" t="str">
        <x:v>OpenAI began a limited preview of GPT-5.5-Cyber for defenders securing critical infrastructure under Trusted Access for Cyber.</x:v>
      </x:c>
      <x:c r="K790" s="63" t="str">
        <x:v>OpenAI 透過 Trusted Access for Cyber，向保護關鍵基礎設施的防禦者推出 GPT‑5.5‑Cyber 限量預覽。</x:v>
      </x:c>
      <x:c r="L790" s="52" t="str">
        <x:v>https://openai.com/index/gpt-5-5-with-trusted-access-for-cyber/</x:v>
      </x:c>
      <x:c r="M790" s="52" t="str">
        <x:v>official_security_post</x:v>
      </x:c>
      <x:c r="N790" s="52" t="str">
        <x:v>parsed</x:v>
      </x:c>
      <x:c r="O790" s="52" t="str">
        <x:v>high</x:v>
      </x:c>
      <x:c r="P790" s="60" t="n">
        <x:v>4</x:v>
      </x:c>
      <x:c r="Q790" s="52" t="str">
        <x:v>cybersecurity | gpt-5.5 | trusted-access</x:v>
      </x:c>
    </x:row>
    <x:row r="791" ht="38" customHeight="1">
      <x:c r="A791" s="57" t="n">
        <x:v>46149</x:v>
      </x:c>
      <x:c r="B791" s="52" t="str">
        <x:v>lane-openai-api-changelog</x:v>
      </x:c>
      <x:c r="C791" s="52" t="str">
        <x:v>OpenAI API Changelog</x:v>
      </x:c>
      <x:c r="D791" s="52" t="str">
        <x:v>multimodal</x:v>
      </x:c>
      <x:c r="E791" s="52" t="str">
        <x:v>Realtime &amp; Audio API</x:v>
      </x:c>
      <x:c r="F791" s="52" t="str">
        <x:v>model_release</x:v>
      </x:c>
      <x:c r="G791" s="52" t="str">
        <x:v>active</x:v>
      </x:c>
      <x:c r="H791" s="63" t="str">
        <x:v>Released GPT-Realtime-2</x:v>
      </x:c>
      <x:c r="I791" s="63" t="str">
        <x:v>模型發布：Realtime &amp; Audio API</x:v>
      </x:c>
      <x:c r="J791" s="63" t="str">
        <x:v>Released GPT-Realtime-2 , a new realtime voice model with configurable reasoning for speech-to-speech agents, along with GPT-Realtime-Translate for streaming speech translation and GPT-Realtime-Whisper for streaming speech-to-text. Updated the Realtime and audio guide , added a dedicated Realtime translation guide , refreshed Realtime transcription for streaming transcripts, and moved realtime prompting guidance into Using realtime m…</x:v>
      </x:c>
      <x:c r="K791" s="63" t="str">
        <x:v>推出：GPT-Realtime-2 , a 全新 realtime voice 模型 with configurable reasoning for speech-to-speech agents, along with GPT-Realtime-Translate for streaming speech translation and…。OpenAI 將此列為 2026-05-07 的功能；重點涉及代理與工具調用、即時語音與音訊，模型、端點與參數名稱依官方英文保留。</x:v>
      </x:c>
      <x:c r="L791" s="52" t="str">
        <x:v>https://developers.openai.com/api/docs/changelog</x:v>
      </x:c>
      <x:c r="M791" s="52" t="str">
        <x:v>official_changelog</x:v>
      </x:c>
      <x:c r="N791" s="52" t="str">
        <x:v>complete</x:v>
      </x:c>
      <x:c r="O791" s="52" t="str">
        <x:v>high</x:v>
      </x:c>
      <x:c r="P791" s="60" t="n">
        <x:v>4</x:v>
      </x:c>
      <x:c r="Q791" s="52" t="str">
        <x:v>audio | feature | realtime</x:v>
      </x:c>
    </x:row>
    <x:row r="792" ht="38" customHeight="1">
      <x:c r="A792" s="57" t="n">
        <x:v>46149</x:v>
      </x:c>
      <x:c r="B792" s="52" t="str">
        <x:v>api-changelog</x:v>
      </x:c>
      <x:c r="C792" s="52" t="str">
        <x:v>OpenAI API Changelog</x:v>
      </x:c>
      <x:c r="D792" s="52" t="str">
        <x:v>agents_research</x:v>
      </x:c>
      <x:c r="E792" s="52" t="str">
        <x:v>Codex</x:v>
      </x:c>
      <x:c r="F792" s="52" t="str">
        <x:v>launch</x:v>
      </x:c>
      <x:c r="G792" s="52" t="str">
        <x:v>active</x:v>
      </x:c>
      <x:c r="H792" s="63" t="str">
        <x:v>Released the OpenAI Developers plugin for Codex.</x:v>
      </x:c>
      <x:c r="I792" s="63" t="str">
        <x:v>推出：Codex</x:v>
      </x:c>
      <x:c r="J792" s="63" t="str">
        <x:v>Released the OpenAI Developers plugin for Codex. This helps you build AI applications and agents in Codex with OpenAI Platform access and OpenAI API setup guidance.</x:v>
      </x:c>
      <x:c r="K792" s="63" t="str">
        <x:v>OpenAI 於 2026-05-07 為 Codex 推出新產品或能力；此節點依官方發布記錄整理，完整能力、適用方案與限制請見來源。</x:v>
      </x:c>
      <x:c r="L792" s="52" t="str">
        <x:v>https://platform.openai.com/docs/changelog</x:v>
      </x:c>
      <x:c r="M792" s="52" t="str">
        <x:v>developer_changelog</x:v>
      </x:c>
      <x:c r="N792" s="52" t="str">
        <x:v>parsed</x:v>
      </x:c>
      <x:c r="O792" s="52" t="str">
        <x:v>high</x:v>
      </x:c>
      <x:c r="P792" s="60" t="n">
        <x:v>0</x:v>
      </x:c>
      <x:c r="Q792" s="52" t="str"/>
    </x:row>
    <x:row r="793" ht="38" customHeight="1">
      <x:c r="A793" s="57" t="n">
        <x:v>46149</x:v>
      </x:c>
      <x:c r="B793" s="52" t="str">
        <x:v>lane-openai-api-changelog</x:v>
      </x:c>
      <x:c r="C793" s="52" t="str">
        <x:v>OpenAI API Changelog</x:v>
      </x:c>
      <x:c r="D793" s="52" t="str">
        <x:v>agents_research</x:v>
      </x:c>
      <x:c r="E793" s="52" t="str">
        <x:v>Codex</x:v>
      </x:c>
      <x:c r="F793" s="52" t="str">
        <x:v>launch</x:v>
      </x:c>
      <x:c r="G793" s="52" t="str">
        <x:v>active</x:v>
      </x:c>
      <x:c r="H793" s="63" t="str">
        <x:v>Released the OpenAI Developers plugin for Codex.</x:v>
      </x:c>
      <x:c r="I793" s="63" t="str">
        <x:v>推出：OpenAI Developers plugin for Codex .</x:v>
      </x:c>
      <x:c r="J793" s="63" t="str">
        <x:v>Released the OpenAI Developers plugin for Codex . This helps you build AI applications and agents in Codex with OpenAI Platform access and OpenAI API setup guidance.</x:v>
      </x:c>
      <x:c r="K793" s="63" t="str">
        <x:v>推出：OpenAI Developers plugin for Codex。OpenAI 將此列為 2026-05-07 的功能；重點涉及Codex 編碼代理、代理與工具調用，模型、端點與參數名稱依官方英文保留。</x:v>
      </x:c>
      <x:c r="L793" s="52" t="str">
        <x:v>https://developers.openai.com/api/docs/changelog</x:v>
      </x:c>
      <x:c r="M793" s="52" t="str">
        <x:v>official_changelog</x:v>
      </x:c>
      <x:c r="N793" s="52" t="str">
        <x:v>complete</x:v>
      </x:c>
      <x:c r="O793" s="52" t="str">
        <x:v>high</x:v>
      </x:c>
      <x:c r="P793" s="60" t="n">
        <x:v>3</x:v>
      </x:c>
      <x:c r="Q793" s="52" t="str">
        <x:v>codex | coding-agent | feature</x:v>
      </x:c>
    </x:row>
    <x:row r="794" ht="38" customHeight="1">
      <x:c r="A794" s="57" t="n">
        <x:v>46149</x:v>
      </x:c>
      <x:c r="B794" s="52" t="str">
        <x:v>chatgpt-release-notes</x:v>
      </x:c>
      <x:c r="C794" s="52" t="str">
        <x:v>ChatGPT — Release Notes</x:v>
      </x:c>
      <x:c r="D794" s="52" t="str">
        <x:v>safety_lifecycle</x:v>
      </x:c>
      <x:c r="E794" s="52" t="str">
        <x:v>ChatGPT</x:v>
      </x:c>
      <x:c r="F794" s="52" t="str">
        <x:v>safety</x:v>
      </x:c>
      <x:c r="G794" s="52" t="str">
        <x:v>active</x:v>
      </x:c>
      <x:c r="H794" s="63" t="str">
        <x:v>Trusted contact in ChatGPT</x:v>
      </x:c>
      <x:c r="I794" s="63" t="str">
        <x:v>ChatGPT 的信任聯絡人</x:v>
      </x:c>
      <x:c r="J794" s="63" t="str">
        <x:v>Over the coming weeks, we'll be rolling out trusted contact, an optional safety feature for adults with personal ChatGPT accounts. Trusted contact in ChatGPT helps you connect with a person you trust if you need additional support. You may choose your trusted contact in settings, and ChatGPT will send them an invitation to participate. Once they accept, if automated systems and trained reviewers detect you may be talking about suicid…</x:v>
      </x:c>
      <x:c r="K794" s="63" t="str">
        <x:v>未來幾週內，我們將推出「信任聯絡人」功能，這是針對擁有個人 ChatGPT 帳戶的成人使用者所提供的選擇性安全功能。若您需要額外支援，ChatGPT 的「信任聯絡人」能協助您與信任的人聯繫。您可在設定中選擇您的信任聯絡人，ChatGPT 將會發送參與邀請給對方。</x:v>
      </x:c>
      <x:c r="L794" s="52" t="str">
        <x:v>https://help.openai.com/en/articles/6825453-chatgpt-release-notes</x:v>
      </x:c>
      <x:c r="M794" s="52" t="str">
        <x:v>help_center_release_notes</x:v>
      </x:c>
      <x:c r="N794" s="52" t="str">
        <x:v>complete</x:v>
      </x:c>
      <x:c r="O794" s="52" t="str">
        <x:v>high</x:v>
      </x:c>
      <x:c r="P794" s="60" t="n">
        <x:v>3</x:v>
      </x:c>
      <x:c r="Q794" s="52" t="str">
        <x:v>2026 | chatgpt | safety | safety-lifecycle</x:v>
      </x:c>
    </x:row>
    <x:row r="795" ht="38" customHeight="1">
      <x:c r="A795" s="57" t="n">
        <x:v>46149</x:v>
      </x:c>
      <x:c r="B795" s="52" t="str">
        <x:v>lane-openai-api-deprecations</x:v>
      </x:c>
      <x:c r="C795" s="52" t="str">
        <x:v>OpenAI API Deprecations</x:v>
      </x:c>
      <x:c r="D795" s="52" t="str">
        <x:v>safety_lifecycle</x:v>
      </x:c>
      <x:c r="E795" s="52" t="str">
        <x:v>Fine-tuning API</x:v>
      </x:c>
      <x:c r="F795" s="52" t="str">
        <x:v>deprecation</x:v>
      </x:c>
      <x:c r="G795" s="52" t="str">
        <x:v>deprecated</x:v>
      </x:c>
      <x:c r="H795" s="63" t="str">
        <x:v>Update to OpenAI’s self-serve fine-tuning deprecation</x:v>
      </x:c>
      <x:c r="I795" s="63" t="str">
        <x:v>Update to OpenAI’s self-serve fine-tuning 棄用公告</x:v>
      </x:c>
      <x:c r="J795" s="63" t="str">
        <x:v>On May 7th, 2026, we notified developers using OpenAI’s self-serve fine-tuning platform of updates to availability. Inference on fine-tuned models will continue to be available until the base models are deprecated. Schedule/replacements: Date Update; May 7, 2026 Creating fine-tuning jobs or training is not available to organizations that have not previously run fine-tuning.; July 2, 2026 Creating fine-tuning jobs is no longer availab…</x:v>
      </x:c>
      <x:c r="K795" s="63" t="str">
        <x:v>OpenAI 於 2026-05-07 公告 Update to OpenAI’s self-serve fine-tuning 的棄用或下線時程，並列出替代方案與遷移方向。</x:v>
      </x:c>
      <x:c r="L795" s="52" t="str">
        <x:v>https://developers.openai.com/api/docs/deprecations#update-to-openais-self-serve-fine-tuning</x:v>
      </x:c>
      <x:c r="M795" s="52" t="str">
        <x:v>official_deprecation_registry</x:v>
      </x:c>
      <x:c r="N795" s="52" t="str">
        <x:v>complete</x:v>
      </x:c>
      <x:c r="O795" s="52" t="str">
        <x:v>high</x:v>
      </x:c>
      <x:c r="P795" s="60" t="n">
        <x:v>4</x:v>
      </x:c>
      <x:c r="Q795" s="52" t="str">
        <x:v>api | deprecation | fine-tuning-api</x:v>
      </x:c>
    </x:row>
    <x:row r="796" ht="38" customHeight="1">
      <x:c r="A796" s="57" t="n">
        <x:v>46150</x:v>
      </x:c>
      <x:c r="B796" s="52" t="str">
        <x:v>codex-changelog</x:v>
      </x:c>
      <x:c r="C796" s="52" t="str">
        <x:v>Codex Changelog</x:v>
      </x:c>
      <x:c r="D796" s="52" t="str">
        <x:v>agents_research</x:v>
      </x:c>
      <x:c r="E796" s="52" t="str">
        <x:v>Codex</x:v>
      </x:c>
      <x:c r="F796" s="52" t="str">
        <x:v>model_update</x:v>
      </x:c>
      <x:c r="G796" s="52" t="str">
        <x:v>active</x:v>
      </x:c>
      <x:c r="H796" s="63" t="str">
        <x:v>Codex app 26.506</x:v>
      </x:c>
      <x:c r="I796" s="63" t="str">
        <x:v>Codex app 26.506 更新</x:v>
      </x:c>
      <x:c r="J796" s="63" t="str">
        <x:v>New features Added an in-app trust review flow for hooks and kept Hooks settings reachable even before hooks are fully configured. Performance improvements and bug fixes Restored tooltip-wrapped dropdowns that could stop opening after the tooltip rewrite. Preserved in-progress message edits across thread switches. Fixed several desktop workflow regressions, including Ctrl+V paste in the Windows terminal, opening modified external lin…</x:v>
      </x:c>
      <x:c r="K796" s="63" t="str">
        <x:v>Codex Changelog 在 2026-05-08 記錄了Codex 編碼代理、代理與工具調用、可靠性與效能修正相關更新；完整版本與修正內容見官方英文摘要。</x:v>
      </x:c>
      <x:c r="L796" s="52" t="str">
        <x:v>https://developers.openai.com/codex/changelog/</x:v>
      </x:c>
      <x:c r="M796" s="52" t="str">
        <x:v>developer_changelog</x:v>
      </x:c>
      <x:c r="N796" s="52" t="str">
        <x:v>complete</x:v>
      </x:c>
      <x:c r="O796" s="52" t="str">
        <x:v>high</x:v>
      </x:c>
      <x:c r="P796" s="60" t="n">
        <x:v>2</x:v>
      </x:c>
      <x:c r="Q796" s="52" t="str">
        <x:v>codex | release-notes</x:v>
      </x:c>
    </x:row>
    <x:row r="797" ht="38" customHeight="1">
      <x:c r="A797" s="57" t="n">
        <x:v>46150</x:v>
      </x:c>
      <x:c r="B797" s="52" t="str">
        <x:v>api-deprecations</x:v>
      </x:c>
      <x:c r="C797" s="52" t="str">
        <x:v>OpenAI API Deprecations</x:v>
      </x:c>
      <x:c r="D797" s="52" t="str">
        <x:v>safety_lifecycle</x:v>
      </x:c>
      <x:c r="E797" s="52" t="str">
        <x:v>GPT-5.3</x:v>
      </x:c>
      <x:c r="F797" s="52" t="str">
        <x:v>deprecation</x:v>
      </x:c>
      <x:c r="G797" s="52" t="str">
        <x:v>deprecated</x:v>
      </x:c>
      <x:c r="H797" s="63" t="str">
        <x:v>gpt-5.2-chat-latest and gpt-5.3-chat-latest model snapshots</x:v>
      </x:c>
      <x:c r="I797" s="63" t="str">
        <x:v>淘汰通知：GPT-5.3</x:v>
      </x:c>
      <x:c r="J797" s="63" t="str">
        <x:v>On May 8th, 2026, we notified developers using gpt-5.2-chat-latest and gpt-5.3-chat-latest model snapshots of their deprecation and removal from the API.</x:v>
      </x:c>
      <x:c r="K797" s="63" t="str">
        <x:v>OpenAI 於 2026-05-08 為 GPT-5.3 公布淘汰計畫；此節點依官方發布記錄整理，完整能力、適用方案與限制請見來源。</x:v>
      </x:c>
      <x:c r="L797" s="52" t="str">
        <x:v>https://platform.openai.com/docs/deprecations</x:v>
      </x:c>
      <x:c r="M797" s="52" t="str">
        <x:v>developer_deprecations</x:v>
      </x:c>
      <x:c r="N797" s="52" t="str">
        <x:v>parsed</x:v>
      </x:c>
      <x:c r="O797" s="52" t="str">
        <x:v>high</x:v>
      </x:c>
      <x:c r="P797" s="60" t="n">
        <x:v>0</x:v>
      </x:c>
      <x:c r="Q797" s="52" t="str"/>
    </x:row>
    <x:row r="798" ht="38" customHeight="1">
      <x:c r="A798" s="57" t="n">
        <x:v>46150</x:v>
      </x:c>
      <x:c r="B798" s="52" t="str">
        <x:v>lane-openai-api-deprecations</x:v>
      </x:c>
      <x:c r="C798" s="52" t="str">
        <x:v>OpenAI API Deprecations</x:v>
      </x:c>
      <x:c r="D798" s="52" t="str">
        <x:v>safety_lifecycle</x:v>
      </x:c>
      <x:c r="E798" s="52" t="str">
        <x:v>Model Platform</x:v>
      </x:c>
      <x:c r="F798" s="52" t="str">
        <x:v>deprecation</x:v>
      </x:c>
      <x:c r="G798" s="52" t="str">
        <x:v>deprecated</x:v>
      </x:c>
      <x:c r="H798" s="63" t="str">
        <x:v>gpt-5.2-chat-latest and gpt-5.3-chat-latest model snapshots deprecation</x:v>
      </x:c>
      <x:c r="I798" s="63" t="str">
        <x:v>淘汰通知：Model Platform</x:v>
      </x:c>
      <x:c r="J798" s="63" t="str">
        <x:v>On May 8th, 2026, we notified developers using gpt-5.2-chat-latest and gpt-5.3-chat-latest model snapshots of their deprecation and removal from the API. Schedule/replacements: Aug 10, 2026 gpt-5.2-chat-latest gpt-5.5; Aug 10, 2026 gpt-5.3-chat-latest gpt-5.5</x:v>
      </x:c>
      <x:c r="K798" s="63" t="str">
        <x:v>OpenAI 於 2026-05-08 公告 gpt-5.2-chat-latest and gpt-5.3-chat-latest model snapshots 的棄用或下線時程，並列出替代方案與遷移方向。</x:v>
      </x:c>
      <x:c r="L798" s="52" t="str">
        <x:v>https://developers.openai.com/api/docs/deprecations#2026-05-08-gpt-52-chat-latest-and-gpt-53-chat-latest-model-snapshots</x:v>
      </x:c>
      <x:c r="M798" s="52" t="str">
        <x:v>official_deprecation_registry</x:v>
      </x:c>
      <x:c r="N798" s="52" t="str">
        <x:v>complete</x:v>
      </x:c>
      <x:c r="O798" s="52" t="str">
        <x:v>high</x:v>
      </x:c>
      <x:c r="P798" s="60" t="n">
        <x:v>4</x:v>
      </x:c>
      <x:c r="Q798" s="52" t="str">
        <x:v>api | deprecation | model-platform</x:v>
      </x:c>
    </x:row>
    <x:row r="799" ht="38" customHeight="1">
      <x:c r="A799" s="57" t="n">
        <x:v>46153</x:v>
      </x:c>
      <x:c r="B799" s="52" t="str">
        <x:v>api-changelog</x:v>
      </x:c>
      <x:c r="C799" s="52" t="str">
        <x:v>OpenAI API Changelog</x:v>
      </x:c>
      <x:c r="D799" s="52" t="str">
        <x:v>models_reasoning</x:v>
      </x:c>
      <x:c r="E799" s="52" t="str">
        <x:v>GPT-5</x:v>
      </x:c>
      <x:c r="F799" s="52" t="str">
        <x:v>platform</x:v>
      </x:c>
      <x:c r="G799" s="52" t="str">
        <x:v>active</x:v>
      </x:c>
      <x:c r="H799" s="63" t="str">
        <x:v>Added returntokenbudget for the Responses API web search tool.</x:v>
      </x:c>
      <x:c r="I799" s="63" t="str">
        <x:v>平台更新：GPT-5</x:v>
      </x:c>
      <x:c r="J799" s="63" t="str">
        <x:v>Added returntokenbudget for the Responses API web search tool. Use it to opt in to longer GPT-5+ reasoning web search runs for high-effort research and evaluation workloads.</x:v>
      </x:c>
      <x:c r="K799" s="63" t="str">
        <x:v>OpenAI 於 2026-05-11 為 GPT-5 更新開發者平台；此節點依官方發布記錄整理，完整能力、適用方案與限制請見來源。</x:v>
      </x:c>
      <x:c r="L799" s="52" t="str">
        <x:v>https://platform.openai.com/docs/changelog</x:v>
      </x:c>
      <x:c r="M799" s="52" t="str">
        <x:v>developer_changelog</x:v>
      </x:c>
      <x:c r="N799" s="52" t="str">
        <x:v>parsed</x:v>
      </x:c>
      <x:c r="O799" s="52" t="str">
        <x:v>high</x:v>
      </x:c>
      <x:c r="P799" s="60" t="n">
        <x:v>0</x:v>
      </x:c>
      <x:c r="Q799" s="52" t="str"/>
    </x:row>
    <x:row r="800" ht="38" customHeight="1">
      <x:c r="A800" s="57" t="n">
        <x:v>46153</x:v>
      </x:c>
      <x:c r="B800" s="52" t="str">
        <x:v>lane-openai-api-changelog</x:v>
      </x:c>
      <x:c r="C800" s="52" t="str">
        <x:v>OpenAI API Changelog</x:v>
      </x:c>
      <x:c r="D800" s="52" t="str">
        <x:v>agents_research</x:v>
      </x:c>
      <x:c r="E800" s="52" t="str">
        <x:v>Responses API</x:v>
      </x:c>
      <x:c r="F800" s="52" t="str">
        <x:v>platform</x:v>
      </x:c>
      <x:c r="G800" s="52" t="str">
        <x:v>active</x:v>
      </x:c>
      <x:c r="H800" s="63" t="str">
        <x:v>Added returntokenbudget for the Responses API web search tool.</x:v>
      </x:c>
      <x:c r="I800" s="63" t="str">
        <x:v>新增：returntokenbudget for Responses API web search tool .</x:v>
      </x:c>
      <x:c r="J800" s="63" t="str">
        <x:v>Added returntokenbudget for the Responses API web search tool . Use it to opt in to longer GPT-5+ reasoning web search runs for high-effort research and evaluation workloads.</x:v>
      </x:c>
      <x:c r="K800" s="63" t="str">
        <x:v>新增：returntokenbudget for Responses API web search tool。OpenAI 將此列為 2026-05-11 的功能；重點涉及代理與工具調用，模型、端點與參數名稱依官方英文保留。</x:v>
      </x:c>
      <x:c r="L800" s="52" t="str">
        <x:v>https://developers.openai.com/api/docs/changelog</x:v>
      </x:c>
      <x:c r="M800" s="52" t="str">
        <x:v>official_changelog</x:v>
      </x:c>
      <x:c r="N800" s="52" t="str">
        <x:v>complete</x:v>
      </x:c>
      <x:c r="O800" s="52" t="str">
        <x:v>high</x:v>
      </x:c>
      <x:c r="P800" s="60" t="n">
        <x:v>2</x:v>
      </x:c>
      <x:c r="Q800" s="52" t="str">
        <x:v>agents | feature | responses-api</x:v>
      </x:c>
    </x:row>
    <x:row r="801" ht="38" customHeight="1">
      <x:c r="A801" s="57" t="n">
        <x:v>46153</x:v>
      </x:c>
      <x:c r="B801" s="52" t="str">
        <x:v>codex-changelog</x:v>
      </x:c>
      <x:c r="C801" s="52" t="str">
        <x:v>Codex Changelog</x:v>
      </x:c>
      <x:c r="D801" s="52" t="str">
        <x:v>agents_research</x:v>
      </x:c>
      <x:c r="E801" s="52" t="str">
        <x:v>ChatGPT</x:v>
      </x:c>
      <x:c r="F801" s="52" t="str">
        <x:v>safety</x:v>
      </x:c>
      <x:c r="G801" s="52" t="str">
        <x:v>active</x:v>
      </x:c>
      <x:c r="H801" s="63" t="str">
        <x:v>Expanded Auto-review documentation</x:v>
      </x:c>
      <x:c r="I801" s="63" t="str">
        <x:v>Expanded Auto-review documentation 更新</x:v>
      </x:c>
      <x:c r="J801" s="63" t="str">
        <x:v>Added a dedicated Auto-review page covering the reviewer lifecycle, trigger conditions, failure behavior, and local or managed configuration. Also updated the Agent approvals &amp; security and Sandbox docs so they explain more clearly how Auto-review relates to the sandbox boundary.</x:v>
      </x:c>
      <x:c r="K801" s="63" t="str">
        <x:v>OpenAI 於 2026-05-11 為 ChatGPT 更新安全與治理機制；此節點依官方發布記錄整理，完整能力、適用方案與限制請見來源。</x:v>
      </x:c>
      <x:c r="L801" s="52" t="str">
        <x:v>https://developers.openai.com/codex/changelog/</x:v>
      </x:c>
      <x:c r="M801" s="52" t="str">
        <x:v>developer_changelog</x:v>
      </x:c>
      <x:c r="N801" s="52" t="str">
        <x:v>complete</x:v>
      </x:c>
      <x:c r="O801" s="52" t="str">
        <x:v>high</x:v>
      </x:c>
      <x:c r="P801" s="60" t="n">
        <x:v>2</x:v>
      </x:c>
      <x:c r="Q801" s="52" t="str">
        <x:v>codex | release-notes</x:v>
      </x:c>
    </x:row>
    <x:row r="802" ht="38" customHeight="1">
      <x:c r="A802" s="57" t="n">
        <x:v>46154</x:v>
      </x:c>
      <x:c r="B802" s="52" t="str">
        <x:v>api-changelog</x:v>
      </x:c>
      <x:c r="C802" s="52" t="str">
        <x:v>OpenAI API Changelog</x:v>
      </x:c>
      <x:c r="D802" s="52" t="str">
        <x:v>safety_lifecycle</x:v>
      </x:c>
      <x:c r="E802" s="52" t="str">
        <x:v>ChatGPT Images</x:v>
      </x:c>
      <x:c r="F802" s="52" t="str">
        <x:v>deprecation</x:v>
      </x:c>
      <x:c r="G802" s="52" t="str">
        <x:v>deprecated</x:v>
      </x:c>
      <x:c r="H802" s="63" t="str">
        <x:v>Deprecated DALL·E model snapshots and the Realtime API Beta.</x:v>
      </x:c>
      <x:c r="I802" s="63" t="str">
        <x:v>淘汰通知：ChatGPT Images</x:v>
      </x:c>
      <x:c r="J802" s="63" t="str">
        <x:v>Deprecated DALL·E model snapshots and the Realtime API Beta. DALL·E model snapshots dall-e-2 and dall-e-3 were deprecated and removed from the API on May 12, 2026. We recommend using gpt-image-2, gpt-image-1, or gpt-image-1-mini instead.</x:v>
      </x:c>
      <x:c r="K802" s="63" t="str">
        <x:v>OpenAI 於 2026-05-12 為 ChatGPT Images 公布淘汰計畫；此節點依官方發布記錄整理，完整能力、適用方案與限制請見來源。</x:v>
      </x:c>
      <x:c r="L802" s="52" t="str">
        <x:v>https://platform.openai.com/docs/changelog</x:v>
      </x:c>
      <x:c r="M802" s="52" t="str">
        <x:v>developer_changelog</x:v>
      </x:c>
      <x:c r="N802" s="52" t="str">
        <x:v>parsed</x:v>
      </x:c>
      <x:c r="O802" s="52" t="str">
        <x:v>high</x:v>
      </x:c>
      <x:c r="P802" s="60" t="n">
        <x:v>0</x:v>
      </x:c>
      <x:c r="Q802" s="52" t="str"/>
    </x:row>
    <x:row r="803" ht="38" customHeight="1">
      <x:c r="A803" s="57" t="n">
        <x:v>46154</x:v>
      </x:c>
      <x:c r="B803" s="52" t="str">
        <x:v>lane-openai-api-changelog</x:v>
      </x:c>
      <x:c r="C803" s="52" t="str">
        <x:v>OpenAI API Changelog</x:v>
      </x:c>
      <x:c r="D803" s="52" t="str">
        <x:v>safety_lifecycle</x:v>
      </x:c>
      <x:c r="E803" s="52" t="str">
        <x:v>Lifecycle</x:v>
      </x:c>
      <x:c r="F803" s="52" t="str">
        <x:v>retirement</x:v>
      </x:c>
      <x:c r="G803" s="52" t="str">
        <x:v>retired</x:v>
      </x:c>
      <x:c r="H803" s="63" t="str">
        <x:v>Deprecated DALL·E model snapshots and the Realtime API Beta.</x:v>
      </x:c>
      <x:c r="I803" s="63" t="str">
        <x:v>API 更新：Deprecated DALL·E 模型快照 and Realtime API Beta.</x:v>
      </x:c>
      <x:c r="J803" s="63" t="str">
        <x:v>Deprecated DALL·E model snapshots and the Realtime API Beta. DALL·E model snapshots dall-e-2 and dall-e-3 were deprecated and removed from the API on May 12, 2026. We recommend using gpt-image-2 , gpt-image-1 , or gpt-image-1-mini instead. The Realtime API Beta was deprecated and removed from the API on May 12, 2026. If you are still using the beta interface, migrate to the released Realtime API. See the migration guide and the full…</x:v>
      </x:c>
      <x:c r="K803" s="63" t="str">
        <x:v>API 更新：Deprecated DALL·E 模型快照 and Realtime API Beta。OpenAI 將此列為 2026-05-12 的更新；重點涉及棄用與遷移、即時語音與音訊、圖像與影片，模型、端點與參數名稱依官方英文保留。</x:v>
      </x:c>
      <x:c r="L803" s="52" t="str">
        <x:v>https://developers.openai.com/api/docs/changelog</x:v>
      </x:c>
      <x:c r="M803" s="52" t="str">
        <x:v>official_changelog</x:v>
      </x:c>
      <x:c r="N803" s="52" t="str">
        <x:v>complete</x:v>
      </x:c>
      <x:c r="O803" s="52" t="str">
        <x:v>high</x:v>
      </x:c>
      <x:c r="P803" s="60" t="n">
        <x:v>4</x:v>
      </x:c>
      <x:c r="Q803" s="52" t="str">
        <x:v>deprecation | migration | update</x:v>
      </x:c>
    </x:row>
    <x:row r="804" ht="38" customHeight="1">
      <x:c r="A804" s="57" t="n">
        <x:v>46154</x:v>
      </x:c>
      <x:c r="B804" s="52" t="str">
        <x:v>chatgpt-release-notes</x:v>
      </x:c>
      <x:c r="C804" s="52" t="str">
        <x:v>ChatGPT — Release Notes</x:v>
      </x:c>
      <x:c r="D804" s="52" t="str">
        <x:v>multimodal</x:v>
      </x:c>
      <x:c r="E804" s="52" t="str">
        <x:v>ChatGPT Images</x:v>
      </x:c>
      <x:c r="F804" s="52" t="str">
        <x:v>feature</x:v>
      </x:c>
      <x:c r="G804" s="52" t="str">
        <x:v>active</x:v>
      </x:c>
      <x:c r="H804" s="63" t="str">
        <x:v>More images in answers for Free users</x:v>
      </x:c>
      <x:c r="I804" s="63" t="str">
        <x:v>免費版使用者的答案中顯示更多圖片</x:v>
      </x:c>
      <x:c r="J804" s="63" t="str">
        <x:v>Free users in ChatGPT will now see more inline images from the web to help make visual topics easier to understand, including well-known people, places, and products. When visuals can add clarity, images may appear alongside relevant parts of an answer. You can click any image to view it at its original size and see source attribution. This is rolling out globally on web and iOS to Free users for responses using 5.5-Instant.</x:v>
      </x:c>
      <x:c r="K804" s="63" t="str">
        <x:v>ChatGPT 的免費版使用者現在會在答案中看到更多來自網路的內嵌圖片，這有助於讓視覺主題更容易理解，包括知名人物、地點與產品。當視覺內容能增加清晰度時，圖片可能會出現在答案的相關部分旁。您可以點擊任何圖片以原始大小檢視，並查看來源標註。</x:v>
      </x:c>
      <x:c r="L804" s="52" t="str">
        <x:v>https://help.openai.com/en/articles/6825453-chatgpt-release-notes</x:v>
      </x:c>
      <x:c r="M804" s="52" t="str">
        <x:v>help_center_release_notes</x:v>
      </x:c>
      <x:c r="N804" s="52" t="str">
        <x:v>complete</x:v>
      </x:c>
      <x:c r="O804" s="52" t="str">
        <x:v>high</x:v>
      </x:c>
      <x:c r="P804" s="60" t="n">
        <x:v>3</x:v>
      </x:c>
      <x:c r="Q804" s="52" t="str">
        <x:v>2026 | chatgpt-images | feature | multimodal</x:v>
      </x:c>
    </x:row>
    <x:row r="805" ht="38" customHeight="1">
      <x:c r="A805" s="57" t="n">
        <x:v>46156</x:v>
      </x:c>
      <x:c r="B805" s="52" t="str">
        <x:v>chatgpt-release-notes</x:v>
      </x:c>
      <x:c r="C805" s="52" t="str">
        <x:v>ChatGPT — Release Notes</x:v>
      </x:c>
      <x:c r="D805" s="52" t="str">
        <x:v>agents_research</x:v>
      </x:c>
      <x:c r="E805" s="52" t="str">
        <x:v>Codex</x:v>
      </x:c>
      <x:c r="F805" s="52" t="str">
        <x:v>feature</x:v>
      </x:c>
      <x:c r="G805" s="52" t="str">
        <x:v>active</x:v>
      </x:c>
      <x:c r="H805" s="63" t="str">
        <x:v>Codex remote access from the ChatGPT mobile app</x:v>
      </x:c>
      <x:c r="I805" s="63" t="str">
        <x:v>透過 ChatGPT 行動應用程式遠端存取 Codex</x:v>
      </x:c>
      <x:c r="J805" s="63" t="str">
        <x:v>Codex is now available in preview in the ChatGPT mobile app, so you can stay connected to active work from your phone while Codex continues running on the connected Mac host. From mobile, you can start or continue threads, answer questions, change direction, approve actions, review what Codex found, and move across connected hosts without stepping away from the work. That means you can keep an investigation moving, make a decision wh…</x:v>
      </x:c>
      <x:c r="K805" s="63" t="str">
        <x:v>Codex 現已在 ChatGPT 行動應用程式中提供預覽版，讓您在手機上也能保持與進行中的工作連結，同時 Codex 會持續在已連結的 Mac 主機上執行。</x:v>
      </x:c>
      <x:c r="L805" s="52" t="str">
        <x:v>https://help.openai.com/en/articles/6825453-chatgpt-release-notes</x:v>
      </x:c>
      <x:c r="M805" s="52" t="str">
        <x:v>help_center_release_notes</x:v>
      </x:c>
      <x:c r="N805" s="52" t="str">
        <x:v>complete</x:v>
      </x:c>
      <x:c r="O805" s="52" t="str">
        <x:v>high</x:v>
      </x:c>
      <x:c r="P805" s="60" t="n">
        <x:v>3</x:v>
      </x:c>
      <x:c r="Q805" s="52" t="str">
        <x:v>2026 | agents-research | codex | feature</x:v>
      </x:c>
    </x:row>
    <x:row r="806" ht="38" customHeight="1">
      <x:c r="A806" s="57" t="n">
        <x:v>46156</x:v>
      </x:c>
      <x:c r="B806" s="52" t="str">
        <x:v>chatgpt-release-notes</x:v>
      </x:c>
      <x:c r="C806" s="52" t="str">
        <x:v>ChatGPT — Release Notes</x:v>
      </x:c>
      <x:c r="D806" s="52" t="str">
        <x:v>memory_knowledge</x:v>
      </x:c>
      <x:c r="E806" s="52" t="str">
        <x:v>ChatGPT</x:v>
      </x:c>
      <x:c r="F806" s="52" t="str">
        <x:v>availability</x:v>
      </x:c>
      <x:c r="G806" s="52" t="str">
        <x:v>active</x:v>
      </x:c>
      <x:c r="H806" s="63" t="str">
        <x:v>File library expands to Free and Go users, with storage management</x:v>
      </x:c>
      <x:c r="I806" s="63" t="str">
        <x:v>檔案庫擴展至 Free 與 Go 使用者，並新增儲存空間管理功能</x:v>
      </x:c>
      <x:c r="J806" s="63" t="str">
        <x:v>File library is expanding to Free and Go users, including to users in the European Economic Area (EEA) making it easier to find, reuse, and build on files you upload or create in ChatGPT. You can add recent files from the composer, browse saved files in Library, and ask ChatGPT about files you’ve used before, like “What should I know about the document I uploaded yesterday?”We’re also introducing storage management across plans. Stor…</x:v>
      </x:c>
      <x:c r="K806" s="63" t="str">
        <x:v>檔案庫功能擴展至 Free 與 Go 使用者（包含歐洲經濟區 (EEA) 的使用者），讓您更輕鬆地尋找、重複使用及建立您在 ChatGPT 中上傳或產生的檔案。</x:v>
      </x:c>
      <x:c r="L806" s="52" t="str">
        <x:v>https://help.openai.com/en/articles/6825453-chatgpt-release-notes</x:v>
      </x:c>
      <x:c r="M806" s="52" t="str">
        <x:v>help_center_release_notes</x:v>
      </x:c>
      <x:c r="N806" s="52" t="str">
        <x:v>complete</x:v>
      </x:c>
      <x:c r="O806" s="52" t="str">
        <x:v>high</x:v>
      </x:c>
      <x:c r="P806" s="60" t="n">
        <x:v>3</x:v>
      </x:c>
      <x:c r="Q806" s="52" t="str">
        <x:v>2026 | availability | files | memory-knowledge</x:v>
      </x:c>
    </x:row>
    <x:row r="807" ht="38" customHeight="1">
      <x:c r="A807" s="57" t="n">
        <x:v>46156</x:v>
      </x:c>
      <x:c r="B807" s="52" t="str">
        <x:v>codex-changelog</x:v>
      </x:c>
      <x:c r="C807" s="52" t="str">
        <x:v>Codex Changelog</x:v>
      </x:c>
      <x:c r="D807" s="52" t="str">
        <x:v>agents_research</x:v>
      </x:c>
      <x:c r="E807" s="52" t="str">
        <x:v>Codex</x:v>
      </x:c>
      <x:c r="F807" s="52" t="str">
        <x:v>launch</x:v>
      </x:c>
      <x:c r="G807" s="52" t="str">
        <x:v>active</x:v>
      </x:c>
      <x:c r="H807" s="63" t="str">
        <x:v>Work with Codex from anywhere</x:v>
      </x:c>
      <x:c r="I807" s="63" t="str">
        <x:v>推出：Codex</x:v>
      </x:c>
      <x:c r="J807" s="63" t="str">
        <x:v>You can now use Codex from the ChatGPT mobile app by connecting it to a Mac running the Codex app. Codex runs from the connected host, so the same projects, files, credentials, plugins, skills, and configuration are available from your phone. See Remote connections for mobile setup, choosing a host, what comes from the connected machine, and SSH hosts. This launch also includes Hooks general availability, Codex access tokens for trus…</x:v>
      </x:c>
      <x:c r="K807" s="63" t="str">
        <x:v>Codex Changelog 在 2026-05-14 記錄了Codex 編碼代理、企業管理控制相關更新；完整版本與修正內容見官方英文摘要。</x:v>
      </x:c>
      <x:c r="L807" s="52" t="str">
        <x:v>https://developers.openai.com/codex/changelog/</x:v>
      </x:c>
      <x:c r="M807" s="52" t="str">
        <x:v>developer_changelog</x:v>
      </x:c>
      <x:c r="N807" s="52" t="str">
        <x:v>complete</x:v>
      </x:c>
      <x:c r="O807" s="52" t="str">
        <x:v>high</x:v>
      </x:c>
      <x:c r="P807" s="60" t="n">
        <x:v>3</x:v>
      </x:c>
      <x:c r="Q807" s="52" t="str">
        <x:v>codex | release-notes</x:v>
      </x:c>
    </x:row>
    <x:row r="808" ht="38" customHeight="1">
      <x:c r="A808" s="57" t="n">
        <x:v>46157</x:v>
      </x:c>
      <x:c r="B808" s="52" t="str">
        <x:v>chatgpt-release-notes</x:v>
      </x:c>
      <x:c r="C808" s="52" t="str">
        <x:v>ChatGPT — Release Notes</x:v>
      </x:c>
      <x:c r="D808" s="52" t="str">
        <x:v>search_commerce</x:v>
      </x:c>
      <x:c r="E808" s="52" t="str">
        <x:v>Personal Finance</x:v>
      </x:c>
      <x:c r="F808" s="52" t="str">
        <x:v>launch</x:v>
      </x:c>
      <x:c r="G808" s="52" t="str">
        <x:v>active</x:v>
      </x:c>
      <x:c r="H808" s="63" t="str">
        <x:v>Personal finances in ChatGPT</x:v>
      </x:c>
      <x:c r="I808" s="63" t="str">
        <x:v>ChatGPT 的個人理財</x:v>
      </x:c>
      <x:c r="J808" s="63" t="str">
        <x:v>We’re starting to roll out a new personal finance experience in ChatGPT. Pro users in the United States can securely connect supported financial accounts, see a dashboard of where their money is going, and ask questions grounded in their financial context. Available on web and iOS, Finances lets you view spending, bills, subscriptions, net worth, and investment information in one place. You can ask questions directly in ChatGPT or us…</x:v>
      </x:c>
      <x:c r="K808" s="63" t="str">
        <x:v>我們開始在 ChatGPT 中推出全新的個人理財體驗。美國的 Pro 使用者可以安全地連結支援的財務帳戶，查看資金流向儀表板，並根據其財務背景提問。</x:v>
      </x:c>
      <x:c r="L808" s="52" t="str">
        <x:v>https://help.openai.com/en/articles/6825453-chatgpt-release-notes</x:v>
      </x:c>
      <x:c r="M808" s="52" t="str">
        <x:v>help_center_release_notes</x:v>
      </x:c>
      <x:c r="N808" s="52" t="str">
        <x:v>complete</x:v>
      </x:c>
      <x:c r="O808" s="52" t="str">
        <x:v>high</x:v>
      </x:c>
      <x:c r="P808" s="60" t="n">
        <x:v>4</x:v>
      </x:c>
      <x:c r="Q808" s="52" t="str">
        <x:v>2026 | launch | personal-finance | search-commerce</x:v>
      </x:c>
    </x:row>
    <x:row r="809" ht="38" customHeight="1">
      <x:c r="A809" s="57" t="n">
        <x:v>46160</x:v>
      </x:c>
      <x:c r="B809" s="52" t="str">
        <x:v>codex-changelog</x:v>
      </x:c>
      <x:c r="C809" s="52" t="str">
        <x:v>Codex Changelog</x:v>
      </x:c>
      <x:c r="D809" s="52" t="str">
        <x:v>clients_surfaces</x:v>
      </x:c>
      <x:c r="E809" s="52" t="str">
        <x:v>Codex Mobile</x:v>
      </x:c>
      <x:c r="F809" s="52" t="str">
        <x:v>model_update</x:v>
      </x:c>
      <x:c r="G809" s="52" t="str">
        <x:v>active</x:v>
      </x:c>
      <x:c r="H809" s="63" t="str">
        <x:v>ChatGPT for iOS 1.2026.132</x:v>
      </x:c>
      <x:c r="I809" s="63" t="str">
        <x:v>ChatGPT for iOS 1.2026.132 更新</x:v>
      </x:c>
      <x:c r="J809" s="63" t="str">
        <x:v>New features Added support for opening completed Codex tasks directly from iOS notifications. Added the ability to open changed files directly while reviewing a task. Improvements and bug fixes Improved task resume, reconnection, and foreground reliability. Improved task progress updates, code review, and message composition.</x:v>
      </x:c>
      <x:c r="K809" s="63" t="str">
        <x:v>Codex Changelog 在 2026-05-18 記錄了Codex 編碼代理、可靠性與效能修正相關更新；完整版本與修正內容見官方英文摘要。</x:v>
      </x:c>
      <x:c r="L809" s="52" t="str">
        <x:v>https://developers.openai.com/codex/changelog/</x:v>
      </x:c>
      <x:c r="M809" s="52" t="str">
        <x:v>developer_changelog</x:v>
      </x:c>
      <x:c r="N809" s="52" t="str">
        <x:v>complete</x:v>
      </x:c>
      <x:c r="O809" s="52" t="str">
        <x:v>high</x:v>
      </x:c>
      <x:c r="P809" s="60" t="n">
        <x:v>2</x:v>
      </x:c>
      <x:c r="Q809" s="52" t="str">
        <x:v>codex | mobile | release-notes</x:v>
      </x:c>
    </x:row>
    <x:row r="810" ht="38" customHeight="1">
      <x:c r="A810" s="57" t="n">
        <x:v>46161</x:v>
      </x:c>
      <x:c r="B810" s="52" t="str">
        <x:v>api-changelog</x:v>
      </x:c>
      <x:c r="C810" s="52" t="str">
        <x:v>OpenAI API Changelog</x:v>
      </x:c>
      <x:c r="D810" s="52" t="str">
        <x:v>enterprise_vertical</x:v>
      </x:c>
      <x:c r="E810" s="52" t="str">
        <x:v>Codex</x:v>
      </x:c>
      <x:c r="F810" s="52" t="str">
        <x:v>launch</x:v>
      </x:c>
      <x:c r="G810" s="52" t="str">
        <x:v>active</x:v>
      </x:c>
      <x:c r="H810" s="63" t="str">
        <x:v>Released Secure MCP Tunnel for enterprise customers.</x:v>
      </x:c>
      <x:c r="I810" s="63" t="str">
        <x:v>發布Secure MCP Tunnel for enterprise customers.</x:v>
      </x:c>
      <x:c r="J810" s="63" t="str">
        <x:v>Released Secure MCP Tunnel for enterprise customers. Secure MCP Tunnel lets supported OpenAI products including ChatGPT web, Codex, Responses API, and AgentKit connect to private or on-prem MCP servers through a customer-hosted tunnel-client without exposing those servers to the public internet.</x:v>
      </x:c>
      <x:c r="K810" s="63" t="str">
        <x:v>OpenAI 於 2026-05-19 為 Codex 推出新產品或能力；此節點依官方發布記錄整理，完整能力、適用方案與限制請見來源。</x:v>
      </x:c>
      <x:c r="L810" s="52" t="str">
        <x:v>https://platform.openai.com/docs/changelog</x:v>
      </x:c>
      <x:c r="M810" s="52" t="str">
        <x:v>developer_changelog</x:v>
      </x:c>
      <x:c r="N810" s="52" t="str">
        <x:v>parsed</x:v>
      </x:c>
      <x:c r="O810" s="52" t="str">
        <x:v>high</x:v>
      </x:c>
      <x:c r="P810" s="60" t="n">
        <x:v>0</x:v>
      </x:c>
      <x:c r="Q810" s="52" t="str"/>
    </x:row>
    <x:row r="811" ht="38" customHeight="1">
      <x:c r="A811" s="57" t="n">
        <x:v>46161</x:v>
      </x:c>
      <x:c r="B811" s="52" t="str">
        <x:v>lane-openai-api-changelog</x:v>
      </x:c>
      <x:c r="C811" s="52" t="str">
        <x:v>OpenAI API Changelog</x:v>
      </x:c>
      <x:c r="D811" s="52" t="str">
        <x:v>agents_research</x:v>
      </x:c>
      <x:c r="E811" s="52" t="str">
        <x:v>Codex</x:v>
      </x:c>
      <x:c r="F811" s="52" t="str">
        <x:v>launch</x:v>
      </x:c>
      <x:c r="G811" s="52" t="str">
        <x:v>active</x:v>
      </x:c>
      <x:c r="H811" s="63" t="str">
        <x:v>Released Secure MCP Tunnel for enterprise customers.</x:v>
      </x:c>
      <x:c r="I811" s="63" t="str">
        <x:v>推出企業版 Secure MCP Tunnel</x:v>
      </x:c>
      <x:c r="J811" s="63" t="str">
        <x:v>Released Secure MCP Tunnel for enterprise customers. Secure MCP Tunnel lets supported OpenAI products including ChatGPT web, Codex, Responses API, and AgentKit connect to private or on-prem MCP servers through a customer-hosted tunnel-client without exposing those servers to the public internet.</x:v>
      </x:c>
      <x:c r="K811" s="63" t="str">
        <x:v>推出企業版 Secure MCP Tunnel。OpenAI 將此列為 2026-05-19 的功能；重點涉及Codex 編碼代理、代理與工具調用，模型、端點與參數名稱依官方英文保留。</x:v>
      </x:c>
      <x:c r="L811" s="52" t="str">
        <x:v>https://developers.openai.com/api/docs/changelog</x:v>
      </x:c>
      <x:c r="M811" s="52" t="str">
        <x:v>official_changelog</x:v>
      </x:c>
      <x:c r="N811" s="52" t="str">
        <x:v>complete</x:v>
      </x:c>
      <x:c r="O811" s="52" t="str">
        <x:v>high</x:v>
      </x:c>
      <x:c r="P811" s="60" t="n">
        <x:v>3</x:v>
      </x:c>
      <x:c r="Q811" s="52" t="str">
        <x:v>codex | coding-agent | feature</x:v>
      </x:c>
    </x:row>
    <x:row r="812" ht="38" customHeight="1">
      <x:c r="A812" s="57" t="n">
        <x:v>46161</x:v>
      </x:c>
      <x:c r="B812" s="52" t="str">
        <x:v>api-changelog</x:v>
      </x:c>
      <x:c r="C812" s="52" t="str">
        <x:v>OpenAI API Changelog</x:v>
      </x:c>
      <x:c r="D812" s="52" t="str">
        <x:v>safety_lifecycle</x:v>
      </x:c>
      <x:c r="E812" s="52" t="str">
        <x:v>ChatGPT Projects</x:v>
      </x:c>
      <x:c r="F812" s="52" t="str">
        <x:v>safety</x:v>
      </x:c>
      <x:c r="G812" s="52" t="str">
        <x:v>active</x:v>
      </x:c>
      <x:c r="H812" s="63" t="str">
        <x:v>You can now manage multiple IP allowlists and apply each one at the project level or across the whole organization.</x:v>
      </x:c>
      <x:c r="I812" s="63" t="str">
        <x:v>安全更新：ChatGPT Projects</x:v>
      </x:c>
      <x:c r="J812" s="63" t="str">
        <x:v>You can now manage multiple IP allowlists and apply each one at the project level or across the whole organization. To configure them, go to Settings Security IP allowlist.</x:v>
      </x:c>
      <x:c r="K812" s="63" t="str">
        <x:v>OpenAI 於 2026-05-19 為 ChatGPT Projects 更新安全與治理機制；此節點依官方發布記錄整理，完整能力、適用方案與限制請見來源。</x:v>
      </x:c>
      <x:c r="L812" s="52" t="str">
        <x:v>https://platform.openai.com/docs/changelog</x:v>
      </x:c>
      <x:c r="M812" s="52" t="str">
        <x:v>developer_changelog</x:v>
      </x:c>
      <x:c r="N812" s="52" t="str">
        <x:v>parsed</x:v>
      </x:c>
      <x:c r="O812" s="52" t="str">
        <x:v>high</x:v>
      </x:c>
      <x:c r="P812" s="60" t="n">
        <x:v>0</x:v>
      </x:c>
      <x:c r="Q812" s="52" t="str"/>
    </x:row>
    <x:row r="813" ht="38" customHeight="1">
      <x:c r="A813" s="57" t="n">
        <x:v>46161</x:v>
      </x:c>
      <x:c r="B813" s="52" t="str">
        <x:v>lane-openai-api-changelog</x:v>
      </x:c>
      <x:c r="C813" s="52" t="str">
        <x:v>OpenAI API Changelog</x:v>
      </x:c>
      <x:c r="D813" s="52" t="str">
        <x:v>safety_lifecycle</x:v>
      </x:c>
      <x:c r="E813" s="52" t="str">
        <x:v>Safety &amp; Security</x:v>
      </x:c>
      <x:c r="F813" s="52" t="str">
        <x:v>safety</x:v>
      </x:c>
      <x:c r="G813" s="52" t="str">
        <x:v>active</x:v>
      </x:c>
      <x:c r="H813" s="63" t="str">
        <x:v>You can now manage multiple IP allowlists and apply each one at the project level or across the whole organization.</x:v>
      </x:c>
      <x:c r="I813" s="63" t="str">
        <x:v>安全更新：Safety &amp; Security</x:v>
      </x:c>
      <x:c r="J813" s="63" t="str">
        <x:v>You can now manage multiple IP allowlists and apply each one at the project level or across the whole organization. To configure them, go to Settings Security IP allowlist .</x:v>
      </x:c>
      <x:c r="K813" s="63" t="str">
        <x:v>API 更新：You can now manage multiple IP allowlists and apply each one at project level or across whole organization。OpenAI 將此列為 2026-05-19 的更新；重點涉及安全與治理、企業管理控制，模型、端點與參數名稱依官方英文保留。</x:v>
      </x:c>
      <x:c r="L813" s="52" t="str">
        <x:v>https://developers.openai.com/api/docs/changelog</x:v>
      </x:c>
      <x:c r="M813" s="52" t="str">
        <x:v>official_changelog</x:v>
      </x:c>
      <x:c r="N813" s="52" t="str">
        <x:v>complete</x:v>
      </x:c>
      <x:c r="O813" s="52" t="str">
        <x:v>high</x:v>
      </x:c>
      <x:c r="P813" s="60" t="n">
        <x:v>2</x:v>
      </x:c>
      <x:c r="Q813" s="52" t="str">
        <x:v>safety | security | update</x:v>
      </x:c>
    </x:row>
    <x:row r="814" ht="38" customHeight="1">
      <x:c r="A814" s="57" t="n">
        <x:v>46163</x:v>
      </x:c>
      <x:c r="B814" s="52" t="str">
        <x:v>chatgpt-release-notes</x:v>
      </x:c>
      <x:c r="C814" s="52" t="str">
        <x:v>ChatGPT — Release Notes</x:v>
      </x:c>
      <x:c r="D814" s="52" t="str">
        <x:v>agents_research</x:v>
      </x:c>
      <x:c r="E814" s="52" t="str">
        <x:v>Codex</x:v>
      </x:c>
      <x:c r="F814" s="52" t="str">
        <x:v>feature</x:v>
      </x:c>
      <x:c r="G814" s="52" t="str">
        <x:v>active</x:v>
      </x:c>
      <x:c r="H814" s="63" t="str">
        <x:v>Appshots in Codex for macOS</x:v>
      </x:c>
      <x:c r="I814" s="63" t="str">
        <x:v>macOS 版 Codex 的 Appshots 功能</x:v>
      </x:c>
      <x:c r="J814" s="63" t="str">
        <x:v>Appshots let macOS users attach an app window to a Codex task with a screenshot and available text so Codex can understand the visible work context.</x:v>
      </x:c>
      <x:c r="K814" s="63" t="str">
        <x:v>Appshots 讓 macOS 使用者能透過螢幕截圖與可用文字，將應用程式視窗附加至 Codex 任務中，以便 Codex 理解可見的工作背景。</x:v>
      </x:c>
      <x:c r="L814" s="52" t="str">
        <x:v>https://help.openai.com/en/articles/6825453-chatgpt-release-notes</x:v>
      </x:c>
      <x:c r="M814" s="52" t="str">
        <x:v>help_center_release_notes</x:v>
      </x:c>
      <x:c r="N814" s="52" t="str">
        <x:v>complete</x:v>
      </x:c>
      <x:c r="O814" s="52" t="str">
        <x:v>high</x:v>
      </x:c>
      <x:c r="P814" s="60" t="n">
        <x:v>3</x:v>
      </x:c>
      <x:c r="Q814" s="52" t="str">
        <x:v>2026 | agents-research | codex | feature</x:v>
      </x:c>
    </x:row>
    <x:row r="815" ht="38" customHeight="1">
      <x:c r="A815" s="57" t="n">
        <x:v>46163</x:v>
      </x:c>
      <x:c r="B815" s="52" t="str">
        <x:v>codex-changelog</x:v>
      </x:c>
      <x:c r="C815" s="52" t="str">
        <x:v>Codex Changelog</x:v>
      </x:c>
      <x:c r="D815" s="52" t="str">
        <x:v>agents_research</x:v>
      </x:c>
      <x:c r="E815" s="52" t="str">
        <x:v>Codex</x:v>
      </x:c>
      <x:c r="F815" s="52" t="str">
        <x:v>launch</x:v>
      </x:c>
      <x:c r="G815" s="52" t="str">
        <x:v>active</x:v>
      </x:c>
      <x:c r="H815" s="63" t="str">
        <x:v>Appshots, goal mode, and more 26.519</x:v>
      </x:c>
      <x:c r="I815" s="63" t="str">
        <x:v>Appshots, goal mode, and more 26.519 更新</x:v>
      </x:c>
      <x:c r="J815" s="63" t="str">
        <x:v>Appshots are now available in the Codex app on macOS. Press both Command keys to send the frontmost app window to Codex with a screenshot and available text, so Codex can work from context in another app without you copying, pasting, or describing it manually. This launch also includes: Goal mode is no longer an experimental feature and is available in the Codex app, IDE extension, and CLI. With Goal mode, you can have Codex drive to…</x:v>
      </x:c>
      <x:c r="K815" s="63" t="str">
        <x:v>OpenAI 於 2026-05-21 為 Codex 推出新產品或能力；此節點依官方發布記錄整理，完整能力、適用方案與限制請見來源。</x:v>
      </x:c>
      <x:c r="L815" s="52" t="str">
        <x:v>https://developers.openai.com/codex/changelog/</x:v>
      </x:c>
      <x:c r="M815" s="52" t="str">
        <x:v>developer_changelog</x:v>
      </x:c>
      <x:c r="N815" s="52" t="str">
        <x:v>complete</x:v>
      </x:c>
      <x:c r="O815" s="52" t="str">
        <x:v>high</x:v>
      </x:c>
      <x:c r="P815" s="60" t="n">
        <x:v>3</x:v>
      </x:c>
      <x:c r="Q815" s="52" t="str">
        <x:v>codex | release-notes</x:v>
      </x:c>
    </x:row>
    <x:row r="816" ht="38" customHeight="1">
      <x:c r="A816" s="57" t="n">
        <x:v>46163</x:v>
      </x:c>
      <x:c r="B816" s="52" t="str">
        <x:v>chatgpt-release-notes</x:v>
      </x:c>
      <x:c r="C816" s="52" t="str">
        <x:v>ChatGPT — Release Notes</x:v>
      </x:c>
      <x:c r="D816" s="52" t="str">
        <x:v>agents_research</x:v>
      </x:c>
      <x:c r="E816" s="52" t="str">
        <x:v>Codex</x:v>
      </x:c>
      <x:c r="F816" s="52" t="str">
        <x:v>feature</x:v>
      </x:c>
      <x:c r="G816" s="52" t="str">
        <x:v>active</x:v>
      </x:c>
      <x:c r="H816" s="63" t="str">
        <x:v>Codex Browser improvements</x:v>
      </x:c>
      <x:c r="I816" s="63" t="str">
        <x:v>Codex 瀏覽器功能改進</x:v>
      </x:c>
      <x:c r="J816" s="63" t="str">
        <x:v>Codex Browser added advanced annotations, faster asset extraction, read-only JavaScript context, improved tab grouping, less extension clutter, and reliability fixes.</x:v>
      </x:c>
      <x:c r="K816" s="63" t="str">
        <x:v>Codex 瀏覽器新增了進階註解、更快的資產提取、唯讀 JavaScript 背景、改進的標籤頁分組、減少擴充功能雜亂，並修復了穩定性問題。</x:v>
      </x:c>
      <x:c r="L816" s="52" t="str">
        <x:v>https://help.openai.com/en/articles/6825453-chatgpt-release-notes</x:v>
      </x:c>
      <x:c r="M816" s="52" t="str">
        <x:v>help_center_release_notes</x:v>
      </x:c>
      <x:c r="N816" s="52" t="str">
        <x:v>complete</x:v>
      </x:c>
      <x:c r="O816" s="52" t="str">
        <x:v>high</x:v>
      </x:c>
      <x:c r="P816" s="60" t="n">
        <x:v>3</x:v>
      </x:c>
      <x:c r="Q816" s="52" t="str">
        <x:v>2026 | agents-research | codex | feature</x:v>
      </x:c>
    </x:row>
    <x:row r="817" ht="38" customHeight="1">
      <x:c r="A817" s="57" t="n">
        <x:v>46163</x:v>
      </x:c>
      <x:c r="B817" s="52" t="str">
        <x:v>chatgpt-release-notes</x:v>
      </x:c>
      <x:c r="C817" s="52" t="str">
        <x:v>ChatGPT — Release Notes</x:v>
      </x:c>
      <x:c r="D817" s="52" t="str">
        <x:v>clients_surfaces</x:v>
      </x:c>
      <x:c r="E817" s="52" t="str">
        <x:v>Codex</x:v>
      </x:c>
      <x:c r="F817" s="52" t="str">
        <x:v>availability</x:v>
      </x:c>
      <x:c r="G817" s="52" t="str">
        <x:v>active</x:v>
      </x:c>
      <x:c r="H817" s="63" t="str">
        <x:v>Codex updates: richer context, goal mode, browser improvements, and remote locked use</x:v>
      </x:c>
      <x:c r="I817" s="63" t="str">
        <x:v>開放使用：Codex updates: richer context, goal mode, browser improvements, and remote locked use</x:v>
      </x:c>
      <x:c r="J817" s="63" t="str">
        <x:v>Codex now has more ways to understand your work context and keep longer tasks moving: Appshots in the Codex app on macOS let you attach an app window to a Codex thread with a hotkey, including a screenshot and available text, so Codex can understand what you are looking at without a long setup prompt.</x:v>
      </x:c>
      <x:c r="K817" s="63" t="str">
        <x:v>OpenAI 於 2026-05-21 為 Codex 擴大開放範圍；此節點依官方發布記錄整理，完整能力、適用方案與限制請見來源。</x:v>
      </x:c>
      <x:c r="L817" s="52" t="str">
        <x:v>https://help.openai.com/en/articles/6825453-chatgpt-release-notes</x:v>
      </x:c>
      <x:c r="M817" s="52" t="str">
        <x:v>help_center_release_notes</x:v>
      </x:c>
      <x:c r="N817" s="52" t="str">
        <x:v>parsed</x:v>
      </x:c>
      <x:c r="O817" s="52" t="str">
        <x:v>high</x:v>
      </x:c>
      <x:c r="P817" s="60" t="n">
        <x:v>0</x:v>
      </x:c>
      <x:c r="Q817" s="52" t="str"/>
    </x:row>
    <x:row r="818" ht="38" customHeight="1">
      <x:c r="A818" s="57" t="n">
        <x:v>46163</x:v>
      </x:c>
      <x:c r="B818" s="52" t="str">
        <x:v>chatgpt-release-notes</x:v>
      </x:c>
      <x:c r="C818" s="52" t="str">
        <x:v>ChatGPT — Release Notes</x:v>
      </x:c>
      <x:c r="D818" s="52" t="str">
        <x:v>agents_research</x:v>
      </x:c>
      <x:c r="E818" s="52" t="str">
        <x:v>Codex</x:v>
      </x:c>
      <x:c r="F818" s="52" t="str">
        <x:v>availability</x:v>
      </x:c>
      <x:c r="G818" s="52" t="str">
        <x:v>general_availability</x:v>
      </x:c>
      <x:c r="H818" s="63" t="str">
        <x:v>Goal mode is generally available in Codex</x:v>
      </x:c>
      <x:c r="I818" s="63" t="str">
        <x:v>目標模式在 Codex 中全面開放</x:v>
      </x:c>
      <x:c r="J818" s="63" t="str">
        <x:v>Goal mode became generally available in the Codex app, IDE extension, and CLI for outcome-driven work with explicit success criteria.</x:v>
      </x:c>
      <x:c r="K818" s="63" t="str">
        <x:v>目標模式現已在 Codex 應用程式、IDE 擴充功能及 CLI 中全面開放，用於執行具有明確成功標準且以成果為導向的工作。</x:v>
      </x:c>
      <x:c r="L818" s="52" t="str">
        <x:v>https://help.openai.com/en/articles/6825453-chatgpt-release-notes</x:v>
      </x:c>
      <x:c r="M818" s="52" t="str">
        <x:v>help_center_release_notes</x:v>
      </x:c>
      <x:c r="N818" s="52" t="str">
        <x:v>complete</x:v>
      </x:c>
      <x:c r="O818" s="52" t="str">
        <x:v>high</x:v>
      </x:c>
      <x:c r="P818" s="60" t="n">
        <x:v>3</x:v>
      </x:c>
      <x:c r="Q818" s="52" t="str">
        <x:v>2026 | agents-research | availability | codex</x:v>
      </x:c>
    </x:row>
    <x:row r="819" ht="38" customHeight="1">
      <x:c r="A819" s="57" t="n">
        <x:v>46163</x:v>
      </x:c>
      <x:c r="B819" s="52" t="str">
        <x:v>chatgpt-release-notes</x:v>
      </x:c>
      <x:c r="C819" s="52" t="str">
        <x:v>ChatGPT — Release Notes</x:v>
      </x:c>
      <x:c r="D819" s="52" t="str">
        <x:v>agents_research</x:v>
      </x:c>
      <x:c r="E819" s="52" t="str">
        <x:v>Codex</x:v>
      </x:c>
      <x:c r="F819" s="52" t="str">
        <x:v>feature</x:v>
      </x:c>
      <x:c r="G819" s="52" t="str">
        <x:v>active</x:v>
      </x:c>
      <x:c r="H819" s="63" t="str">
        <x:v>In-app browser annotations in Codex</x:v>
      </x:c>
      <x:c r="I819" s="63" t="str">
        <x:v>Codex 的應用程式內瀏覽器註解</x:v>
      </x:c>
      <x:c r="J819" s="63" t="str">
        <x:v>Codex added more precise in-app browser annotations for styling feedback on browser-based and frontend work.</x:v>
      </x:c>
      <x:c r="K819" s="63" t="str">
        <x:v>Codex 新增了更精確的應用程式內瀏覽器註解，以針對基於瀏覽器與前端的工作提供樣式反饋。</x:v>
      </x:c>
      <x:c r="L819" s="52" t="str">
        <x:v>https://help.openai.com/en/articles/6825453-chatgpt-release-notes</x:v>
      </x:c>
      <x:c r="M819" s="52" t="str">
        <x:v>help_center_release_notes</x:v>
      </x:c>
      <x:c r="N819" s="52" t="str">
        <x:v>complete</x:v>
      </x:c>
      <x:c r="O819" s="52" t="str">
        <x:v>high</x:v>
      </x:c>
      <x:c r="P819" s="60" t="n">
        <x:v>3</x:v>
      </x:c>
      <x:c r="Q819" s="52" t="str">
        <x:v>2026 | agents-research | codex | feature</x:v>
      </x:c>
    </x:row>
    <x:row r="820" ht="38" customHeight="1">
      <x:c r="A820" s="57" t="n">
        <x:v>46163</x:v>
      </x:c>
      <x:c r="B820" s="52" t="str">
        <x:v>chatgpt-release-notes</x:v>
      </x:c>
      <x:c r="C820" s="52" t="str">
        <x:v>ChatGPT — Release Notes</x:v>
      </x:c>
      <x:c r="D820" s="52" t="str">
        <x:v>agents_research</x:v>
      </x:c>
      <x:c r="E820" s="52" t="str">
        <x:v>Codex</x:v>
      </x:c>
      <x:c r="F820" s="52" t="str">
        <x:v>feature</x:v>
      </x:c>
      <x:c r="G820" s="52" t="str">
        <x:v>active</x:v>
      </x:c>
      <x:c r="H820" s="63" t="str">
        <x:v>Locked computer use for Codex</x:v>
      </x:c>
      <x:c r="I820" s="63" t="str">
        <x:v>Codex 鎖定電腦使用功能</x:v>
      </x:c>
      <x:c r="J820" s="63" t="str">
        <x:v>Eligible macOS Computer Use users can keep Codex working remotely after the Mac locks, within existing regional constraints.</x:v>
      </x:c>
      <x:c r="K820" s="63" t="str">
        <x:v>符合資格的 macOS Computer Use 使用者可以在 Mac 鎖定後，於現有區域限制內繼續遠端執行 Codex 工作。</x:v>
      </x:c>
      <x:c r="L820" s="52" t="str">
        <x:v>https://help.openai.com/en/articles/6825453-chatgpt-release-notes</x:v>
      </x:c>
      <x:c r="M820" s="52" t="str">
        <x:v>help_center_release_notes</x:v>
      </x:c>
      <x:c r="N820" s="52" t="str">
        <x:v>complete</x:v>
      </x:c>
      <x:c r="O820" s="52" t="str">
        <x:v>high</x:v>
      </x:c>
      <x:c r="P820" s="60" t="n">
        <x:v>3</x:v>
      </x:c>
      <x:c r="Q820" s="52" t="str">
        <x:v>2026 | agents-research | codex | feature</x:v>
      </x:c>
    </x:row>
    <x:row r="821" ht="38" customHeight="1">
      <x:c r="A821" s="57" t="n">
        <x:v>46164</x:v>
      </x:c>
      <x:c r="B821" s="52" t="str">
        <x:v>enterprise-edu-release-notes</x:v>
      </x:c>
      <x:c r="C821" s="52" t="str">
        <x:v>ChatGPT Enterprise &amp; Edu — Release Notes</x:v>
      </x:c>
      <x:c r="D821" s="52" t="str">
        <x:v>agents_research</x:v>
      </x:c>
      <x:c r="E821" s="52" t="str">
        <x:v>Workspace Agents</x:v>
      </x:c>
      <x:c r="F821" s="52" t="str">
        <x:v>availability</x:v>
      </x:c>
      <x:c r="G821" s="52" t="str">
        <x:v>general_availability</x:v>
      </x:c>
      <x:c r="H821" s="63" t="str">
        <x:v>Workspace agents generally available</x:v>
      </x:c>
      <x:c r="I821" s="63" t="str">
        <x:v>Workspace Agents 正式 GA</x:v>
      </x:c>
      <x:c r="J821" s="63" t="str">
        <x:v>Workspace agents reached general availability for ChatGPT Business, Enterprise and Edu with action safeguards, admin activity visibility and shared workflows.</x:v>
      </x:c>
      <x:c r="K821" s="63" t="str">
        <x:v>Workspace Agents 向 ChatGPT Business、Enterprise 與 Edu 正式 GA，加入動作防護、管理員活動可視性與可分享流程。</x:v>
      </x:c>
      <x:c r="L821" s="52" t="str">
        <x:v>https://help.openai.com/en/articles/10128477-chatgpt-enterprise-edu-release-notes</x:v>
      </x:c>
      <x:c r="M821" s="52" t="str">
        <x:v>help_center_release_notes</x:v>
      </x:c>
      <x:c r="N821" s="52" t="str">
        <x:v>parsed</x:v>
      </x:c>
      <x:c r="O821" s="52" t="str">
        <x:v>high</x:v>
      </x:c>
      <x:c r="P821" s="60" t="n">
        <x:v>5</x:v>
      </x:c>
      <x:c r="Q821" s="52" t="str">
        <x:v>enterprise | ga | workspace-agents</x:v>
      </x:c>
    </x:row>
    <x:row r="822" ht="38" customHeight="1">
      <x:c r="A822" s="57" t="n">
        <x:v>46167</x:v>
      </x:c>
      <x:c r="B822" s="52" t="str">
        <x:v>codex-changelog</x:v>
      </x:c>
      <x:c r="C822" s="52" t="str">
        <x:v>Codex Changelog</x:v>
      </x:c>
      <x:c r="D822" s="52" t="str">
        <x:v>clients_surfaces</x:v>
      </x:c>
      <x:c r="E822" s="52" t="str">
        <x:v>Codex Mobile</x:v>
      </x:c>
      <x:c r="F822" s="52" t="str">
        <x:v>launch</x:v>
      </x:c>
      <x:c r="G822" s="52" t="str">
        <x:v>active</x:v>
      </x:c>
      <x:c r="H822" s="63" t="str">
        <x:v>ChatGPT for iOS 1.2026.139</x:v>
      </x:c>
      <x:c r="I822" s="63" t="str">
        <x:v>ChatGPT for iOS 1.2026.139 更新</x:v>
      </x:c>
      <x:c r="J822" s="63" t="str">
        <x:v>New features Added Spotlight and Shortcuts support for opening Codex Mobile directly. Added browsing for archived Codex threads. Added /side for opening a side conversation. Added options to save or copy rendered images. Improvements and bug fixes Improved iPad keyboard shortcuts. Improved setup and relaunch reliability. Fixed issues with task progress, loading archived threads, previewing code changes, and switching hosts.</x:v>
      </x:c>
      <x:c r="K822" s="63" t="str">
        <x:v>Codex Changelog 在 2026-05-25 記錄了Codex 編碼代理、圖像與影片、可靠性與效能修正相關更新；完整版本與修正內容見官方英文摘要。</x:v>
      </x:c>
      <x:c r="L822" s="52" t="str">
        <x:v>https://developers.openai.com/codex/changelog/</x:v>
      </x:c>
      <x:c r="M822" s="52" t="str">
        <x:v>developer_changelog</x:v>
      </x:c>
      <x:c r="N822" s="52" t="str">
        <x:v>complete</x:v>
      </x:c>
      <x:c r="O822" s="52" t="str">
        <x:v>high</x:v>
      </x:c>
      <x:c r="P822" s="60" t="n">
        <x:v>2</x:v>
      </x:c>
      <x:c r="Q822" s="52" t="str">
        <x:v>codex | mobile | release-notes</x:v>
      </x:c>
    </x:row>
    <x:row r="823" ht="38" customHeight="1">
      <x:c r="A823" s="57" t="n">
        <x:v>46168</x:v>
      </x:c>
      <x:c r="B823" s="52" t="str">
        <x:v>api-changelog</x:v>
      </x:c>
      <x:c r="C823" s="52" t="str">
        <x:v>OpenAI API Changelog</x:v>
      </x:c>
      <x:c r="D823" s="52" t="str">
        <x:v>enterprise_vertical</x:v>
      </x:c>
      <x:c r="E823" s="52" t="str">
        <x:v>OpenAI API</x:v>
      </x:c>
      <x:c r="F823" s="52" t="str">
        <x:v>pricing_quota</x:v>
      </x:c>
      <x:c r="G823" s="52" t="str">
        <x:v>active</x:v>
      </x:c>
      <x:c r="H823" s="63" t="str">
        <x:v>Added new Admin API capabilities for managing spend alerts</x:v>
      </x:c>
      <x:c r="I823" s="63" t="str">
        <x:v>方案更新：OpenAI API</x:v>
      </x:c>
      <x:c r="J823" s="63" t="str">
        <x:v>Added new Admin API capabilities for managing spend alerts, model allowlists, data retention settings, and hosted tool permissions, plus querying granular billing line items.</x:v>
      </x:c>
      <x:c r="K823" s="63" t="str">
        <x:v>OpenAI 於 2026-05-26 為 OpenAI API 調整方案、額度或計費；此節點依官方發布記錄整理，完整能力、適用方案與限制請見來源。</x:v>
      </x:c>
      <x:c r="L823" s="52" t="str">
        <x:v>https://platform.openai.com/docs/changelog</x:v>
      </x:c>
      <x:c r="M823" s="52" t="str">
        <x:v>developer_changelog</x:v>
      </x:c>
      <x:c r="N823" s="52" t="str">
        <x:v>parsed</x:v>
      </x:c>
      <x:c r="O823" s="52" t="str">
        <x:v>high</x:v>
      </x:c>
      <x:c r="P823" s="60" t="n">
        <x:v>0</x:v>
      </x:c>
      <x:c r="Q823" s="52" t="str"/>
    </x:row>
    <x:row r="824" ht="38" customHeight="1">
      <x:c r="A824" s="57" t="n">
        <x:v>46168</x:v>
      </x:c>
      <x:c r="B824" s="52" t="str">
        <x:v>lane-openai-api-changelog</x:v>
      </x:c>
      <x:c r="C824" s="52" t="str">
        <x:v>OpenAI API Changelog</x:v>
      </x:c>
      <x:c r="D824" s="52" t="str">
        <x:v>enterprise_vertical</x:v>
      </x:c>
      <x:c r="E824" s="52" t="str">
        <x:v>API Platform Admin</x:v>
      </x:c>
      <x:c r="F824" s="52" t="str">
        <x:v>pricing_quota</x:v>
      </x:c>
      <x:c r="G824" s="52" t="str">
        <x:v>active</x:v>
      </x:c>
      <x:c r="H824" s="63" t="str">
        <x:v>Added new Admin API capabilities for managing spend alerts</x:v>
      </x:c>
      <x:c r="I824" s="63" t="str">
        <x:v>方案更新：API Platform Admin</x:v>
      </x:c>
      <x:c r="J824" s="63" t="str">
        <x:v>Added new Admin API capabilities for managing spend alerts, model allowlists, data retention settings, and hosted tool permissions, plus querying granular billing line items.</x:v>
      </x:c>
      <x:c r="K824" s="63" t="str">
        <x:v>新增：全新 Admin API capabilities for managing spend alerts, 模型 allowlists, data retention settings, and hosted tool permissions, plus querying granular billing line items。OpenAI 將此列為 2026-05-26 的更新；重點涉及代理與工具調用、企業管理控制、定價與用量，模型、端點與參數名稱依官方英文保留。</x:v>
      </x:c>
      <x:c r="L824" s="52" t="str">
        <x:v>https://developers.openai.com/api/docs/changelog</x:v>
      </x:c>
      <x:c r="M824" s="52" t="str">
        <x:v>official_changelog</x:v>
      </x:c>
      <x:c r="N824" s="52" t="str">
        <x:v>complete</x:v>
      </x:c>
      <x:c r="O824" s="52" t="str">
        <x:v>high</x:v>
      </x:c>
      <x:c r="P824" s="60" t="n">
        <x:v>3</x:v>
      </x:c>
      <x:c r="Q824" s="52" t="str">
        <x:v>admin | enterprise | update</x:v>
      </x:c>
    </x:row>
    <x:row r="825" ht="38" customHeight="1">
      <x:c r="A825" s="57" t="n">
        <x:v>46168</x:v>
      </x:c>
      <x:c r="B825" s="52" t="str">
        <x:v>codex-changelog</x:v>
      </x:c>
      <x:c r="C825" s="52" t="str">
        <x:v>Codex Changelog</x:v>
      </x:c>
      <x:c r="D825" s="52" t="str">
        <x:v>agents_research</x:v>
      </x:c>
      <x:c r="E825" s="52" t="str">
        <x:v>GPT-5.5</x:v>
      </x:c>
      <x:c r="F825" s="52" t="str">
        <x:v>deprecation</x:v>
      </x:c>
      <x:c r="G825" s="52" t="str">
        <x:v>deprecated</x:v>
      </x:c>
      <x:c r="H825" s="63" t="str">
        <x:v>GPT-5.3-Codex and GPT-5.2 deprecated</x:v>
      </x:c>
      <x:c r="I825" s="63" t="str">
        <x:v>GPT-5.3-Codex and GPT-5.2 已棄用</x:v>
      </x:c>
      <x:c r="J825" s="63" t="str">
        <x:v>GPT-5.3-Codex and GPT-5.2 are now deprecated as user-selectable models in Codex for users signed in with ChatGPT. API-key workflows aren’t affected. Use a current Codex model, such as GPT-5.5, GPT-5.4, or GPT-5.4 mini. See Codex models for model availability and Codex pricing for credit rates.</x:v>
      </x:c>
      <x:c r="K825" s="63" t="str">
        <x:v>Codex Changelog 在 2026-05-26 記錄了棄用與遷移、Codex 編碼代理、定價與用量相關更新；完整版本與修正內容見官方英文摘要。</x:v>
      </x:c>
      <x:c r="L825" s="52" t="str">
        <x:v>https://developers.openai.com/codex/changelog/</x:v>
      </x:c>
      <x:c r="M825" s="52" t="str">
        <x:v>developer_changelog</x:v>
      </x:c>
      <x:c r="N825" s="52" t="str">
        <x:v>complete</x:v>
      </x:c>
      <x:c r="O825" s="52" t="str">
        <x:v>high</x:v>
      </x:c>
      <x:c r="P825" s="60" t="n">
        <x:v>5</x:v>
      </x:c>
      <x:c r="Q825" s="52" t="str">
        <x:v>codex | release-notes</x:v>
      </x:c>
    </x:row>
    <x:row r="826" ht="38" customHeight="1">
      <x:c r="A826" s="57" t="n">
        <x:v>46168</x:v>
      </x:c>
      <x:c r="B826" s="52" t="str">
        <x:v>apps-sdk-changelog</x:v>
      </x:c>
      <x:c r="C826" s="52" t="str">
        <x:v>Apps SDK Changelog</x:v>
      </x:c>
      <x:c r="D826" s="52" t="str">
        <x:v>developer_platform</x:v>
      </x:c>
      <x:c r="E826" s="52" t="str">
        <x:v>Apps SDK</x:v>
      </x:c>
      <x:c r="F826" s="52" t="str">
        <x:v>platform</x:v>
      </x:c>
      <x:c r="G826" s="52" t="str">
        <x:v>active</x:v>
      </x:c>
      <x:c r="H826" s="63" t="str">
        <x:v>MCP server instructions</x:v>
      </x:c>
      <x:c r="I826" s="63" t="str">
        <x:v>MCP server instructions 更新</x:v>
      </x:c>
      <x:c r="J826" s="63" t="str">
        <x:v>Fixes &amp; improvements ChatGPT now reads MCP server instructions returned during initialization and uses them alongside tool metadata to understand cross-tool workflows, constraints, and server-wide guidance.</x:v>
      </x:c>
      <x:c r="K826" s="63" t="str">
        <x:v>Apps SDK Changelog 在 2026-05-26 記錄了代理與工具調用、可靠性與效能修正相關更新；完整版本與修正內容見官方英文摘要。</x:v>
      </x:c>
      <x:c r="L826" s="52" t="str">
        <x:v>https://developers.openai.com/apps-sdk/changelog/</x:v>
      </x:c>
      <x:c r="M826" s="52" t="str">
        <x:v>developer_changelog</x:v>
      </x:c>
      <x:c r="N826" s="52" t="str">
        <x:v>complete</x:v>
      </x:c>
      <x:c r="O826" s="52" t="str">
        <x:v>high</x:v>
      </x:c>
      <x:c r="P826" s="60" t="n">
        <x:v>3</x:v>
      </x:c>
      <x:c r="Q826" s="52" t="str">
        <x:v>apps-sdk | chatgpt-apps | mcp</x:v>
      </x:c>
    </x:row>
    <x:row r="827" ht="38" customHeight="1">
      <x:c r="A827" s="57" t="n">
        <x:v>46168</x:v>
      </x:c>
      <x:c r="B827" s="52" t="str">
        <x:v>api-changelog</x:v>
      </x:c>
      <x:c r="C827" s="52" t="str">
        <x:v>OpenAI API Changelog</x:v>
      </x:c>
      <x:c r="D827" s="52" t="str">
        <x:v>developer_platform</x:v>
      </x:c>
      <x:c r="E827" s="52" t="str">
        <x:v>OpenAI API</x:v>
      </x:c>
      <x:c r="F827" s="52" t="str">
        <x:v>launch</x:v>
      </x:c>
      <x:c r="G827" s="52" t="str">
        <x:v>active</x:v>
      </x:c>
      <x:c r="H827" s="63" t="str">
        <x:v>Released workload identity federation.</x:v>
      </x:c>
      <x:c r="I827" s="63" t="str">
        <x:v>發布workload identity federation.</x:v>
      </x:c>
      <x:c r="J827" s="63" t="str">
        <x:v>Released workload identity federation. Trusted workloads can exchange externally issued identity tokens for short-lived OpenAI access tokens without storing long-lived API keys.</x:v>
      </x:c>
      <x:c r="K827" s="63" t="str">
        <x:v>OpenAI 於 2026-05-26 為 OpenAI API 推出新產品或能力；此節點依官方發布記錄整理，完整能力、適用方案與限制請見來源。</x:v>
      </x:c>
      <x:c r="L827" s="52" t="str">
        <x:v>https://platform.openai.com/docs/changelog</x:v>
      </x:c>
      <x:c r="M827" s="52" t="str">
        <x:v>developer_changelog</x:v>
      </x:c>
      <x:c r="N827" s="52" t="str">
        <x:v>parsed</x:v>
      </x:c>
      <x:c r="O827" s="52" t="str">
        <x:v>high</x:v>
      </x:c>
      <x:c r="P827" s="60" t="n">
        <x:v>0</x:v>
      </x:c>
      <x:c r="Q827" s="52" t="str"/>
    </x:row>
    <x:row r="828" ht="38" customHeight="1">
      <x:c r="A828" s="57" t="n">
        <x:v>46168</x:v>
      </x:c>
      <x:c r="B828" s="52" t="str">
        <x:v>lane-openai-api-changelog</x:v>
      </x:c>
      <x:c r="C828" s="52" t="str">
        <x:v>OpenAI API Changelog</x:v>
      </x:c>
      <x:c r="D828" s="52" t="str">
        <x:v>developer_platform</x:v>
      </x:c>
      <x:c r="E828" s="52" t="str">
        <x:v>OpenAI API Platform</x:v>
      </x:c>
      <x:c r="F828" s="52" t="str">
        <x:v>launch</x:v>
      </x:c>
      <x:c r="G828" s="52" t="str">
        <x:v>active</x:v>
      </x:c>
      <x:c r="H828" s="63" t="str">
        <x:v>Released workload identity federation.</x:v>
      </x:c>
      <x:c r="I828" s="63" t="str">
        <x:v>推出工作負載身分聯邦</x:v>
      </x:c>
      <x:c r="J828" s="63" t="str">
        <x:v>Released workload identity federation . Trusted workloads can exchange externally issued identity tokens for short-lived OpenAI access tokens without storing long-lived API keys.</x:v>
      </x:c>
      <x:c r="K828" s="63" t="str">
        <x:v>推出工作負載身分聯邦。OpenAI 將此列為 2026-05-26 的功能；重點涉及平台功能與可用性，模型、端點與參數名稱依官方英文保留。</x:v>
      </x:c>
      <x:c r="L828" s="52" t="str">
        <x:v>https://developers.openai.com/api/docs/changelog</x:v>
      </x:c>
      <x:c r="M828" s="52" t="str">
        <x:v>official_changelog</x:v>
      </x:c>
      <x:c r="N828" s="52" t="str">
        <x:v>complete</x:v>
      </x:c>
      <x:c r="O828" s="52" t="str">
        <x:v>high</x:v>
      </x:c>
      <x:c r="P828" s="60" t="n">
        <x:v>3</x:v>
      </x:c>
      <x:c r="Q828" s="52" t="str">
        <x:v>api-platform | feature</x:v>
      </x:c>
    </x:row>
    <x:row r="829" ht="38" customHeight="1">
      <x:c r="A829" s="57" t="n">
        <x:v>46169</x:v>
      </x:c>
      <x:c r="B829" s="52" t="str">
        <x:v>apps-sdk-changelog</x:v>
      </x:c>
      <x:c r="C829" s="52" t="str">
        <x:v>Apps SDK Changelog</x:v>
      </x:c>
      <x:c r="D829" s="52" t="str">
        <x:v>developer_platform</x:v>
      </x:c>
      <x:c r="E829" s="52" t="str">
        <x:v>Apps SDK</x:v>
      </x:c>
      <x:c r="F829" s="52" t="str">
        <x:v>launch</x:v>
      </x:c>
      <x:c r="G829" s="52" t="str">
        <x:v>active</x:v>
      </x:c>
      <x:c r="H829" s="63" t="str">
        <x:v>MCP Apps tool lifecycle updates</x:v>
      </x:c>
      <x:c r="I829" s="63" t="str">
        <x:v>MCP Apps tool lifecycle updates 更新</x:v>
      </x:c>
      <x:c r="J829" s="63" t="str">
        <x:v>Fixes &amp; improvements window.openai.toolResponseMetadata now preserves the canonical MCP tool result envelope, including hidden meta , when ChatGPT launches widgets. For tools that need user approval, ChatGPT now delivers widget tool input through the MCP Apps ui/notifications/tool-input lifecycle after approval instead of preloading it into the initial widget globals.</x:v>
      </x:c>
      <x:c r="K829" s="63" t="str">
        <x:v>Apps SDK Changelog 在 2026-05-27 記錄了代理與工具調用、可靠性與效能修正相關更新；完整版本與修正內容見官方英文摘要。</x:v>
      </x:c>
      <x:c r="L829" s="52" t="str">
        <x:v>https://developers.openai.com/apps-sdk/changelog/</x:v>
      </x:c>
      <x:c r="M829" s="52" t="str">
        <x:v>developer_changelog</x:v>
      </x:c>
      <x:c r="N829" s="52" t="str">
        <x:v>complete</x:v>
      </x:c>
      <x:c r="O829" s="52" t="str">
        <x:v>high</x:v>
      </x:c>
      <x:c r="P829" s="60" t="n">
        <x:v>3</x:v>
      </x:c>
      <x:c r="Q829" s="52" t="str">
        <x:v>apps-sdk | chatgpt-apps | mcp</x:v>
      </x:c>
    </x:row>
    <x:row r="830" ht="38" customHeight="1">
      <x:c r="A830" s="57" t="n">
        <x:v>46170</x:v>
      </x:c>
      <x:c r="B830" s="52" t="str">
        <x:v>chatgpt-release-notes</x:v>
      </x:c>
      <x:c r="C830" s="52" t="str">
        <x:v>ChatGPT — Release Notes</x:v>
      </x:c>
      <x:c r="D830" s="52" t="str">
        <x:v>models_reasoning</x:v>
      </x:c>
      <x:c r="E830" s="52" t="str">
        <x:v>GPT-5.5</x:v>
      </x:c>
      <x:c r="F830" s="52" t="str">
        <x:v>retirement</x:v>
      </x:c>
      <x:c r="G830" s="52" t="str">
        <x:v>retired</x:v>
      </x:c>
      <x:c r="H830" s="63" t="str">
        <x:v>Canvas removed from GPT-5.5 Instant and Thinking</x:v>
      </x:c>
      <x:c r="I830" s="63" t="str">
        <x:v>Canvas 自 GPT-5.5 Instant 與 Thinking 中移除</x:v>
      </x:c>
      <x:c r="J830" s="63" t="str">
        <x:v>Canvas stopped being available in GPT-5.5 Instant and GPT-5.5 Thinking as writing and coding blocks moved those workflows into chat; paid users retained temporary legacy-model access.</x:v>
      </x:c>
      <x:c r="K830" s="63" t="str">
        <x:v>由於寫作與程式碼區塊將這些工作流程移至聊天中，Canvas 不再支援 GPT-5.5 Instant 與 GPT-5.5 Thinking；付費使用者仍可暫時存取舊版模型。</x:v>
      </x:c>
      <x:c r="L830" s="52" t="str">
        <x:v>https://help.openai.com/en/articles/6825453-chatgpt-release-notes</x:v>
      </x:c>
      <x:c r="M830" s="52" t="str">
        <x:v>help_center_release_notes</x:v>
      </x:c>
      <x:c r="N830" s="52" t="str">
        <x:v>complete</x:v>
      </x:c>
      <x:c r="O830" s="52" t="str">
        <x:v>high</x:v>
      </x:c>
      <x:c r="P830" s="60" t="n">
        <x:v>3</x:v>
      </x:c>
      <x:c r="Q830" s="52" t="str">
        <x:v>2026 | gpt-5.5 | models-reasoning | retirement</x:v>
      </x:c>
    </x:row>
    <x:row r="831" ht="38" customHeight="1">
      <x:c r="A831" s="57" t="n">
        <x:v>46170</x:v>
      </x:c>
      <x:c r="B831" s="52" t="str">
        <x:v>chatgpt-release-notes</x:v>
      </x:c>
      <x:c r="C831" s="52" t="str">
        <x:v>ChatGPT — Release Notes</x:v>
      </x:c>
      <x:c r="D831" s="52" t="str">
        <x:v>models_reasoning</x:v>
      </x:c>
      <x:c r="E831" s="52" t="str">
        <x:v>GPT-5.5</x:v>
      </x:c>
      <x:c r="F831" s="52" t="str">
        <x:v>model_update</x:v>
      </x:c>
      <x:c r="G831" s="52" t="str">
        <x:v>active</x:v>
      </x:c>
      <x:c r="H831" s="63" t="str">
        <x:v>GPT-5.5 Instant Update</x:v>
      </x:c>
      <x:c r="I831" s="63" t="str">
        <x:v>GPT-5.5 Instant 更新</x:v>
      </x:c>
      <x:c r="J831" s="63" t="str">
        <x:v>We’re updating GPT-5.5 Instant in ChatGPT and the API to improve response style and quality. It’s now easier to read, more natural in everyday conversations, and better paced in practical help tasks, with fewer overly long or bullet-heavy responses. With this update, canvas will no longer be available in GPT-5.5 Instant or GPT-5.5 Thinking. Writing and coding functionality is now supported directly in chat responses through writing b…</x:v>
      </x:c>
      <x:c r="K831" s="63" t="str">
        <x:v>OpenAI 更新了 ChatGPT 與 API 中的 GPT-5.5 Instant，提供更自然、易讀且節奏更好的實用回應，減少輸出過長或過多項目符號的情況。</x:v>
      </x:c>
      <x:c r="L831" s="52" t="str">
        <x:v>https://help.openai.com/en/articles/6825453-chatgpt-release-notes</x:v>
      </x:c>
      <x:c r="M831" s="52" t="str">
        <x:v>help_center_release_notes</x:v>
      </x:c>
      <x:c r="N831" s="52" t="str">
        <x:v>complete</x:v>
      </x:c>
      <x:c r="O831" s="52" t="str">
        <x:v>high</x:v>
      </x:c>
      <x:c r="P831" s="60" t="n">
        <x:v>3</x:v>
      </x:c>
      <x:c r="Q831" s="52" t="str">
        <x:v>2026 | gpt-5.5 | model_update | models-reasoning</x:v>
      </x:c>
    </x:row>
    <x:row r="832" ht="38" customHeight="1">
      <x:c r="A832" s="57" t="n">
        <x:v>46170</x:v>
      </x:c>
      <x:c r="B832" s="52" t="str">
        <x:v>model-release-notes</x:v>
      </x:c>
      <x:c r="C832" s="52" t="str">
        <x:v>Model Release Notes</x:v>
      </x:c>
      <x:c r="D832" s="52" t="str">
        <x:v>models_reasoning</x:v>
      </x:c>
      <x:c r="E832" s="52" t="str">
        <x:v>GPT-5.5</x:v>
      </x:c>
      <x:c r="F832" s="52" t="str">
        <x:v>availability</x:v>
      </x:c>
      <x:c r="G832" s="52" t="str">
        <x:v>active</x:v>
      </x:c>
      <x:c r="H832" s="63" t="str">
        <x:v>GPT-5.5 Instant Update</x:v>
      </x:c>
      <x:c r="I832" s="63" t="str">
        <x:v>開放使用：GPT-5.5 Instant Update</x:v>
      </x:c>
      <x:c r="J832" s="63" t="str">
        <x:v>We’re updating GPT-5.5 Instant in ChatGPT and the API to improve response style and quality. It’s now easier to read, more natural in everyday conversations, and better paced in practical help tasks, with fewer overly long or bullet-heavy responses. With this update, canvas will no longer be available in GPT-5.5 Instant or GPT-5.5 Thinking. Writing and coding functionality is now supported directly in chat responses through writing b…</x:v>
      </x:c>
      <x:c r="K832" s="63" t="str">
        <x:v>OpenAI 於 2026-05-28 為 GPT-5.5 擴大開放範圍；此節點依官方發布記錄整理，完整能力、適用方案與限制請見來源。</x:v>
      </x:c>
      <x:c r="L832" s="52" t="str">
        <x:v>https://help.openai.com/en/articles/9624314-model-release-notes</x:v>
      </x:c>
      <x:c r="M832" s="52" t="str">
        <x:v>help_center_release_notes</x:v>
      </x:c>
      <x:c r="N832" s="52" t="str">
        <x:v>parsed</x:v>
      </x:c>
      <x:c r="O832" s="52" t="str">
        <x:v>high</x:v>
      </x:c>
      <x:c r="P832" s="60" t="n">
        <x:v>0</x:v>
      </x:c>
      <x:c r="Q832" s="52" t="str"/>
    </x:row>
    <x:row r="833" ht="38" customHeight="1">
      <x:c r="A833" s="57" t="n">
        <x:v>46170</x:v>
      </x:c>
      <x:c r="B833" s="52" t="str">
        <x:v>apps-sdk-changelog</x:v>
      </x:c>
      <x:c r="C833" s="52" t="str">
        <x:v>Apps SDK Changelog</x:v>
      </x:c>
      <x:c r="D833" s="52" t="str">
        <x:v>developer_platform</x:v>
      </x:c>
      <x:c r="E833" s="52" t="str">
        <x:v>Apps SDK</x:v>
      </x:c>
      <x:c r="F833" s="52" t="str">
        <x:v>platform</x:v>
      </x:c>
      <x:c r="G833" s="52" t="str">
        <x:v>active</x:v>
      </x:c>
      <x:c r="H833" s="63" t="str">
        <x:v>MCP Apps host style variables</x:v>
      </x:c>
      <x:c r="I833" s="63" t="str">
        <x:v>MCP Apps host style variables 更新</x:v>
      </x:c>
      <x:c r="J833" s="63" t="str">
        <x:v>Fixes &amp; improvements ChatGPT now provides standardized MCP Apps host CSS variables through hostContext.styles.variables during initialization and updates them through ui/notifications/host-context-changed when the host theme changes, helping apps match ChatGPT’s light and dark appearance without hardcoded host-specific colors.</x:v>
      </x:c>
      <x:c r="K833" s="63" t="str">
        <x:v>OpenAI 於 2026-05-28 為 Apps SDK 更新開發者平台；此節點依官方發布記錄整理，完整能力、適用方案與限制請見來源。</x:v>
      </x:c>
      <x:c r="L833" s="52" t="str">
        <x:v>https://developers.openai.com/apps-sdk/changelog/</x:v>
      </x:c>
      <x:c r="M833" s="52" t="str">
        <x:v>developer_changelog</x:v>
      </x:c>
      <x:c r="N833" s="52" t="str">
        <x:v>complete</x:v>
      </x:c>
      <x:c r="O833" s="52" t="str">
        <x:v>high</x:v>
      </x:c>
      <x:c r="P833" s="60" t="n">
        <x:v>3</x:v>
      </x:c>
      <x:c r="Q833" s="52" t="str">
        <x:v>apps-sdk | chatgpt-apps | mcp</x:v>
      </x:c>
    </x:row>
    <x:row r="834" ht="38" customHeight="1">
      <x:c r="A834" s="57" t="n">
        <x:v>46170</x:v>
      </x:c>
      <x:c r="B834" s="52" t="str">
        <x:v>api-changelog</x:v>
      </x:c>
      <x:c r="C834" s="52" t="str">
        <x:v>OpenAI API Changelog</x:v>
      </x:c>
      <x:c r="D834" s="52" t="str">
        <x:v>models_reasoning</x:v>
      </x:c>
      <x:c r="E834" s="52" t="str">
        <x:v>GPT-5.5</x:v>
      </x:c>
      <x:c r="F834" s="52" t="str">
        <x:v>model_release</x:v>
      </x:c>
      <x:c r="G834" s="52" t="str">
        <x:v>active</x:v>
      </x:c>
      <x:c r="H834" s="63" t="str">
        <x:v>Released chat-latest snapshot which points to the latest Instant model currently used in ChatGPT.</x:v>
      </x:c>
      <x:c r="I834" s="63" t="str">
        <x:v>模型發布：GPT-5.5</x:v>
      </x:c>
      <x:c r="J834" s="63" t="str">
        <x:v>Released chat-latest snapshot which points to the latest Instant model currently used in ChatGPT. We recommend leveraging GPT-5.5 for production API usage, but feel free to use this model to test the latest improvements for chat use cases. The underlying model snapshot will be regularly updated. Read more here.</x:v>
      </x:c>
      <x:c r="K834" s="63" t="str">
        <x:v>OpenAI 於 2026-05-28 為 GPT-5.5 發布模型；此節點依官方發布記錄整理，完整能力、適用方案與限制請見來源。</x:v>
      </x:c>
      <x:c r="L834" s="52" t="str">
        <x:v>https://platform.openai.com/docs/changelog</x:v>
      </x:c>
      <x:c r="M834" s="52" t="str">
        <x:v>developer_changelog</x:v>
      </x:c>
      <x:c r="N834" s="52" t="str">
        <x:v>parsed</x:v>
      </x:c>
      <x:c r="O834" s="52" t="str">
        <x:v>high</x:v>
      </x:c>
      <x:c r="P834" s="60" t="n">
        <x:v>0</x:v>
      </x:c>
      <x:c r="Q834" s="52" t="str"/>
    </x:row>
    <x:row r="835" ht="38" customHeight="1">
      <x:c r="A835" s="57" t="n">
        <x:v>46170</x:v>
      </x:c>
      <x:c r="B835" s="52" t="str">
        <x:v>lane-openai-api-changelog</x:v>
      </x:c>
      <x:c r="C835" s="52" t="str">
        <x:v>OpenAI API Changelog</x:v>
      </x:c>
      <x:c r="D835" s="52" t="str">
        <x:v>models_reasoning</x:v>
      </x:c>
      <x:c r="E835" s="52" t="str">
        <x:v>Model Platform</x:v>
      </x:c>
      <x:c r="F835" s="52" t="str">
        <x:v>model_release</x:v>
      </x:c>
      <x:c r="G835" s="52" t="str">
        <x:v>active</x:v>
      </x:c>
      <x:c r="H835" s="63" t="str">
        <x:v>Released chat-latest snapshot which points to the latest Instant model currently used in ChatGPT.</x:v>
      </x:c>
      <x:c r="I835" s="63" t="str">
        <x:v>模型發布：Model Platform</x:v>
      </x:c>
      <x:c r="J835" s="63" t="str">
        <x:v>Released chat-latest snapshot which points to the latest Instant model currently used in ChatGPT. We recommend leveraging GPT-5.5 for production API usage, but feel free to use this model to test the latest improvements for chat use cases. The underlying model snapshot will be regularly updated. Read more here .</x:v>
      </x:c>
      <x:c r="K835" s="63" t="str">
        <x:v>推出：chat-latest snapshot which points to latest Instant 模型 currently used in ChatGPT。OpenAI 將此列為 2026-05-28 的更新；重點涉及平台功能與可用性，模型、端點與參數名稱依官方英文保留。</x:v>
      </x:c>
      <x:c r="L835" s="52" t="str">
        <x:v>https://developers.openai.com/api/docs/changelog</x:v>
      </x:c>
      <x:c r="M835" s="52" t="str">
        <x:v>official_changelog</x:v>
      </x:c>
      <x:c r="N835" s="52" t="str">
        <x:v>complete</x:v>
      </x:c>
      <x:c r="O835" s="52" t="str">
        <x:v>high</x:v>
      </x:c>
      <x:c r="P835" s="60" t="n">
        <x:v>5</x:v>
      </x:c>
      <x:c r="Q835" s="52" t="str">
        <x:v>api | models | update</x:v>
      </x:c>
    </x:row>
    <x:row r="836" ht="38" customHeight="1">
      <x:c r="A836" s="57" t="n">
        <x:v>46170</x:v>
      </x:c>
      <x:c r="B836" s="52" t="str">
        <x:v>chatgpt-release-notes</x:v>
      </x:c>
      <x:c r="C836" s="52" t="str">
        <x:v>ChatGPT — Release Notes</x:v>
      </x:c>
      <x:c r="D836" s="52" t="str">
        <x:v>models_reasoning</x:v>
      </x:c>
      <x:c r="E836" s="52" t="str">
        <x:v>GPT-4.5</x:v>
      </x:c>
      <x:c r="F836" s="52" t="str">
        <x:v>deprecation</x:v>
      </x:c>
      <x:c r="G836" s="52" t="str">
        <x:v>deprecated</x:v>
      </x:c>
      <x:c r="H836" s="63" t="str">
        <x:v>Retiring OpenAI o3 and GPT-4.5</x:v>
      </x:c>
      <x:c r="I836" s="63" t="str">
        <x:v>退役 OpenAI o3 與 GPT-4.5</x:v>
      </x:c>
      <x:c r="J836" s="63" t="str">
        <x:v>Today, we’re continuing to retire older models with limited usage in ChatGPT so we can better serve our newer, most capable models. OpenAI o3 will be retired from ChatGPT on August 26, 2026 following a 90-day sunset period, and GPT-4.5 will be retired from ChatGPT on June 26, 2026 following a 30-day sunset period. These models are currently available to paid users only via model settings. These changes apply to ChatGPT only; there ar…</x:v>
      </x:c>
      <x:c r="K836" s="63" t="str">
        <x:v>今日，我們持續退役 ChatGPT 中使用率較低的舊模型，以便更完善地服務較新且能力最強的模型。OpenAI o3 將在 90 天停止服務期後，於 2026 年 8 月 26 日自 ChatGPT 退役；GPT-4.5 則將在 30 天停止服務期後，於 2026 年 6 月 26 日自 ChatGPT 退役。</x:v>
      </x:c>
      <x:c r="L836" s="52" t="str">
        <x:v>https://help.openai.com/en/articles/6825453-chatgpt-release-notes</x:v>
      </x:c>
      <x:c r="M836" s="52" t="str">
        <x:v>help_center_release_notes</x:v>
      </x:c>
      <x:c r="N836" s="52" t="str">
        <x:v>complete</x:v>
      </x:c>
      <x:c r="O836" s="52" t="str">
        <x:v>high</x:v>
      </x:c>
      <x:c r="P836" s="60" t="n">
        <x:v>3</x:v>
      </x:c>
      <x:c r="Q836" s="52" t="str">
        <x:v>2026 | deprecation | gpt-4.5 | models-reasoning</x:v>
      </x:c>
    </x:row>
    <x:row r="837" ht="38" customHeight="1">
      <x:c r="A837" s="57" t="n">
        <x:v>46170</x:v>
      </x:c>
      <x:c r="B837" s="52" t="str">
        <x:v>model-release-notes</x:v>
      </x:c>
      <x:c r="C837" s="52" t="str">
        <x:v>Model Release Notes</x:v>
      </x:c>
      <x:c r="D837" s="52" t="str">
        <x:v>models_reasoning</x:v>
      </x:c>
      <x:c r="E837" s="52" t="str">
        <x:v>GPT-4.5</x:v>
      </x:c>
      <x:c r="F837" s="52" t="str">
        <x:v>retirement</x:v>
      </x:c>
      <x:c r="G837" s="52" t="str">
        <x:v>retired</x:v>
      </x:c>
      <x:c r="H837" s="63" t="str">
        <x:v>Retiring OpenAI o3 and GPT-4.5</x:v>
      </x:c>
      <x:c r="I837" s="63" t="str">
        <x:v>退役：OpenAI o3 and GPT-4.5</x:v>
      </x:c>
      <x:c r="J837" s="63" t="str">
        <x:v>Today, we’re continuing to retire older models with limited usage in ChatGPT so we can better serve our newer, most capable models. OpenAI o3 will be retired from ChatGPT on August 26, 2026 following a 90-day sunset period, and GPT-4.5 will be retired from ChatGPT on June 27, 2026 following a 30-day sunset period. These models are currently available to paid users only via model settings. These changes apply to ChatGPT only; there ar…</x:v>
      </x:c>
      <x:c r="K837" s="63" t="str">
        <x:v>OpenAI 於 2026-05-28 為 GPT-4.5 完成退役或停止服務；此節點依官方發布記錄整理，完整能力、適用方案與限制請見來源。</x:v>
      </x:c>
      <x:c r="L837" s="52" t="str">
        <x:v>https://help.openai.com/en/articles/9624314-model-release-notes</x:v>
      </x:c>
      <x:c r="M837" s="52" t="str">
        <x:v>help_center_release_notes</x:v>
      </x:c>
      <x:c r="N837" s="52" t="str">
        <x:v>parsed</x:v>
      </x:c>
      <x:c r="O837" s="52" t="str">
        <x:v>high</x:v>
      </x:c>
      <x:c r="P837" s="60" t="n">
        <x:v>0</x:v>
      </x:c>
      <x:c r="Q837" s="52" t="str"/>
    </x:row>
    <x:row r="838" ht="38" customHeight="1">
      <x:c r="A838" s="57" t="n">
        <x:v>46171</x:v>
      </x:c>
      <x:c r="B838" s="52" t="str">
        <x:v>enterprise-edu-release-notes</x:v>
      </x:c>
      <x:c r="C838" s="52" t="str">
        <x:v>ChatGPT Enterprise &amp; Edu — Release Notes</x:v>
      </x:c>
      <x:c r="D838" s="52" t="str">
        <x:v>clients_surfaces</x:v>
      </x:c>
      <x:c r="E838" s="52" t="str">
        <x:v>Codex Windows</x:v>
      </x:c>
      <x:c r="F838" s="52" t="str">
        <x:v>feature</x:v>
      </x:c>
      <x:c r="G838" s="52" t="str">
        <x:v>research_preview</x:v>
      </x:c>
      <x:c r="H838" s="63" t="str">
        <x:v>Codex Computer Use and Remote Control on Windows</x:v>
      </x:c>
      <x:c r="I838" s="63" t="str">
        <x:v>Codex Windows Computer Use 與遠端控制</x:v>
      </x:c>
      <x:c r="J838" s="63" t="str">
        <x:v>Codex added Windows Computer Use and remote control from ChatGPT mobile or Codex on Mac, with Enterprise availability initially disabled and enrollment-gated.</x:v>
      </x:c>
      <x:c r="K838" s="63" t="str">
        <x:v>Codex 新增 Windows Computer Use，以及從 ChatGPT mobile 或 Mac 上 Codex 遠端控制；Enterprise 初期預設關閉且需加入早期存取。</x:v>
      </x:c>
      <x:c r="L838" s="52" t="str">
        <x:v>https://help.openai.com/en/articles/10128477-chatgpt-enterprise-edu-release-notes</x:v>
      </x:c>
      <x:c r="M838" s="52" t="str">
        <x:v>help_center_release_notes</x:v>
      </x:c>
      <x:c r="N838" s="52" t="str">
        <x:v>parsed</x:v>
      </x:c>
      <x:c r="O838" s="52" t="str">
        <x:v>high</x:v>
      </x:c>
      <x:c r="P838" s="60" t="n">
        <x:v>4</x:v>
      </x:c>
      <x:c r="Q838" s="52" t="str">
        <x:v>codex | computer-use | windows</x:v>
      </x:c>
    </x:row>
    <x:row r="839" ht="38" customHeight="1">
      <x:c r="A839" s="57" t="n">
        <x:v>46171</x:v>
      </x:c>
      <x:c r="B839" s="52" t="str">
        <x:v>chatgpt-release-notes</x:v>
      </x:c>
      <x:c r="C839" s="52" t="str">
        <x:v>ChatGPT — Release Notes</x:v>
      </x:c>
      <x:c r="D839" s="52" t="str">
        <x:v>clients_surfaces</x:v>
      </x:c>
      <x:c r="E839" s="52" t="str">
        <x:v>Codex</x:v>
      </x:c>
      <x:c r="F839" s="52" t="str">
        <x:v>model_update</x:v>
      </x:c>
      <x:c r="G839" s="52" t="str">
        <x:v>active</x:v>
      </x:c>
      <x:c r="H839" s="63" t="str">
        <x:v>Codex updates: Computer use and remote control for Windows, usage profiles</x:v>
      </x:c>
      <x:c r="I839" s="63" t="str">
        <x:v>模型更新：Codex</x:v>
      </x:c>
      <x:c r="J839" s="63" t="str">
        <x:v>Codex now supports Computer Use on Windows in the Codex app, so eligible users can ask Codex to see, click, and type in Windows applications while they test, debug, and refine what they are building. Users can start work on a Windows machine and use ChatGPT on iOS or Android, or Codex on Mac, to check progress, continue the thread, respond to prompts, and steer work while away from the desk; the Windows machine remains the host for p…</x:v>
      </x:c>
      <x:c r="K839" s="63" t="str">
        <x:v>OpenAI 於 2026-05-29 為 Codex 更新模型或體驗；此節點依官方發布記錄整理，完整能力、適用方案與限制請見來源。</x:v>
      </x:c>
      <x:c r="L839" s="52" t="str">
        <x:v>https://help.openai.com/en/articles/6825453-chatgpt-release-notes</x:v>
      </x:c>
      <x:c r="M839" s="52" t="str">
        <x:v>help_center_release_notes</x:v>
      </x:c>
      <x:c r="N839" s="52" t="str">
        <x:v>parsed</x:v>
      </x:c>
      <x:c r="O839" s="52" t="str">
        <x:v>high</x:v>
      </x:c>
      <x:c r="P839" s="60" t="n">
        <x:v>0</x:v>
      </x:c>
      <x:c r="Q839" s="52" t="str"/>
    </x:row>
    <x:row r="840" ht="38" customHeight="1">
      <x:c r="A840" s="57" t="n">
        <x:v>46171</x:v>
      </x:c>
      <x:c r="B840" s="52" t="str">
        <x:v>codex-changelog</x:v>
      </x:c>
      <x:c r="C840" s="52" t="str">
        <x:v>Codex Changelog</x:v>
      </x:c>
      <x:c r="D840" s="52" t="str">
        <x:v>agents_research</x:v>
      </x:c>
      <x:c r="E840" s="52" t="str">
        <x:v>ChatGPT Windows</x:v>
      </x:c>
      <x:c r="F840" s="52" t="str">
        <x:v>feature</x:v>
      </x:c>
      <x:c r="G840" s="52" t="str">
        <x:v>active</x:v>
      </x:c>
      <x:c r="H840" s="63" t="str">
        <x:v>Computer use and mobile access on Windows 26.527</x:v>
      </x:c>
      <x:c r="I840" s="63" t="str">
        <x:v>功能更新：Codex</x:v>
      </x:c>
      <x:c r="J840" s="63" t="str">
        <x:v>New features Computer Use now works on Windows. Codex can operate Windows desktop apps by seeing, clicking, and typing in the foreground while it works. Remote control now supports Windows devices. You can start Codex work on a Windows device from ChatGPT on iOS or Android, or from a Mac running Codex, and check its progress remotely. The Profile section now shows your profile details, usage stats, and token activity. Added thread co…</x:v>
      </x:c>
      <x:c r="K840" s="63" t="str">
        <x:v>Codex Changelog 在 2026-05-29 記錄了Codex 編碼代理、代理與工具調用、可靠性與效能修正相關更新；完整版本與修正內容見官方英文摘要。</x:v>
      </x:c>
      <x:c r="L840" s="52" t="str">
        <x:v>https://developers.openai.com/codex/changelog/</x:v>
      </x:c>
      <x:c r="M840" s="52" t="str">
        <x:v>developer_changelog</x:v>
      </x:c>
      <x:c r="N840" s="52" t="str">
        <x:v>complete</x:v>
      </x:c>
      <x:c r="O840" s="52" t="str">
        <x:v>high</x:v>
      </x:c>
      <x:c r="P840" s="60" t="n">
        <x:v>1</x:v>
      </x:c>
      <x:c r="Q840" s="52" t="str">
        <x:v>codex | release-notes</x:v>
      </x:c>
    </x:row>
    <x:row r="841" ht="38" customHeight="1">
      <x:c r="A841" s="57" t="n">
        <x:v>46171</x:v>
      </x:c>
      <x:c r="B841" s="52" t="str">
        <x:v>chatgpt-release-notes</x:v>
      </x:c>
      <x:c r="C841" s="52" t="str">
        <x:v>ChatGPT — Release Notes</x:v>
      </x:c>
      <x:c r="D841" s="52" t="str">
        <x:v>agents_research</x:v>
      </x:c>
      <x:c r="E841" s="52" t="str">
        <x:v>Codex</x:v>
      </x:c>
      <x:c r="F841" s="52" t="str">
        <x:v>feature</x:v>
      </x:c>
      <x:c r="G841" s="52" t="str">
        <x:v>active</x:v>
      </x:c>
      <x:c r="H841" s="63" t="str">
        <x:v>Computer Use for Codex on Windows</x:v>
      </x:c>
      <x:c r="I841" s="63" t="str">
        <x:v>Windows 上的 Codex 電腦使用功能</x:v>
      </x:c>
      <x:c r="J841" s="63" t="str">
        <x:v>Eligible Codex app users can ask Codex to see, click, and type in Windows applications while testing, debugging, and refining software.</x:v>
      </x:c>
      <x:c r="K841" s="63" t="str">
        <x:v>符合資格的 Codex 應用程式使用者可以要求 Codex 在測試、除錯與優化軟體時，檢視、點擊並輸入 Windows 應用程式。</x:v>
      </x:c>
      <x:c r="L841" s="52" t="str">
        <x:v>https://help.openai.com/en/articles/6825453-chatgpt-release-notes</x:v>
      </x:c>
      <x:c r="M841" s="52" t="str">
        <x:v>help_center_release_notes</x:v>
      </x:c>
      <x:c r="N841" s="52" t="str">
        <x:v>complete</x:v>
      </x:c>
      <x:c r="O841" s="52" t="str">
        <x:v>high</x:v>
      </x:c>
      <x:c r="P841" s="60" t="n">
        <x:v>3</x:v>
      </x:c>
      <x:c r="Q841" s="52" t="str">
        <x:v>2026 | agents-research | codex | feature</x:v>
      </x:c>
    </x:row>
    <x:row r="842" ht="38" customHeight="1">
      <x:c r="A842" s="57" t="n">
        <x:v>46171</x:v>
      </x:c>
      <x:c r="B842" s="52" t="str">
        <x:v>lane-openai-api-changelog</x:v>
      </x:c>
      <x:c r="C842" s="52" t="str">
        <x:v>OpenAI API Changelog</x:v>
      </x:c>
      <x:c r="D842" s="52" t="str">
        <x:v>developer_platform</x:v>
      </x:c>
      <x:c r="E842" s="52" t="str">
        <x:v>OpenAI API Platform</x:v>
      </x:c>
      <x:c r="F842" s="52" t="str">
        <x:v>feature</x:v>
      </x:c>
      <x:c r="G842" s="52" t="str">
        <x:v>active</x:v>
      </x:c>
      <x:c r="H842" s="63" t="str">
        <x:v>For organizations without ZDR enabled, promptcacheretention now defaults to 24h instead of inmemory</x:v>
      </x:c>
      <x:c r="I842" s="63" t="str">
        <x:v>功能更新：OpenAI API Platform</x:v>
      </x:c>
      <x:c r="J842" s="63" t="str">
        <x:v>For organizations without ZDR enabled, promptcacheretention now defaults to 24h instead of inmemory , enabling extended prompt caching by default. Learn more .</x:v>
      </x:c>
      <x:c r="K842" s="63" t="str">
        <x:v>API 更新：For organizations without ZDR enabled, promptcacheretention now defaults to 24h instead of inmemory , enabling extended prompt caching by default。OpenAI 將此列為 2026-05-29 的更新；重點涉及平台功能與可用性，模型、端點與參數名稱依官方英文保留。</x:v>
      </x:c>
      <x:c r="L842" s="52" t="str">
        <x:v>https://developers.openai.com/api/docs/changelog</x:v>
      </x:c>
      <x:c r="M842" s="52" t="str">
        <x:v>official_changelog</x:v>
      </x:c>
      <x:c r="N842" s="52" t="str">
        <x:v>complete</x:v>
      </x:c>
      <x:c r="O842" s="52" t="str">
        <x:v>high</x:v>
      </x:c>
      <x:c r="P842" s="60" t="n">
        <x:v>2</x:v>
      </x:c>
      <x:c r="Q842" s="52" t="str">
        <x:v>api-platform | update</x:v>
      </x:c>
    </x:row>
    <x:row r="843" ht="38" customHeight="1">
      <x:c r="A843" s="57" t="n">
        <x:v>46171</x:v>
      </x:c>
      <x:c r="B843" s="52" t="str">
        <x:v>chatgpt-release-notes</x:v>
      </x:c>
      <x:c r="C843" s="52" t="str">
        <x:v>ChatGPT — Release Notes</x:v>
      </x:c>
      <x:c r="D843" s="52" t="str">
        <x:v>agents_research</x:v>
      </x:c>
      <x:c r="E843" s="52" t="str">
        <x:v>Codex</x:v>
      </x:c>
      <x:c r="F843" s="52" t="str">
        <x:v>feature</x:v>
      </x:c>
      <x:c r="G843" s="52" t="str">
        <x:v>active</x:v>
      </x:c>
      <x:c r="H843" s="63" t="str">
        <x:v>Remote control for Codex on Windows</x:v>
      </x:c>
      <x:c r="I843" s="63" t="str">
        <x:v>Windows 上 Codex 的遠端控制</x:v>
      </x:c>
      <x:c r="J843" s="63" t="str">
        <x:v>Users can steer Codex work running on a Windows host from ChatGPT mobile or Codex on Mac while project files and local context remain on the host.</x:v>
      </x:c>
      <x:c r="K843" s="63" t="str">
        <x:v>使用者可透過 ChatGPT 行動版或 Mac 上的 Codex，操控執行於 Windows 主機上的 Codex 工作，同時專案檔案與本機上下文仍保留在該主機上。</x:v>
      </x:c>
      <x:c r="L843" s="52" t="str">
        <x:v>https://help.openai.com/en/articles/6825453-chatgpt-release-notes</x:v>
      </x:c>
      <x:c r="M843" s="52" t="str">
        <x:v>help_center_release_notes</x:v>
      </x:c>
      <x:c r="N843" s="52" t="str">
        <x:v>complete</x:v>
      </x:c>
      <x:c r="O843" s="52" t="str">
        <x:v>high</x:v>
      </x:c>
      <x:c r="P843" s="60" t="n">
        <x:v>3</x:v>
      </x:c>
      <x:c r="Q843" s="52" t="str">
        <x:v>2026 | agents-research | codex | feature</x:v>
      </x:c>
    </x:row>
    <x:row r="844" ht="38" customHeight="1">
      <x:c r="A844" s="57" t="n">
        <x:v>46171</x:v>
      </x:c>
      <x:c r="B844" s="52" t="str">
        <x:v>chatgpt-release-notes</x:v>
      </x:c>
      <x:c r="C844" s="52" t="str">
        <x:v>ChatGPT — Release Notes</x:v>
      </x:c>
      <x:c r="D844" s="52" t="str">
        <x:v>agents_research</x:v>
      </x:c>
      <x:c r="E844" s="52" t="str">
        <x:v>Codex</x:v>
      </x:c>
      <x:c r="F844" s="52" t="str">
        <x:v>pricing_quota</x:v>
      </x:c>
      <x:c r="G844" s="52" t="str">
        <x:v>active</x:v>
      </x:c>
      <x:c r="H844" s="63" t="str">
        <x:v>Usage profiles in Codex</x:v>
      </x:c>
      <x:c r="I844" s="63" t="str">
        <x:v>Codex 使用設定檔</x:v>
      </x:c>
      <x:c r="J844" s="63" t="str">
        <x:v>Codex added usage profiles to help users understand and manage how work consumes included plan capacity.</x:v>
      </x:c>
      <x:c r="K844" s="63" t="str">
        <x:v>Codex 新增了使用設定檔，協助使用者了解並管理工作如何消耗包含的方案容量。</x:v>
      </x:c>
      <x:c r="L844" s="52" t="str">
        <x:v>https://help.openai.com/en/articles/6825453-chatgpt-release-notes</x:v>
      </x:c>
      <x:c r="M844" s="52" t="str">
        <x:v>help_center_release_notes</x:v>
      </x:c>
      <x:c r="N844" s="52" t="str">
        <x:v>complete</x:v>
      </x:c>
      <x:c r="O844" s="52" t="str">
        <x:v>high</x:v>
      </x:c>
      <x:c r="P844" s="60" t="n">
        <x:v>3</x:v>
      </x:c>
      <x:c r="Q844" s="52" t="str">
        <x:v>2026 | agents-research | codex | pricing_quota</x:v>
      </x:c>
    </x:row>
    <x:row r="845" ht="38" customHeight="1">
      <x:c r="A845" s="57" t="n">
        <x:v>46171</x:v>
      </x:c>
      <x:c r="B845" s="52" t="str">
        <x:v>api-changelog</x:v>
      </x:c>
      <x:c r="C845" s="52" t="str">
        <x:v>OpenAI API Changelog</x:v>
      </x:c>
      <x:c r="D845" s="52" t="str">
        <x:v>developer_platform</x:v>
      </x:c>
      <x:c r="E845" s="52" t="str">
        <x:v>ChatGPT Memory</x:v>
      </x:c>
      <x:c r="F845" s="52" t="str">
        <x:v>feature</x:v>
      </x:c>
      <x:c r="G845" s="52" t="str">
        <x:v>active</x:v>
      </x:c>
      <x:c r="H845" s="63" t="str">
        <x:v>v1/chat/completions For organizations without ZDR enabled, promptcacheretention now defaults to 24h instead of inmemory</x:v>
      </x:c>
      <x:c r="I845" s="63" t="str">
        <x:v>功能更新：ChatGPT Memory</x:v>
      </x:c>
      <x:c r="J845" s="63" t="str">
        <x:v>v1/chat/completions For organizations without ZDR enabled, promptcacheretention now defaults to 24h instead of inmemory, enabling extended prompt caching by default. Learn more.</x:v>
      </x:c>
      <x:c r="K845" s="63" t="str">
        <x:v>OpenAI 於 2026-05-29 為 ChatGPT Memory 新增功能；此節點依官方發布記錄整理，完整能力、適用方案與限制請見來源。</x:v>
      </x:c>
      <x:c r="L845" s="52" t="str">
        <x:v>https://platform.openai.com/docs/changelog</x:v>
      </x:c>
      <x:c r="M845" s="52" t="str">
        <x:v>developer_changelog</x:v>
      </x:c>
      <x:c r="N845" s="52" t="str">
        <x:v>parsed</x:v>
      </x:c>
      <x:c r="O845" s="52" t="str">
        <x:v>high</x:v>
      </x:c>
      <x:c r="P845" s="60" t="n">
        <x:v>0</x:v>
      </x:c>
      <x:c r="Q845" s="52" t="str"/>
    </x:row>
    <x:row r="846" ht="38" customHeight="1">
      <x:c r="A846" s="57" t="n">
        <x:v>46174</x:v>
      </x:c>
      <x:c r="B846" s="52" t="str">
        <x:v>chatgpt-release-notes</x:v>
      </x:c>
      <x:c r="C846" s="52" t="str">
        <x:v>ChatGPT — Release Notes</x:v>
      </x:c>
      <x:c r="D846" s="52" t="str">
        <x:v>search_commerce</x:v>
      </x:c>
      <x:c r="E846" s="52" t="str">
        <x:v>ChatGPT Search</x:v>
      </x:c>
      <x:c r="F846" s="52" t="str">
        <x:v>feature</x:v>
      </x:c>
      <x:c r="G846" s="52" t="str">
        <x:v>active</x:v>
      </x:c>
      <x:c r="H846" s="63" t="str">
        <x:v>Find live jobs and format your resume in ChatGPT</x:v>
      </x:c>
      <x:c r="I846" s="63" t="str">
        <x:v>在 ChatGPT 中尋找即時職缺並格式化您的履歷</x:v>
      </x:c>
      <x:c r="J846" s="63" t="str">
        <x:v>ChatGPT can now help with more of the job search process, from finding relevant live roles to tailoring a resume for a specific opportunity. When you search for jobs, ChatGPT can surface live listings and freelance opportunities from sources like Indeed, Upwork, Appcast, and across the web. Results are personalized using your experience, skills, and goals to highlight roles that may be a strong fit. You can follow links to apply dire…</x:v>
      </x:c>
      <x:c r="K846" s="63" t="str">
        <x:v>ChatGPT 現在可以協助處理更多求職流程，從尋找相關的即時職位到針對特定機會量身打造履歷。當您搜尋工作時，ChatGPT 可以從 Indeed、Upwork、Appcast 及網路各處列出即時職缺與自由接案機會。</x:v>
      </x:c>
      <x:c r="L846" s="52" t="str">
        <x:v>https://help.openai.com/en/articles/6825453-chatgpt-release-notes</x:v>
      </x:c>
      <x:c r="M846" s="52" t="str">
        <x:v>help_center_release_notes</x:v>
      </x:c>
      <x:c r="N846" s="52" t="str">
        <x:v>complete</x:v>
      </x:c>
      <x:c r="O846" s="52" t="str">
        <x:v>high</x:v>
      </x:c>
      <x:c r="P846" s="60" t="n">
        <x:v>3</x:v>
      </x:c>
      <x:c r="Q846" s="52" t="str">
        <x:v>2026 | chatgpt | feature | search-commerce</x:v>
      </x:c>
    </x:row>
    <x:row r="847" ht="38" customHeight="1">
      <x:c r="A847" s="57" t="n">
        <x:v>46174</x:v>
      </x:c>
      <x:c r="B847" s="52" t="str">
        <x:v>api-changelog</x:v>
      </x:c>
      <x:c r="C847" s="52" t="str">
        <x:v>OpenAI API Changelog</x:v>
      </x:c>
      <x:c r="D847" s="52" t="str">
        <x:v>developer_platform</x:v>
      </x:c>
      <x:c r="E847" s="52" t="str">
        <x:v>Responses API</x:v>
      </x:c>
      <x:c r="F847" s="52" t="str">
        <x:v>availability</x:v>
      </x:c>
      <x:c r="G847" s="52" t="str">
        <x:v>active</x:v>
      </x:c>
      <x:c r="H847" s="63" t="str">
        <x:v>OpenAI models are now available in Amazon Bedrock through an OpenAI-compatible Responses API endpoint.</x:v>
      </x:c>
      <x:c r="I847" s="63" t="str">
        <x:v>開放使用：Responses API</x:v>
      </x:c>
      <x:c r="J847" s="63" t="str">
        <x:v>OpenAI models are now available in Amazon Bedrock through an OpenAI-compatible Responses API endpoint. Supported models and features vary by AWS Region. Learn more.</x:v>
      </x:c>
      <x:c r="K847" s="63" t="str">
        <x:v>OpenAI 於 2026-06-01 為 Responses API 擴大開放範圍；此節點依官方發布記錄整理，完整能力、適用方案與限制請見來源。</x:v>
      </x:c>
      <x:c r="L847" s="52" t="str">
        <x:v>https://platform.openai.com/docs/changelog</x:v>
      </x:c>
      <x:c r="M847" s="52" t="str">
        <x:v>developer_changelog</x:v>
      </x:c>
      <x:c r="N847" s="52" t="str">
        <x:v>parsed</x:v>
      </x:c>
      <x:c r="O847" s="52" t="str">
        <x:v>high</x:v>
      </x:c>
      <x:c r="P847" s="60" t="n">
        <x:v>0</x:v>
      </x:c>
      <x:c r="Q847" s="52" t="str"/>
    </x:row>
    <x:row r="848" ht="38" customHeight="1">
      <x:c r="A848" s="57" t="n">
        <x:v>46174</x:v>
      </x:c>
      <x:c r="B848" s="52" t="str">
        <x:v>lane-openai-api-changelog</x:v>
      </x:c>
      <x:c r="C848" s="52" t="str">
        <x:v>OpenAI API Changelog</x:v>
      </x:c>
      <x:c r="D848" s="52" t="str">
        <x:v>agents_research</x:v>
      </x:c>
      <x:c r="E848" s="52" t="str">
        <x:v>Responses API</x:v>
      </x:c>
      <x:c r="F848" s="52" t="str">
        <x:v>availability</x:v>
      </x:c>
      <x:c r="G848" s="52" t="str">
        <x:v>active</x:v>
      </x:c>
      <x:c r="H848" s="63" t="str">
        <x:v>OpenAI models are now available in Amazon Bedrock through an OpenAI-compatible Responses API endpoint.</x:v>
      </x:c>
      <x:c r="I848" s="63" t="str">
        <x:v>OpenAI 模型透過相容 Responses API 登上 Amazon Bedrock</x:v>
      </x:c>
      <x:c r="J848" s="63" t="str">
        <x:v>OpenAI models are now available in Amazon Bedrock through an OpenAI-compatible Responses API endpoint. Supported models and features vary by AWS Region. Learn more .</x:v>
      </x:c>
      <x:c r="K848" s="63" t="str">
        <x:v>OpenAI 模型透過相容 Responses API 登上 Amazon Bedrock。OpenAI 將此列為 2026-06-01 的功能；重點涉及代理與工具調用，模型、端點與參數名稱依官方英文保留。</x:v>
      </x:c>
      <x:c r="L848" s="52" t="str">
        <x:v>https://developers.openai.com/api/docs/changelog</x:v>
      </x:c>
      <x:c r="M848" s="52" t="str">
        <x:v>official_changelog</x:v>
      </x:c>
      <x:c r="N848" s="52" t="str">
        <x:v>complete</x:v>
      </x:c>
      <x:c r="O848" s="52" t="str">
        <x:v>high</x:v>
      </x:c>
      <x:c r="P848" s="60" t="n">
        <x:v>2</x:v>
      </x:c>
      <x:c r="Q848" s="52" t="str">
        <x:v>agents | feature | responses-api</x:v>
      </x:c>
    </x:row>
    <x:row r="849" ht="38" customHeight="1">
      <x:c r="A849" s="57" t="n">
        <x:v>46174</x:v>
      </x:c>
      <x:c r="B849" s="52" t="str">
        <x:v>codex-changelog</x:v>
      </x:c>
      <x:c r="C849" s="52" t="str">
        <x:v>Codex Changelog</x:v>
      </x:c>
      <x:c r="D849" s="52" t="str">
        <x:v>agents_research</x:v>
      </x:c>
      <x:c r="E849" s="52" t="str">
        <x:v>ChatGPT</x:v>
      </x:c>
      <x:c r="F849" s="52" t="str">
        <x:v>model_update</x:v>
      </x:c>
      <x:c r="G849" s="52" t="str">
        <x:v>active</x:v>
      </x:c>
      <x:c r="H849" s="63" t="str">
        <x:v>Terminal placement controls 26.601</x:v>
      </x:c>
      <x:c r="I849" s="63" t="str">
        <x:v>Terminal placement controls 26.601 更新</x:v>
      </x:c>
      <x:c r="J849" s="63" t="str">
        <x:v>New features Added Default terminal location in General settings . When the bottom panel is enabled, choose whether the terminal shortcut and environment actions open terminal tabs in the bottom panel or the right panel. Performance improvements and bug fixes Additional performance improvements and bug fixes.</x:v>
      </x:c>
      <x:c r="K849" s="63" t="str">
        <x:v>OpenAI 於 2026-06-01 為 ChatGPT 新增功能；此節點依官方發布記錄整理，完整能力、適用方案與限制請見來源。</x:v>
      </x:c>
      <x:c r="L849" s="52" t="str">
        <x:v>https://developers.openai.com/codex/changelog/</x:v>
      </x:c>
      <x:c r="M849" s="52" t="str">
        <x:v>developer_changelog</x:v>
      </x:c>
      <x:c r="N849" s="52" t="str">
        <x:v>complete</x:v>
      </x:c>
      <x:c r="O849" s="52" t="str">
        <x:v>high</x:v>
      </x:c>
      <x:c r="P849" s="60" t="n">
        <x:v>1</x:v>
      </x:c>
      <x:c r="Q849" s="52" t="str">
        <x:v>codex | release-notes</x:v>
      </x:c>
    </x:row>
    <x:row r="850" ht="38" customHeight="1">
      <x:c r="A850" s="57" t="n">
        <x:v>46174</x:v>
      </x:c>
      <x:c r="B850" s="52" t="str">
        <x:v>codex-changelog</x:v>
      </x:c>
      <x:c r="C850" s="52" t="str">
        <x:v>Codex Changelog</x:v>
      </x:c>
      <x:c r="D850" s="52" t="str">
        <x:v>agents_research</x:v>
      </x:c>
      <x:c r="E850" s="52" t="str">
        <x:v>Codex</x:v>
      </x:c>
      <x:c r="F850" s="52" t="str">
        <x:v>pricing_quota</x:v>
      </x:c>
      <x:c r="G850" s="52" t="str">
        <x:v>active</x:v>
      </x:c>
      <x:c r="H850" s="63" t="str">
        <x:v>Use Codex with Amazon Bedrock</x:v>
      </x:c>
      <x:c r="I850" s="63" t="str">
        <x:v>Use Codex with Amazon Bedrock 更新</x:v>
      </x:c>
      <x:c r="J850" s="63" t="str">
        <x:v>Codex can now use supported OpenAI models available through Amazon Bedrock. Configure Amazon Bedrock as your model provider to run Codex locally with AWS-managed authentication, account controls, and billing.</x:v>
      </x:c>
      <x:c r="K850" s="63" t="str">
        <x:v>Codex Changelog 在 2026-06-01 記錄了Codex 編碼代理、定價與用量相關更新；完整版本與修正內容見官方英文摘要。</x:v>
      </x:c>
      <x:c r="L850" s="52" t="str">
        <x:v>https://developers.openai.com/codex/changelog/</x:v>
      </x:c>
      <x:c r="M850" s="52" t="str">
        <x:v>developer_changelog</x:v>
      </x:c>
      <x:c r="N850" s="52" t="str">
        <x:v>complete</x:v>
      </x:c>
      <x:c r="O850" s="52" t="str">
        <x:v>high</x:v>
      </x:c>
      <x:c r="P850" s="60" t="n">
        <x:v>3</x:v>
      </x:c>
      <x:c r="Q850" s="52" t="str">
        <x:v>codex | release-notes</x:v>
      </x:c>
    </x:row>
    <x:row r="851" ht="38" customHeight="1">
      <x:c r="A851" s="57" t="n">
        <x:v>46175</x:v>
      </x:c>
      <x:c r="B851" s="52" t="str">
        <x:v>chatgpt-release-notes</x:v>
      </x:c>
      <x:c r="C851" s="52" t="str">
        <x:v>ChatGPT — Release Notes</x:v>
      </x:c>
      <x:c r="D851" s="52" t="str">
        <x:v>safety_lifecycle</x:v>
      </x:c>
      <x:c r="E851" s="52" t="str">
        <x:v>ChatGPT</x:v>
      </x:c>
      <x:c r="F851" s="52" t="str">
        <x:v>safety</x:v>
      </x:c>
      <x:c r="G851" s="52" t="str">
        <x:v>active</x:v>
      </x:c>
      <x:c r="H851" s="63" t="str">
        <x:v>Active account session controls</x:v>
      </x:c>
      <x:c r="I851" s="63" t="str">
        <x:v>主動帳號工作階段控制</x:v>
      </x:c>
      <x:c r="J851" s="63" t="str">
        <x:v>We’re rolling out Active sessions, a new security feature in ChatGPT that helps users review sessions associated with their account and sign out of sessions they don’t recognize. Users can now: Review first-party OpenAI sessions from Settings Security Active sessions, with available details such as device, app, approximate location, sign-in time, trusted-device status, and whether it is the current session Log out of individual sessi…</x:v>
      </x:c>
      <x:c r="K851" s="63" t="str">
        <x:v>我們正推出「主動工作階段」(Active sessions)，這是 ChatGPT 的一項新安全功能，協助使用者檢視與其帳號相關聯的工作階段，並登出未識別的工作階段。</x:v>
      </x:c>
      <x:c r="L851" s="52" t="str">
        <x:v>https://help.openai.com/en/articles/6825453-chatgpt-release-notes</x:v>
      </x:c>
      <x:c r="M851" s="52" t="str">
        <x:v>help_center_release_notes</x:v>
      </x:c>
      <x:c r="N851" s="52" t="str">
        <x:v>complete</x:v>
      </x:c>
      <x:c r="O851" s="52" t="str">
        <x:v>high</x:v>
      </x:c>
      <x:c r="P851" s="60" t="n">
        <x:v>3</x:v>
      </x:c>
      <x:c r="Q851" s="52" t="str">
        <x:v>2026 | chatgpt | safety | safety-lifecycle</x:v>
      </x:c>
    </x:row>
    <x:row r="852" ht="38" customHeight="1">
      <x:c r="A852" s="57" t="n">
        <x:v>46175</x:v>
      </x:c>
      <x:c r="B852" s="52" t="str">
        <x:v>codex-changelog</x:v>
      </x:c>
      <x:c r="C852" s="52" t="str">
        <x:v>Codex Changelog</x:v>
      </x:c>
      <x:c r="D852" s="52" t="str">
        <x:v>agents_research</x:v>
      </x:c>
      <x:c r="E852" s="52" t="str">
        <x:v>ChatGPT Sites</x:v>
      </x:c>
      <x:c r="F852" s="52" t="str">
        <x:v>launch</x:v>
      </x:c>
      <x:c r="G852" s="52" t="str">
        <x:v>active</x:v>
      </x:c>
      <x:c r="H852" s="63" t="str">
        <x:v>Build and deploy websites with Sites</x:v>
      </x:c>
      <x:c r="I852" s="63" t="str">
        <x:v>建置並部署 websites with Sites</x:v>
      </x:c>
      <x:c r="J852" s="63" t="str">
        <x:v>Sites is now available in preview in the Codex app. Use the Sites plugin to create, save, deploy, and inspect websites, dashboards, internal tools, web apps, and games hosted by OpenAI. Open Sites in the app sidebar to return to your projects and manage hosted environment variables and secrets. ChatGPT Business workspaces include Sites by default. ChatGPT Enterprise admins can enable Sites for the appropriate roles through role-based…</x:v>
      </x:c>
      <x:c r="K852" s="63" t="str">
        <x:v>Codex Changelog 在 2026-06-02 記錄了Codex 編碼代理、代理與工具調用、企業管理控制相關更新；完整版本與修正內容見官方英文摘要。</x:v>
      </x:c>
      <x:c r="L852" s="52" t="str">
        <x:v>https://developers.openai.com/codex/changelog/</x:v>
      </x:c>
      <x:c r="M852" s="52" t="str">
        <x:v>developer_changelog</x:v>
      </x:c>
      <x:c r="N852" s="52" t="str">
        <x:v>complete</x:v>
      </x:c>
      <x:c r="O852" s="52" t="str">
        <x:v>high</x:v>
      </x:c>
      <x:c r="P852" s="60" t="n">
        <x:v>5</x:v>
      </x:c>
      <x:c r="Q852" s="52" t="str">
        <x:v>codex | release-notes</x:v>
      </x:c>
    </x:row>
    <x:row r="853" ht="38" customHeight="1">
      <x:c r="A853" s="57" t="n">
        <x:v>46175</x:v>
      </x:c>
      <x:c r="B853" s="52" t="str">
        <x:v>codex-changelog</x:v>
      </x:c>
      <x:c r="C853" s="52" t="str">
        <x:v>Codex Changelog</x:v>
      </x:c>
      <x:c r="D853" s="52" t="str">
        <x:v>clients_surfaces</x:v>
      </x:c>
      <x:c r="E853" s="52" t="str">
        <x:v>Codex Mobile</x:v>
      </x:c>
      <x:c r="F853" s="52" t="str">
        <x:v>model_update</x:v>
      </x:c>
      <x:c r="G853" s="52" t="str">
        <x:v>active</x:v>
      </x:c>
      <x:c r="H853" s="63" t="str">
        <x:v>ChatGPT for iOS 1.2026.146</x:v>
      </x:c>
      <x:c r="I853" s="63" t="str">
        <x:v>ChatGPT for iOS 1.2026.146 更新</x:v>
      </x:c>
      <x:c r="J853" s="63" t="str">
        <x:v>New features Added an optional Face ID or passcode lock for Codex. Added a new settings screen for choosing Queue or Steer as the default follow-up behavior and toggling line wrapping for code diffs. Added support for connecting to Windows machines over SSH. Improvements and bug fixes Added support for /side to start a side conversation with an initial question. Improved follow-up prompts, the Codex home screen, and viewing changed f…</x:v>
      </x:c>
      <x:c r="K853" s="63" t="str">
        <x:v>Codex Changelog 在 2026-06-02 記錄了Codex 編碼代理、可靠性與效能修正相關更新；完整版本與修正內容見官方英文摘要。</x:v>
      </x:c>
      <x:c r="L853" s="52" t="str">
        <x:v>https://developers.openai.com/codex/changelog/</x:v>
      </x:c>
      <x:c r="M853" s="52" t="str">
        <x:v>developer_changelog</x:v>
      </x:c>
      <x:c r="N853" s="52" t="str">
        <x:v>complete</x:v>
      </x:c>
      <x:c r="O853" s="52" t="str">
        <x:v>high</x:v>
      </x:c>
      <x:c r="P853" s="60" t="n">
        <x:v>2</x:v>
      </x:c>
      <x:c r="Q853" s="52" t="str">
        <x:v>codex | mobile | release-notes</x:v>
      </x:c>
    </x:row>
    <x:row r="854" ht="38" customHeight="1">
      <x:c r="A854" s="57" t="n">
        <x:v>46175</x:v>
      </x:c>
      <x:c r="B854" s="52" t="str">
        <x:v>enterprise-edu-release-notes</x:v>
      </x:c>
      <x:c r="C854" s="52" t="str">
        <x:v>ChatGPT Enterprise &amp; Edu — Release Notes</x:v>
      </x:c>
      <x:c r="D854" s="52" t="str">
        <x:v>enterprise_vertical</x:v>
      </x:c>
      <x:c r="E854" s="52" t="str">
        <x:v>ChatGPT Sites</x:v>
      </x:c>
      <x:c r="F854" s="52" t="str">
        <x:v>launch</x:v>
      </x:c>
      <x:c r="G854" s="52" t="str">
        <x:v>research_preview</x:v>
      </x:c>
      <x:c r="H854" s="63" t="str">
        <x:v>ChatGPT Sites preview and role-specific Codex plugins</x:v>
      </x:c>
      <x:c r="I854" s="63" t="str">
        <x:v>ChatGPT Sites 預覽與角色型 Codex Plugins</x:v>
      </x:c>
      <x:c r="J854" s="63" t="str">
        <x:v>Enterprise and Edu received a preview of workspace-internal ChatGPT Sites plus role-specific Codex plugins and a wider plugin catalog under workspace controls.</x:v>
      </x:c>
      <x:c r="K854" s="63" t="str">
        <x:v>Enterprise 與 Edu 獲得工作區內部 ChatGPT Sites 預覽、角色型 Codex plugins 與受控的更大 plugin 目錄。</x:v>
      </x:c>
      <x:c r="L854" s="52" t="str">
        <x:v>https://help.openai.com/en/articles/10128477-chatgpt-enterprise-edu-release-notes</x:v>
      </x:c>
      <x:c r="M854" s="52" t="str">
        <x:v>help_center_release_notes</x:v>
      </x:c>
      <x:c r="N854" s="52" t="str">
        <x:v>parsed</x:v>
      </x:c>
      <x:c r="O854" s="52" t="str">
        <x:v>high</x:v>
      </x:c>
      <x:c r="P854" s="60" t="n">
        <x:v>5</x:v>
      </x:c>
      <x:c r="Q854" s="52" t="str">
        <x:v>enterprise | plugins | sites</x:v>
      </x:c>
    </x:row>
    <x:row r="855" ht="38" customHeight="1">
      <x:c r="A855" s="57" t="n">
        <x:v>46175</x:v>
      </x:c>
      <x:c r="B855" s="52" t="str">
        <x:v>api-deprecations</x:v>
      </x:c>
      <x:c r="C855" s="52" t="str">
        <x:v>OpenAI API Deprecations</x:v>
      </x:c>
      <x:c r="D855" s="52" t="str">
        <x:v>safety_lifecycle</x:v>
      </x:c>
      <x:c r="E855" s="52" t="str">
        <x:v>OpenAI API</x:v>
      </x:c>
      <x:c r="F855" s="52" t="str">
        <x:v>deprecation</x:v>
      </x:c>
      <x:c r="G855" s="52" t="str">
        <x:v>deprecated</x:v>
      </x:c>
      <x:c r="H855" s="63" t="str">
        <x:v>GPT Image model deprecations</x:v>
      </x:c>
      <x:c r="I855" s="63" t="str">
        <x:v>淘汰通知：GPT Image model deprecations</x:v>
      </x:c>
      <x:c r="J855" s="63" t="str">
        <x:v>On June 2, 2026, we notified developers using older GPT Image models of their deprecation and removal from the API on December 1, 2026.</x:v>
      </x:c>
      <x:c r="K855" s="63" t="str">
        <x:v>OpenAI 於 2026-06-02 為 OpenAI API 公布淘汰計畫；此節點依官方發布記錄整理，完整能力、適用方案與限制請見來源。</x:v>
      </x:c>
      <x:c r="L855" s="52" t="str">
        <x:v>https://platform.openai.com/docs/deprecations</x:v>
      </x:c>
      <x:c r="M855" s="52" t="str">
        <x:v>developer_deprecations</x:v>
      </x:c>
      <x:c r="N855" s="52" t="str">
        <x:v>parsed</x:v>
      </x:c>
      <x:c r="O855" s="52" t="str">
        <x:v>high</x:v>
      </x:c>
      <x:c r="P855" s="60" t="n">
        <x:v>0</x:v>
      </x:c>
      <x:c r="Q855" s="52" t="str"/>
    </x:row>
    <x:row r="856" ht="38" customHeight="1">
      <x:c r="A856" s="57" t="n">
        <x:v>46175</x:v>
      </x:c>
      <x:c r="B856" s="52" t="str">
        <x:v>lane-openai-api-deprecations</x:v>
      </x:c>
      <x:c r="C856" s="52" t="str">
        <x:v>OpenAI API Deprecations</x:v>
      </x:c>
      <x:c r="D856" s="52" t="str">
        <x:v>safety_lifecycle</x:v>
      </x:c>
      <x:c r="E856" s="52" t="str">
        <x:v>Image API</x:v>
      </x:c>
      <x:c r="F856" s="52" t="str">
        <x:v>deprecation</x:v>
      </x:c>
      <x:c r="G856" s="52" t="str">
        <x:v>deprecated</x:v>
      </x:c>
      <x:c r="H856" s="63" t="str">
        <x:v>GPT Image model deprecations deprecation</x:v>
      </x:c>
      <x:c r="I856" s="63" t="str">
        <x:v>GPT Image model deprecations 棄用公告</x:v>
      </x:c>
      <x:c r="J856" s="63" t="str">
        <x:v>On June 2, 2026, we notified developers using older GPT Image models of their deprecation and removal from the API on December 1, 2026. Schedule/replacements: Dec 1, 2026 gpt-image-1-mini gpt-image-2; Dec 1, 2026 gpt-image-1.5 gpt-image-2; Dec 1, 2026 chatgpt-image-latest gpt-image-2</x:v>
      </x:c>
      <x:c r="K856" s="63" t="str">
        <x:v>OpenAI 於 2026-06-02 公告 GPT Image model deprecations 的棄用或下線時程，並列出替代方案與遷移方向。</x:v>
      </x:c>
      <x:c r="L856" s="52" t="str">
        <x:v>https://developers.openai.com/api/docs/deprecations#2026-06-02-gpt-image-model-deprecations</x:v>
      </x:c>
      <x:c r="M856" s="52" t="str">
        <x:v>official_deprecation_registry</x:v>
      </x:c>
      <x:c r="N856" s="52" t="str">
        <x:v>complete</x:v>
      </x:c>
      <x:c r="O856" s="52" t="str">
        <x:v>high</x:v>
      </x:c>
      <x:c r="P856" s="60" t="n">
        <x:v>4</x:v>
      </x:c>
      <x:c r="Q856" s="52" t="str">
        <x:v>api | deprecation | image-api</x:v>
      </x:c>
    </x:row>
    <x:row r="857" ht="38" customHeight="1">
      <x:c r="A857" s="57" t="n">
        <x:v>46175</x:v>
      </x:c>
      <x:c r="B857" s="52" t="str">
        <x:v>api-changelog</x:v>
      </x:c>
      <x:c r="C857" s="52" t="str">
        <x:v>OpenAI API Changelog</x:v>
      </x:c>
      <x:c r="D857" s="52" t="str">
        <x:v>developer_platform</x:v>
      </x:c>
      <x:c r="E857" s="52" t="str">
        <x:v>OpenAI API</x:v>
      </x:c>
      <x:c r="F857" s="52" t="str">
        <x:v>pricing_quota</x:v>
      </x:c>
      <x:c r="G857" s="52" t="str">
        <x:v>active</x:v>
      </x:c>
      <x:c r="H857" s="63" t="str">
        <x:v>Starting June 2</x:v>
      </x:c>
      <x:c r="I857" s="63" t="str">
        <x:v>方案更新：Starting June 2</x:v>
      </x:c>
      <x:c r="J857" s="63" t="str">
        <x:v>Starting June 2, 2026, eligible container sessions will be billed per minute with a 5-minute minimum, instead of being billed at the full 20-minute session rate. The underlying per-minute rate will remain the same. This update is intended to make billing more granular for shorter sessions and will lower effective cost for customers.</x:v>
      </x:c>
      <x:c r="K857" s="63" t="str">
        <x:v>OpenAI 於 2026-06-02 為 OpenAI API 調整方案、額度或計費；此節點依官方發布記錄整理，完整能力、適用方案與限制請見來源。</x:v>
      </x:c>
      <x:c r="L857" s="52" t="str">
        <x:v>https://platform.openai.com/docs/changelog</x:v>
      </x:c>
      <x:c r="M857" s="52" t="str">
        <x:v>developer_changelog</x:v>
      </x:c>
      <x:c r="N857" s="52" t="str">
        <x:v>parsed</x:v>
      </x:c>
      <x:c r="O857" s="52" t="str">
        <x:v>high</x:v>
      </x:c>
      <x:c r="P857" s="60" t="n">
        <x:v>0</x:v>
      </x:c>
      <x:c r="Q857" s="52" t="str"/>
    </x:row>
    <x:row r="858" ht="38" customHeight="1">
      <x:c r="A858" s="57" t="n">
        <x:v>46175</x:v>
      </x:c>
      <x:c r="B858" s="52" t="str">
        <x:v>lane-openai-api-changelog</x:v>
      </x:c>
      <x:c r="C858" s="52" t="str">
        <x:v>OpenAI API Changelog</x:v>
      </x:c>
      <x:c r="D858" s="52" t="str">
        <x:v>developer_platform</x:v>
      </x:c>
      <x:c r="E858" s="52" t="str">
        <x:v>OpenAI API Platform</x:v>
      </x:c>
      <x:c r="F858" s="52" t="str">
        <x:v>pricing_quota</x:v>
      </x:c>
      <x:c r="G858" s="52" t="str">
        <x:v>active</x:v>
      </x:c>
      <x:c r="H858" s="63" t="str">
        <x:v>Starting June 2</x:v>
      </x:c>
      <x:c r="I858" s="63" t="str">
        <x:v>方案更新：OpenAI API Platform</x:v>
      </x:c>
      <x:c r="J858" s="63" t="str">
        <x:v>Starting June 2, 2026, eligible container sessions will be billed per minute with a 5-minute minimum, instead of being billed at the full 20-minute session rate. The underlying per-minute rate will remain the same. This update is intended to make billing more granular for shorter sessions and will lower effective cost for customers. You can find current built-in tool pricing in our API pricing docs .</x:v>
      </x:c>
      <x:c r="K858" s="63" t="str">
        <x:v>自：June 2, 2026, eligible container sessions will be billed per minute with a 5-minute minimum, instead of being billed at full 20-minute session rate。OpenAI 將此列為 2026-06-02 的更新；重點涉及代理與工具調用、定價與用量，模型、端點與參數名稱依官方英文保留。</x:v>
      </x:c>
      <x:c r="L858" s="52" t="str">
        <x:v>https://developers.openai.com/api/docs/changelog</x:v>
      </x:c>
      <x:c r="M858" s="52" t="str">
        <x:v>official_changelog</x:v>
      </x:c>
      <x:c r="N858" s="52" t="str">
        <x:v>complete</x:v>
      </x:c>
      <x:c r="O858" s="52" t="str">
        <x:v>high</x:v>
      </x:c>
      <x:c r="P858" s="60" t="n">
        <x:v>3</x:v>
      </x:c>
      <x:c r="Q858" s="52" t="str">
        <x:v>api-platform | update</x:v>
      </x:c>
    </x:row>
    <x:row r="859" ht="38" customHeight="1">
      <x:c r="A859" s="57" t="n">
        <x:v>46176</x:v>
      </x:c>
      <x:c r="B859" s="52" t="str">
        <x:v>api-deprecations</x:v>
      </x:c>
      <x:c r="C859" s="52" t="str">
        <x:v>OpenAI API Deprecations</x:v>
      </x:c>
      <x:c r="D859" s="52" t="str">
        <x:v>safety_lifecycle</x:v>
      </x:c>
      <x:c r="E859" s="52" t="str">
        <x:v>ChatGPT Work</x:v>
      </x:c>
      <x:c r="F859" s="52" t="str">
        <x:v>deprecation</x:v>
      </x:c>
      <x:c r="G859" s="52" t="str">
        <x:v>deprecated</x:v>
      </x:c>
      <x:c r="H859" s="63" t="str">
        <x:v>Agent Builder</x:v>
      </x:c>
      <x:c r="I859" s="63" t="str">
        <x:v>淘汰通知：Agent Builder</x:v>
      </x:c>
      <x:c r="J859" s="63" t="str">
        <x:v>On June 3, 2026, we notified developers using Agent Builder that the product is being deprecated. ChatKit remains available. See Migrate from Agent Builder to continue with the Agents SDK or ChatGPT Workspace Agents.</x:v>
      </x:c>
      <x:c r="K859" s="63" t="str">
        <x:v>OpenAI 於 2026-06-03 為 ChatGPT Work 公布淘汰計畫；此節點依官方發布記錄整理，完整能力、適用方案與限制請見來源。</x:v>
      </x:c>
      <x:c r="L859" s="52" t="str">
        <x:v>https://platform.openai.com/docs/deprecations</x:v>
      </x:c>
      <x:c r="M859" s="52" t="str">
        <x:v>developer_deprecations</x:v>
      </x:c>
      <x:c r="N859" s="52" t="str">
        <x:v>parsed</x:v>
      </x:c>
      <x:c r="O859" s="52" t="str">
        <x:v>high</x:v>
      </x:c>
      <x:c r="P859" s="60" t="n">
        <x:v>0</x:v>
      </x:c>
      <x:c r="Q859" s="52" t="str"/>
    </x:row>
    <x:row r="860" ht="38" customHeight="1">
      <x:c r="A860" s="57" t="n">
        <x:v>46176</x:v>
      </x:c>
      <x:c r="B860" s="52" t="str">
        <x:v>lane-openai-api-deprecations</x:v>
      </x:c>
      <x:c r="C860" s="52" t="str">
        <x:v>OpenAI API Deprecations</x:v>
      </x:c>
      <x:c r="D860" s="52" t="str">
        <x:v>safety_lifecycle</x:v>
      </x:c>
      <x:c r="E860" s="52" t="str">
        <x:v>Agent Platform</x:v>
      </x:c>
      <x:c r="F860" s="52" t="str">
        <x:v>deprecation</x:v>
      </x:c>
      <x:c r="G860" s="52" t="str">
        <x:v>deprecated</x:v>
      </x:c>
      <x:c r="H860" s="63" t="str">
        <x:v>Agent Builder deprecation</x:v>
      </x:c>
      <x:c r="I860" s="63" t="str">
        <x:v>Agent Builder 棄用公告</x:v>
      </x:c>
      <x:c r="J860" s="63" t="str">
        <x:v>On June 3, 2026, we notified developers using Agent Builder that the product is being deprecated. ChatKit remains available. See Migrate from Agent Builder to continue with the Agents SDK or ChatGPT Workspace Agents. Schedule/replacements: Date Update; June 3, 2026 Deprecation announced for Agent Builder.; Nov 30, 2026 Agent Builder is scheduled to shut down.</x:v>
      </x:c>
      <x:c r="K860" s="63" t="str">
        <x:v>OpenAI 於 2026-06-03 公告 Agent Builder 的棄用或下線時程，並列出替代方案與遷移方向。</x:v>
      </x:c>
      <x:c r="L860" s="52" t="str">
        <x:v>https://developers.openai.com/api/docs/deprecations#2026-06-03-agent-builder</x:v>
      </x:c>
      <x:c r="M860" s="52" t="str">
        <x:v>official_deprecation_registry</x:v>
      </x:c>
      <x:c r="N860" s="52" t="str">
        <x:v>complete</x:v>
      </x:c>
      <x:c r="O860" s="52" t="str">
        <x:v>high</x:v>
      </x:c>
      <x:c r="P860" s="60" t="n">
        <x:v>4</x:v>
      </x:c>
      <x:c r="Q860" s="52" t="str">
        <x:v>agent-platform | api | deprecation</x:v>
      </x:c>
    </x:row>
    <x:row r="861" ht="38" customHeight="1">
      <x:c r="A861" s="57" t="n">
        <x:v>46176</x:v>
      </x:c>
      <x:c r="B861" s="52" t="str">
        <x:v>api-changelog</x:v>
      </x:c>
      <x:c r="C861" s="52" t="str">
        <x:v>OpenAI API Changelog</x:v>
      </x:c>
      <x:c r="D861" s="52" t="str">
        <x:v>safety_lifecycle</x:v>
      </x:c>
      <x:c r="E861" s="52" t="str">
        <x:v>OpenAI API</x:v>
      </x:c>
      <x:c r="F861" s="52" t="str">
        <x:v>deprecation</x:v>
      </x:c>
      <x:c r="G861" s="52" t="str">
        <x:v>deprecated</x:v>
      </x:c>
      <x:c r="H861" s="63" t="str">
        <x:v>Announced the deprecation of reusable prompt objects, the Evals platform, and Agent Builder.</x:v>
      </x:c>
      <x:c r="I861" s="63" t="str">
        <x:v>淘汰通知：OpenAI API</x:v>
      </x:c>
      <x:c r="J861" s="63" t="str">
        <x:v>Announced the deprecation of reusable prompt objects, the Evals platform, and Agent Builder. See the deprecations page for shutdown timelines and migration guidance.</x:v>
      </x:c>
      <x:c r="K861" s="63" t="str">
        <x:v>OpenAI 於 2026-06-03 為 OpenAI API 公布淘汰計畫；此節點依官方發布記錄整理，完整能力、適用方案與限制請見來源。</x:v>
      </x:c>
      <x:c r="L861" s="52" t="str">
        <x:v>https://platform.openai.com/docs/changelog</x:v>
      </x:c>
      <x:c r="M861" s="52" t="str">
        <x:v>developer_changelog</x:v>
      </x:c>
      <x:c r="N861" s="52" t="str">
        <x:v>parsed</x:v>
      </x:c>
      <x:c r="O861" s="52" t="str">
        <x:v>high</x:v>
      </x:c>
      <x:c r="P861" s="60" t="n">
        <x:v>0</x:v>
      </x:c>
      <x:c r="Q861" s="52" t="str"/>
    </x:row>
    <x:row r="862" ht="38" customHeight="1">
      <x:c r="A862" s="57" t="n">
        <x:v>46176</x:v>
      </x:c>
      <x:c r="B862" s="52" t="str">
        <x:v>lane-openai-api-changelog</x:v>
      </x:c>
      <x:c r="C862" s="52" t="str">
        <x:v>OpenAI API Changelog</x:v>
      </x:c>
      <x:c r="D862" s="52" t="str">
        <x:v>safety_lifecycle</x:v>
      </x:c>
      <x:c r="E862" s="52" t="str">
        <x:v>Lifecycle</x:v>
      </x:c>
      <x:c r="F862" s="52" t="str">
        <x:v>deprecation</x:v>
      </x:c>
      <x:c r="G862" s="52" t="str">
        <x:v>deprecated</x:v>
      </x:c>
      <x:c r="H862" s="63" t="str">
        <x:v>Announced the deprecation of reusable prompt objects, the Evals platform, and Agent Builder.</x:v>
      </x:c>
      <x:c r="I862" s="63" t="str">
        <x:v>宣布棄用可重用提示、Evals 平台與 Agent Builder</x:v>
      </x:c>
      <x:c r="J862" s="63" t="str">
        <x:v>Announced the deprecation of reusable prompt objects, the Evals platform, and Agent Builder. See the deprecations page for shutdown timelines and migration guidance.</x:v>
      </x:c>
      <x:c r="K862" s="63" t="str">
        <x:v>宣布棄用可重用提示、Evals 平台與 Agent Builder。OpenAI 將此列為 2026-06-03 的更新；重點涉及棄用與遷移、代理與工具調用，模型、端點與參數名稱依官方英文保留。</x:v>
      </x:c>
      <x:c r="L862" s="52" t="str">
        <x:v>https://developers.openai.com/api/docs/changelog</x:v>
      </x:c>
      <x:c r="M862" s="52" t="str">
        <x:v>official_changelog</x:v>
      </x:c>
      <x:c r="N862" s="52" t="str">
        <x:v>complete</x:v>
      </x:c>
      <x:c r="O862" s="52" t="str">
        <x:v>high</x:v>
      </x:c>
      <x:c r="P862" s="60" t="n">
        <x:v>4</x:v>
      </x:c>
      <x:c r="Q862" s="52" t="str">
        <x:v>deprecation | migration | update</x:v>
      </x:c>
    </x:row>
    <x:row r="863" ht="38" customHeight="1">
      <x:c r="A863" s="57" t="n">
        <x:v>46176</x:v>
      </x:c>
      <x:c r="B863" s="52" t="str">
        <x:v>api-deprecations</x:v>
      </x:c>
      <x:c r="C863" s="52" t="str">
        <x:v>OpenAI API Deprecations</x:v>
      </x:c>
      <x:c r="D863" s="52" t="str">
        <x:v>safety_lifecycle</x:v>
      </x:c>
      <x:c r="E863" s="52" t="str">
        <x:v>OpenAI API</x:v>
      </x:c>
      <x:c r="F863" s="52" t="str">
        <x:v>deprecation</x:v>
      </x:c>
      <x:c r="G863" s="52" t="str">
        <x:v>deprecated</x:v>
      </x:c>
      <x:c r="H863" s="63" t="str">
        <x:v>Evals platform</x:v>
      </x:c>
      <x:c r="I863" s="63" t="str">
        <x:v>淘汰通知：Evals platform</x:v>
      </x:c>
      <x:c r="J863" s="63" t="str">
        <x:v>On June 3, 2026, we notified developers using the Evals platform that the product is being deprecated. Graders documented for eval workflows are part of this transition. Fine-tuning-related timelines remain covered in the self-serve fine-tuning section below.</x:v>
      </x:c>
      <x:c r="K863" s="63" t="str">
        <x:v>OpenAI 於 2026-06-03 為 OpenAI API 公布淘汰計畫；此節點依官方發布記錄整理，完整能力、適用方案與限制請見來源。</x:v>
      </x:c>
      <x:c r="L863" s="52" t="str">
        <x:v>https://platform.openai.com/docs/deprecations</x:v>
      </x:c>
      <x:c r="M863" s="52" t="str">
        <x:v>developer_deprecations</x:v>
      </x:c>
      <x:c r="N863" s="52" t="str">
        <x:v>parsed</x:v>
      </x:c>
      <x:c r="O863" s="52" t="str">
        <x:v>high</x:v>
      </x:c>
      <x:c r="P863" s="60" t="n">
        <x:v>0</x:v>
      </x:c>
      <x:c r="Q863" s="52" t="str"/>
    </x:row>
    <x:row r="864" ht="38" customHeight="1">
      <x:c r="A864" s="57" t="n">
        <x:v>46176</x:v>
      </x:c>
      <x:c r="B864" s="52" t="str">
        <x:v>lane-openai-api-deprecations</x:v>
      </x:c>
      <x:c r="C864" s="52" t="str">
        <x:v>OpenAI API Deprecations</x:v>
      </x:c>
      <x:c r="D864" s="52" t="str">
        <x:v>safety_lifecycle</x:v>
      </x:c>
      <x:c r="E864" s="52" t="str">
        <x:v>Fine-tuning API</x:v>
      </x:c>
      <x:c r="F864" s="52" t="str">
        <x:v>deprecation</x:v>
      </x:c>
      <x:c r="G864" s="52" t="str">
        <x:v>deprecated</x:v>
      </x:c>
      <x:c r="H864" s="63" t="str">
        <x:v>Evals platform deprecation</x:v>
      </x:c>
      <x:c r="I864" s="63" t="str">
        <x:v>Evals platform 棄用公告</x:v>
      </x:c>
      <x:c r="J864" s="63" t="str">
        <x:v>On June 3, 2026, we notified developers using the Evals platform that the product is being deprecated. Graders documented for eval workflows are part of this transition. Fine-tuning-related timelines remain covered in the self-serve fine-tuning section below. See Moving from OpenAI Evals to Promptfoo for a migration path. Schedule/replacements: Date Update; June 3, 2026 Deprecation announced for the Evals platform.; Oct 31, 2026 Exis…</x:v>
      </x:c>
      <x:c r="K864" s="63" t="str">
        <x:v>OpenAI 於 2026-06-03 公告 Evals platform 的棄用或下線時程，並列出替代方案與遷移方向。</x:v>
      </x:c>
      <x:c r="L864" s="52" t="str">
        <x:v>https://developers.openai.com/api/docs/deprecations#2026-06-03-evals-platform</x:v>
      </x:c>
      <x:c r="M864" s="52" t="str">
        <x:v>official_deprecation_registry</x:v>
      </x:c>
      <x:c r="N864" s="52" t="str">
        <x:v>complete</x:v>
      </x:c>
      <x:c r="O864" s="52" t="str">
        <x:v>high</x:v>
      </x:c>
      <x:c r="P864" s="60" t="n">
        <x:v>4</x:v>
      </x:c>
      <x:c r="Q864" s="52" t="str">
        <x:v>api | deprecation | fine-tuning-api</x:v>
      </x:c>
    </x:row>
    <x:row r="865" ht="38" customHeight="1">
      <x:c r="A865" s="57" t="n">
        <x:v>46176</x:v>
      </x:c>
      <x:c r="B865" s="52" t="str">
        <x:v>api-deprecations</x:v>
      </x:c>
      <x:c r="C865" s="52" t="str">
        <x:v>OpenAI API Deprecations</x:v>
      </x:c>
      <x:c r="D865" s="52" t="str">
        <x:v>safety_lifecycle</x:v>
      </x:c>
      <x:c r="E865" s="52" t="str">
        <x:v>OpenAI API</x:v>
      </x:c>
      <x:c r="F865" s="52" t="str">
        <x:v>deprecation</x:v>
      </x:c>
      <x:c r="G865" s="52" t="str">
        <x:v>deprecated</x:v>
      </x:c>
      <x:c r="H865" s="63" t="str">
        <x:v>Reusable prompts</x:v>
      </x:c>
      <x:c r="I865" s="63" t="str">
        <x:v>淘汰通知：Reusable prompts</x:v>
      </x:c>
      <x:c r="J865" s="63" t="str">
        <x:v>On June 3, 2026, we notified developers using reusable prompts in the dashboard and API that reusable prompt objects are being deprecated. To migrate, move reusable prompt content into your application code. See Migrate from prompt objects.</x:v>
      </x:c>
      <x:c r="K865" s="63" t="str">
        <x:v>OpenAI 於 2026-06-03 為 OpenAI API 公布淘汰計畫；此節點依官方發布記錄整理，完整能力、適用方案與限制請見來源。</x:v>
      </x:c>
      <x:c r="L865" s="52" t="str">
        <x:v>https://platform.openai.com/docs/deprecations</x:v>
      </x:c>
      <x:c r="M865" s="52" t="str">
        <x:v>developer_deprecations</x:v>
      </x:c>
      <x:c r="N865" s="52" t="str">
        <x:v>parsed</x:v>
      </x:c>
      <x:c r="O865" s="52" t="str">
        <x:v>high</x:v>
      </x:c>
      <x:c r="P865" s="60" t="n">
        <x:v>0</x:v>
      </x:c>
      <x:c r="Q865" s="52" t="str"/>
    </x:row>
    <x:row r="866" ht="38" customHeight="1">
      <x:c r="A866" s="57" t="n">
        <x:v>46176</x:v>
      </x:c>
      <x:c r="B866" s="52" t="str">
        <x:v>lane-openai-api-deprecations</x:v>
      </x:c>
      <x:c r="C866" s="52" t="str">
        <x:v>OpenAI API Deprecations</x:v>
      </x:c>
      <x:c r="D866" s="52" t="str">
        <x:v>safety_lifecycle</x:v>
      </x:c>
      <x:c r="E866" s="52" t="str">
        <x:v>Agent Platform</x:v>
      </x:c>
      <x:c r="F866" s="52" t="str">
        <x:v>deprecation</x:v>
      </x:c>
      <x:c r="G866" s="52" t="str">
        <x:v>deprecated</x:v>
      </x:c>
      <x:c r="H866" s="63" t="str">
        <x:v>Reusable prompts deprecation</x:v>
      </x:c>
      <x:c r="I866" s="63" t="str">
        <x:v>Reusable prompts 棄用公告</x:v>
      </x:c>
      <x:c r="J866" s="63" t="str">
        <x:v>On June 3, 2026, we notified developers using reusable prompts in the dashboard and API that reusable prompt objects are being deprecated. To migrate, move reusable prompt content into your application code. See Migrate from prompt objects . Schedule/replacements: Date Update; June 3, 2026 Deprecation announced and prompt creation de-emphasized in the platform.; Nov 30, 2026 The v1/prompts API and reusable prompt objects are schedule…</x:v>
      </x:c>
      <x:c r="K866" s="63" t="str">
        <x:v>OpenAI 於 2026-06-03 公告 Reusable prompts 的棄用或下線時程，並列出替代方案與遷移方向。</x:v>
      </x:c>
      <x:c r="L866" s="52" t="str">
        <x:v>https://developers.openai.com/api/docs/deprecations#2026-06-03-reusable-prompts</x:v>
      </x:c>
      <x:c r="M866" s="52" t="str">
        <x:v>official_deprecation_registry</x:v>
      </x:c>
      <x:c r="N866" s="52" t="str">
        <x:v>complete</x:v>
      </x:c>
      <x:c r="O866" s="52" t="str">
        <x:v>high</x:v>
      </x:c>
      <x:c r="P866" s="60" t="n">
        <x:v>4</x:v>
      </x:c>
      <x:c r="Q866" s="52" t="str">
        <x:v>agent-platform | api | deprecation</x:v>
      </x:c>
    </x:row>
    <x:row r="867" ht="38" customHeight="1">
      <x:c r="A867" s="57" t="n">
        <x:v>46177</x:v>
      </x:c>
      <x:c r="B867" s="52" t="str">
        <x:v>lane-openai-api-changelog</x:v>
      </x:c>
      <x:c r="C867" s="52" t="str">
        <x:v>OpenAI API Changelog</x:v>
      </x:c>
      <x:c r="D867" s="52" t="str">
        <x:v>safety_lifecycle</x:v>
      </x:c>
      <x:c r="E867" s="52" t="str">
        <x:v>Safety &amp; Security</x:v>
      </x:c>
      <x:c r="F867" s="52" t="str">
        <x:v>safety</x:v>
      </x:c>
      <x:c r="G867" s="52" t="str">
        <x:v>active</x:v>
      </x:c>
      <x:c r="H867" s="63" t="str">
        <x:v>Added moderation scores to the Responses API and Chat Completions API.</x:v>
      </x:c>
      <x:c r="I867" s="63" t="str">
        <x:v>Responses 與 Chat Completions 新增內容審核分數</x:v>
      </x:c>
      <x:c r="J867" s="63" t="str">
        <x:v>Added moderation scores to the Responses API and Chat Completions API. Pass a moderation object in a generation request to receive moderation results for both the model input and generated output in the same response. Learn more in the Moderation guide .</x:v>
      </x:c>
      <x:c r="K867" s="63" t="str">
        <x:v>Responses 與 Chat Completions 新增內容審核分數。OpenAI 將此列為 2026-06-04 的功能；重點涉及安全與治理、代理與工具調用，模型、端點與參數名稱依官方英文保留。</x:v>
      </x:c>
      <x:c r="L867" s="52" t="str">
        <x:v>https://developers.openai.com/api/docs/changelog</x:v>
      </x:c>
      <x:c r="M867" s="52" t="str">
        <x:v>official_changelog</x:v>
      </x:c>
      <x:c r="N867" s="52" t="str">
        <x:v>complete</x:v>
      </x:c>
      <x:c r="O867" s="52" t="str">
        <x:v>high</x:v>
      </x:c>
      <x:c r="P867" s="60" t="n">
        <x:v>2</x:v>
      </x:c>
      <x:c r="Q867" s="52" t="str">
        <x:v>feature | safety | security</x:v>
      </x:c>
    </x:row>
    <x:row r="868" ht="38" customHeight="1">
      <x:c r="A868" s="57" t="n">
        <x:v>46177</x:v>
      </x:c>
      <x:c r="B868" s="52" t="str">
        <x:v>codex-changelog</x:v>
      </x:c>
      <x:c r="C868" s="52" t="str">
        <x:v>Codex Changelog</x:v>
      </x:c>
      <x:c r="D868" s="52" t="str">
        <x:v>agents_research</x:v>
      </x:c>
      <x:c r="E868" s="52" t="str">
        <x:v>Codex</x:v>
      </x:c>
      <x:c r="F868" s="52" t="str">
        <x:v>pricing_quota</x:v>
      </x:c>
      <x:c r="G868" s="52" t="str">
        <x:v>active</x:v>
      </x:c>
      <x:c r="H868" s="63" t="str">
        <x:v>Codex app updates 26.602</x:v>
      </x:c>
      <x:c r="I868" s="63" t="str">
        <x:v>Codex app updates 26.602 更新</x:v>
      </x:c>
      <x:c r="J868" s="63" t="str">
        <x:v>New features Added activity insights and share cards to the Profile section . You can review Codex usage highlights and save a profile card; sharing is available on consumer ChatGPT plans. Performance improvements and bug fixes Improved Computer Use startup readiness and appshot error reporting. Fixed browser and review UI issues, including fullscreen browser composer controls, hex color swatches, terminal scrollbar alignment, and an…</x:v>
      </x:c>
      <x:c r="K868" s="63" t="str">
        <x:v>Codex Changelog 在 2026-06-04 記錄了Codex 編碼代理、可靠性與效能修正相關更新；完整版本與修正內容見官方英文摘要。</x:v>
      </x:c>
      <x:c r="L868" s="52" t="str">
        <x:v>https://developers.openai.com/codex/changelog/</x:v>
      </x:c>
      <x:c r="M868" s="52" t="str">
        <x:v>developer_changelog</x:v>
      </x:c>
      <x:c r="N868" s="52" t="str">
        <x:v>complete</x:v>
      </x:c>
      <x:c r="O868" s="52" t="str">
        <x:v>high</x:v>
      </x:c>
      <x:c r="P868" s="60" t="n">
        <x:v>2</x:v>
      </x:c>
      <x:c r="Q868" s="52" t="str">
        <x:v>codex | release-notes</x:v>
      </x:c>
    </x:row>
    <x:row r="869" ht="38" customHeight="1">
      <x:c r="A869" s="57" t="n">
        <x:v>46177</x:v>
      </x:c>
      <x:c r="B869" s="52" t="str">
        <x:v>chatgpt-release-notes</x:v>
      </x:c>
      <x:c r="C869" s="52" t="str">
        <x:v>ChatGPT — Release Notes</x:v>
      </x:c>
      <x:c r="D869" s="52" t="str">
        <x:v>safety_lifecycle</x:v>
      </x:c>
      <x:c r="E869" s="52" t="str">
        <x:v>Deep Research</x:v>
      </x:c>
      <x:c r="F869" s="52" t="str">
        <x:v>safety</x:v>
      </x:c>
      <x:c r="G869" s="52" t="str">
        <x:v>active</x:v>
      </x:c>
      <x:c r="H869" s="63" t="str">
        <x:v>Lockdown Mode is now available to all logged-in users</x:v>
      </x:c>
      <x:c r="I869" s="63" t="str">
        <x:v>鎖定模式現已開放給所有登入使用者</x:v>
      </x:c>
      <x:c r="J869" s="63" t="str">
        <x:v>Lockdown Mode is now available to all logged-in users across account types and workspaces. It is an optional opt-in advanced security setting that limits access to the web and external services to help reduce the risk of data exfiltration from prompt injection attacks. When Lockdown Mode is on, ChatGPT restricts network-enabled capabilities such as live web browsing, deep research, agent mode, file downloads, and some web-derived ima…</x:v>
      </x:c>
      <x:c r="K869" s="63" t="str">
        <x:v>鎖定模式 (Lockdown Mode) 現已開放給各類帳號與工作空間的所有登入使用者。這是一項可選用的進階安全設定，會限制對網路與外部服務的存取，以降低提示詞注入攻擊導致資料外洩的風險。</x:v>
      </x:c>
      <x:c r="L869" s="52" t="str">
        <x:v>https://help.openai.com/en/articles/6825453-chatgpt-release-notes</x:v>
      </x:c>
      <x:c r="M869" s="52" t="str">
        <x:v>help_center_release_notes</x:v>
      </x:c>
      <x:c r="N869" s="52" t="str">
        <x:v>complete</x:v>
      </x:c>
      <x:c r="O869" s="52" t="str">
        <x:v>high</x:v>
      </x:c>
      <x:c r="P869" s="60" t="n">
        <x:v>3</x:v>
      </x:c>
      <x:c r="Q869" s="52" t="str">
        <x:v>2026 | chatgpt | safety | safety-lifecycle</x:v>
      </x:c>
    </x:row>
    <x:row r="870" ht="38" customHeight="1">
      <x:c r="A870" s="57" t="n">
        <x:v>46177</x:v>
      </x:c>
      <x:c r="B870" s="52" t="str">
        <x:v>chatgpt-release-notes</x:v>
      </x:c>
      <x:c r="C870" s="52" t="str">
        <x:v>ChatGPT — Release Notes</x:v>
      </x:c>
      <x:c r="D870" s="52" t="str">
        <x:v>memory_knowledge</x:v>
      </x:c>
      <x:c r="E870" s="52" t="str">
        <x:v>ChatGPT Memory</x:v>
      </x:c>
      <x:c r="F870" s="52" t="str">
        <x:v>feature</x:v>
      </x:c>
      <x:c r="G870" s="52" t="str">
        <x:v>active</x:v>
      </x:c>
      <x:c r="H870" s="63" t="str">
        <x:v>Memory that stays more up to date</x:v>
      </x:c>
      <x:c r="I870" s="63" t="str">
        <x:v>記憶功能保持更即時的更新</x:v>
      </x:c>
      <x:c r="J870" s="63" t="str">
        <x:v>We’ve upgraded memory so ChatGPT can better keep your context up to date, helping responses stay more relevant. This makes memory more useful by reducing stale or contradictory saved memories and helps ChatGPT better understand your preferences, goals, and ongoing work. You can review the memories that ChatGPT may use to personalize responses through sources or in your memory summary.…</x:v>
      </x:c>
      <x:c r="K870" s="63" t="str">
        <x:v>我們升級了記憶功能，讓 ChatGPT 能更即時地更新您的背景資訊，有助於讓回應保持更相關。此舉減少了過時或相互矛盾的儲存記憶，使記憶功能更實用，並協助 ChatGPT 更瞭解您的偏好、目標與進行中的工作。</x:v>
      </x:c>
      <x:c r="L870" s="52" t="str">
        <x:v>https://help.openai.com/en/articles/6825453-chatgpt-release-notes</x:v>
      </x:c>
      <x:c r="M870" s="52" t="str">
        <x:v>help_center_release_notes</x:v>
      </x:c>
      <x:c r="N870" s="52" t="str">
        <x:v>complete</x:v>
      </x:c>
      <x:c r="O870" s="52" t="str">
        <x:v>high</x:v>
      </x:c>
      <x:c r="P870" s="60" t="n">
        <x:v>3</x:v>
      </x:c>
      <x:c r="Q870" s="52" t="str">
        <x:v>2026 | feature | memory | memory-knowledge</x:v>
      </x:c>
    </x:row>
    <x:row r="871" ht="38" customHeight="1">
      <x:c r="A871" s="57" t="n">
        <x:v>46177</x:v>
      </x:c>
      <x:c r="B871" s="52" t="str">
        <x:v>api-changelog</x:v>
      </x:c>
      <x:c r="C871" s="52" t="str">
        <x:v>OpenAI API Changelog</x:v>
      </x:c>
      <x:c r="D871" s="52" t="str">
        <x:v>safety_lifecycle</x:v>
      </x:c>
      <x:c r="E871" s="52" t="str">
        <x:v>OpenAI API</x:v>
      </x:c>
      <x:c r="F871" s="52" t="str">
        <x:v>safety</x:v>
      </x:c>
      <x:c r="G871" s="52" t="str">
        <x:v>active</x:v>
      </x:c>
      <x:c r="H871" s="63" t="str">
        <x:v>omni-moderation-latest v1/chat/completions</x:v>
      </x:c>
      <x:c r="I871" s="63" t="str">
        <x:v>安全更新：omni-moderation-latest v1/chat/completions</x:v>
      </x:c>
      <x:c r="J871" s="63" t="str">
        <x:v>omni-moderation-latest v1/chat/completions</x:v>
      </x:c>
      <x:c r="K871" s="63" t="str">
        <x:v>OpenAI 於 2026-06-04 為 OpenAI API 更新安全與治理機制；此節點依官方發布記錄整理，完整能力、適用方案與限制請見來源。</x:v>
      </x:c>
      <x:c r="L871" s="52" t="str">
        <x:v>https://platform.openai.com/docs/changelog</x:v>
      </x:c>
      <x:c r="M871" s="52" t="str">
        <x:v>developer_changelog</x:v>
      </x:c>
      <x:c r="N871" s="52" t="str">
        <x:v>parsed</x:v>
      </x:c>
      <x:c r="O871" s="52" t="str">
        <x:v>high</x:v>
      </x:c>
      <x:c r="P871" s="60" t="n">
        <x:v>0</x:v>
      </x:c>
      <x:c r="Q871" s="52" t="str"/>
    </x:row>
    <x:row r="872" ht="38" customHeight="1">
      <x:c r="A872" s="57" t="n">
        <x:v>46177</x:v>
      </x:c>
      <x:c r="B872" s="52" t="str">
        <x:v>chatgpt-release-notes</x:v>
      </x:c>
      <x:c r="C872" s="52" t="str">
        <x:v>ChatGPT — Release Notes</x:v>
      </x:c>
      <x:c r="D872" s="52" t="str">
        <x:v>search_commerce</x:v>
      </x:c>
      <x:c r="E872" s="52" t="str">
        <x:v>ChatGPT Enterprise &amp; Edu</x:v>
      </x:c>
      <x:c r="F872" s="52" t="str">
        <x:v>availability</x:v>
      </x:c>
      <x:c r="G872" s="52" t="str">
        <x:v>active</x:v>
      </x:c>
      <x:c r="H872" s="63" t="str">
        <x:v>Rolling out ads in the UK</x:v>
      </x:c>
      <x:c r="I872" s="63" t="str">
        <x:v>於英國推出廣告</x:v>
      </x:c>
      <x:c r="J872" s="63" t="str">
        <x:v>We're beginning to roll out ads for users on Free and Go plans in the UK. Plus, Pro, Business, Enterprise, and Education plans will remain ad-free.</x:v>
      </x:c>
      <x:c r="K872" s="63" t="str">
        <x:v>OpenAI 於 2026-06-04 為 ChatGPT Enterprise &amp; Edu 調整方案、額度或計費；此節點依官方發布記錄整理，完整能力、適用方案與限制請見來源。</x:v>
      </x:c>
      <x:c r="L872" s="52" t="str">
        <x:v>https://help.openai.com/en/articles/6825453-chatgpt-release-notes</x:v>
      </x:c>
      <x:c r="M872" s="52" t="str">
        <x:v>help_center_release_notes</x:v>
      </x:c>
      <x:c r="N872" s="52" t="str">
        <x:v>complete</x:v>
      </x:c>
      <x:c r="O872" s="52" t="str">
        <x:v>high</x:v>
      </x:c>
      <x:c r="P872" s="60" t="n">
        <x:v>3</x:v>
      </x:c>
      <x:c r="Q872" s="52" t="str">
        <x:v>2026 | availability | chatgpt | search-commerce</x:v>
      </x:c>
    </x:row>
    <x:row r="873" ht="38" customHeight="1">
      <x:c r="A873" s="57" t="n">
        <x:v>46178</x:v>
      </x:c>
      <x:c r="B873" s="52" t="str">
        <x:v>enterprise-edu-release-notes</x:v>
      </x:c>
      <x:c r="C873" s="52" t="str">
        <x:v>ChatGPT Enterprise &amp; Edu — Release Notes</x:v>
      </x:c>
      <x:c r="D873" s="52" t="str">
        <x:v>enterprise_vertical</x:v>
      </x:c>
      <x:c r="E873" s="52" t="str">
        <x:v>Codex Plugins</x:v>
      </x:c>
      <x:c r="F873" s="52" t="str">
        <x:v>feature</x:v>
      </x:c>
      <x:c r="G873" s="52" t="str">
        <x:v>active</x:v>
      </x:c>
      <x:c r="H873" s="63" t="str">
        <x:v>Plugin sharing for Enterprise workspaces</x:v>
      </x:c>
      <x:c r="I873" s="63" t="str">
        <x:v>Enterprise 工作區 Plugin 分享</x:v>
      </x:c>
      <x:c r="J873" s="63" t="str">
        <x:v>Eligible ChatGPT Enterprise workspaces could share local Codex plugins with workspace members; admins could disable sharing through managed configuration.</x:v>
      </x:c>
      <x:c r="K873" s="63" t="str">
        <x:v>符合資格的 ChatGPT Enterprise 可向成員分享本機 Codex plugins，管理員可透過受管設定停用。</x:v>
      </x:c>
      <x:c r="L873" s="52" t="str">
        <x:v>https://help.openai.com/en/articles/10128477-chatgpt-enterprise-edu-release-notes</x:v>
      </x:c>
      <x:c r="M873" s="52" t="str">
        <x:v>help_center_release_notes</x:v>
      </x:c>
      <x:c r="N873" s="52" t="str">
        <x:v>parsed</x:v>
      </x:c>
      <x:c r="O873" s="52" t="str">
        <x:v>high</x:v>
      </x:c>
      <x:c r="P873" s="60" t="n">
        <x:v>4</x:v>
      </x:c>
      <x:c r="Q873" s="52" t="str">
        <x:v>codex | enterprise | plugins</x:v>
      </x:c>
    </x:row>
    <x:row r="874" ht="38" customHeight="1">
      <x:c r="A874" s="57" t="n">
        <x:v>46178</x:v>
      </x:c>
      <x:c r="B874" s="52" t="str">
        <x:v>api-changelog</x:v>
      </x:c>
      <x:c r="C874" s="52" t="str">
        <x:v>OpenAI API Changelog</x:v>
      </x:c>
      <x:c r="D874" s="52" t="str">
        <x:v>developer_platform</x:v>
      </x:c>
      <x:c r="E874" s="52" t="str">
        <x:v>OpenAI API</x:v>
      </x:c>
      <x:c r="F874" s="52" t="str">
        <x:v>launch</x:v>
      </x:c>
      <x:c r="G874" s="52" t="str">
        <x:v>active</x:v>
      </x:c>
      <x:c r="H874" s="63" t="str">
        <x:v>Released a redesigned navigation for the OpenAI API platform, visit here.</x:v>
      </x:c>
      <x:c r="I874" s="63" t="str">
        <x:v>推出：OpenAI API</x:v>
      </x:c>
      <x:c r="J874" s="63" t="str">
        <x:v>Released a redesigned navigation for the OpenAI API platform, visit here.</x:v>
      </x:c>
      <x:c r="K874" s="63" t="str">
        <x:v>OpenAI 於 2026-06-05 為 OpenAI API 推出新產品或能力；此節點依官方發布記錄整理，完整能力、適用方案與限制請見來源。</x:v>
      </x:c>
      <x:c r="L874" s="52" t="str">
        <x:v>https://platform.openai.com/docs/changelog</x:v>
      </x:c>
      <x:c r="M874" s="52" t="str">
        <x:v>developer_changelog</x:v>
      </x:c>
      <x:c r="N874" s="52" t="str">
        <x:v>parsed</x:v>
      </x:c>
      <x:c r="O874" s="52" t="str">
        <x:v>high</x:v>
      </x:c>
      <x:c r="P874" s="60" t="n">
        <x:v>0</x:v>
      </x:c>
      <x:c r="Q874" s="52" t="str"/>
    </x:row>
    <x:row r="875" ht="38" customHeight="1">
      <x:c r="A875" s="57" t="n">
        <x:v>46178</x:v>
      </x:c>
      <x:c r="B875" s="52" t="str">
        <x:v>lane-openai-api-changelog</x:v>
      </x:c>
      <x:c r="C875" s="52" t="str">
        <x:v>OpenAI API Changelog</x:v>
      </x:c>
      <x:c r="D875" s="52" t="str">
        <x:v>developer_platform</x:v>
      </x:c>
      <x:c r="E875" s="52" t="str">
        <x:v>OpenAI API Platform</x:v>
      </x:c>
      <x:c r="F875" s="52" t="str">
        <x:v>launch</x:v>
      </x:c>
      <x:c r="G875" s="52" t="str">
        <x:v>active</x:v>
      </x:c>
      <x:c r="H875" s="63" t="str">
        <x:v>Released a redesigned navigation for the OpenAI API platform, visit here.</x:v>
      </x:c>
      <x:c r="I875" s="63" t="str">
        <x:v>推出：OpenAI API Platform</x:v>
      </x:c>
      <x:c r="J875" s="63" t="str">
        <x:v>Released a redesigned navigation for the OpenAI API platform, visit here .</x:v>
      </x:c>
      <x:c r="K875" s="63" t="str">
        <x:v>推出：a redesigned navigation for OpenAI API platform, visit here。OpenAI 將此列為 2026-06-05 的更新；重點涉及平台功能與可用性，模型、端點與參數名稱依官方英文保留。</x:v>
      </x:c>
      <x:c r="L875" s="52" t="str">
        <x:v>https://developers.openai.com/api/docs/changelog</x:v>
      </x:c>
      <x:c r="M875" s="52" t="str">
        <x:v>official_changelog</x:v>
      </x:c>
      <x:c r="N875" s="52" t="str">
        <x:v>complete</x:v>
      </x:c>
      <x:c r="O875" s="52" t="str">
        <x:v>high</x:v>
      </x:c>
      <x:c r="P875" s="60" t="n">
        <x:v>3</x:v>
      </x:c>
      <x:c r="Q875" s="52" t="str">
        <x:v>api-platform | update</x:v>
      </x:c>
    </x:row>
    <x:row r="876" ht="38" customHeight="1">
      <x:c r="A876" s="57" t="n">
        <x:v>46181</x:v>
      </x:c>
      <x:c r="B876" s="52" t="str">
        <x:v>chatgpt-release-notes</x:v>
      </x:c>
      <x:c r="C876" s="52" t="str">
        <x:v>ChatGPT — Release Notes</x:v>
      </x:c>
      <x:c r="D876" s="52" t="str">
        <x:v>clients_surfaces</x:v>
      </x:c>
      <x:c r="E876" s="52" t="str">
        <x:v>ChatGPT</x:v>
      </x:c>
      <x:c r="F876" s="52" t="str">
        <x:v>model_update</x:v>
      </x:c>
      <x:c r="G876" s="52" t="str">
        <x:v>active</x:v>
      </x:c>
      <x:c r="H876" s="63" t="str">
        <x:v>ChatGPT app experience updates</x:v>
      </x:c>
      <x:c r="I876" s="63" t="str">
        <x:v>模型更新：ChatGPT app experience updates</x:v>
      </x:c>
      <x:c r="J876" s="63" t="str">
        <x:v>Improvement to charts, table of contents and full screen writing. Also fixes long-standing issues around editing messages with attachments, and various other bug fixes. Web, iOS, and Android</x:v>
      </x:c>
      <x:c r="K876" s="63" t="str">
        <x:v>OpenAI 於 2026-06-08 為 ChatGPT 更新模型或體驗；此節點依官方發布記錄整理，完整能力、適用方案與限制請見來源。</x:v>
      </x:c>
      <x:c r="L876" s="52" t="str">
        <x:v>https://help.openai.com/en/articles/6825453-chatgpt-release-notes</x:v>
      </x:c>
      <x:c r="M876" s="52" t="str">
        <x:v>help_center_release_notes</x:v>
      </x:c>
      <x:c r="N876" s="52" t="str">
        <x:v>parsed</x:v>
      </x:c>
      <x:c r="O876" s="52" t="str">
        <x:v>high</x:v>
      </x:c>
      <x:c r="P876" s="60" t="n">
        <x:v>0</x:v>
      </x:c>
      <x:c r="Q876" s="52" t="str"/>
    </x:row>
    <x:row r="877" ht="38" customHeight="1">
      <x:c r="A877" s="57" t="n">
        <x:v>46181</x:v>
      </x:c>
      <x:c r="B877" s="52" t="str">
        <x:v>enterprise-edu-release-notes</x:v>
      </x:c>
      <x:c r="C877" s="52" t="str">
        <x:v>ChatGPT Enterprise &amp; Edu — Release Notes</x:v>
      </x:c>
      <x:c r="D877" s="52" t="str">
        <x:v>enterprise_vertical</x:v>
      </x:c>
      <x:c r="E877" s="52" t="str">
        <x:v>ChatGPT Apps</x:v>
      </x:c>
      <x:c r="F877" s="52" t="str">
        <x:v>feature</x:v>
      </x:c>
      <x:c r="G877" s="52" t="str">
        <x:v>active</x:v>
      </x:c>
      <x:c r="H877" s="63" t="str">
        <x:v>Connected-app permission controls</x:v>
      </x:c>
      <x:c r="I877" s="63" t="str">
        <x:v>連接 App 權限控制</x:v>
      </x:c>
      <x:c r="J877" s="63" t="str">
        <x:v>Workspace admins could choose when ChatGPT asks before connected-app use, with workspace and per-app defaults such as Always ask, Any changes and Important actions.</x:v>
      </x:c>
      <x:c r="K877" s="63" t="str">
        <x:v>工作區管理員可設定 ChatGPT 使用連接 App 前何時詢問，並提供工作區與單一 App 的 Always ask、Any changes、Important actions 等預設。</x:v>
      </x:c>
      <x:c r="L877" s="52" t="str">
        <x:v>https://help.openai.com/en/articles/10128477-chatgpt-enterprise-edu-release-notes</x:v>
      </x:c>
      <x:c r="M877" s="52" t="str">
        <x:v>help_center_release_notes</x:v>
      </x:c>
      <x:c r="N877" s="52" t="str">
        <x:v>parsed</x:v>
      </x:c>
      <x:c r="O877" s="52" t="str">
        <x:v>high</x:v>
      </x:c>
      <x:c r="P877" s="60" t="n">
        <x:v>4</x:v>
      </x:c>
      <x:c r="Q877" s="52" t="str">
        <x:v>apps | enterprise | permissions</x:v>
      </x:c>
    </x:row>
    <x:row r="878" ht="38" customHeight="1">
      <x:c r="A878" s="57" t="n">
        <x:v>46181</x:v>
      </x:c>
      <x:c r="B878" s="52" t="str">
        <x:v>chatgpt-release-notes</x:v>
      </x:c>
      <x:c r="C878" s="52" t="str">
        <x:v>ChatGPT — Release Notes</x:v>
      </x:c>
      <x:c r="D878" s="52" t="str">
        <x:v>chatgpt_core</x:v>
      </x:c>
      <x:c r="E878" s="52" t="str">
        <x:v>ChatGPT</x:v>
      </x:c>
      <x:c r="F878" s="52" t="str">
        <x:v>feature</x:v>
      </x:c>
      <x:c r="G878" s="52" t="str">
        <x:v>active</x:v>
      </x:c>
      <x:c r="H878" s="63" t="str">
        <x:v>Full-screen writing blocks</x:v>
      </x:c>
      <x:c r="I878" s="63" t="str">
        <x:v>全螢幕寫作區塊</x:v>
      </x:c>
      <x:c r="J878" s="63" t="str">
        <x:v>ChatGPT writing blocks gained a full-screen editing view for longer drafting and revision work.</x:v>
      </x:c>
      <x:c r="K878" s="63" t="str">
        <x:v>ChatGPT 寫作區塊新增了全螢幕編輯檢視，方便進行更長的草稿編寫與修改工作。</x:v>
      </x:c>
      <x:c r="L878" s="52" t="str">
        <x:v>https://help.openai.com/en/articles/6825453-chatgpt-release-notes</x:v>
      </x:c>
      <x:c r="M878" s="52" t="str">
        <x:v>help_center_release_notes</x:v>
      </x:c>
      <x:c r="N878" s="52" t="str">
        <x:v>complete</x:v>
      </x:c>
      <x:c r="O878" s="52" t="str">
        <x:v>high</x:v>
      </x:c>
      <x:c r="P878" s="60" t="n">
        <x:v>3</x:v>
      </x:c>
      <x:c r="Q878" s="52" t="str">
        <x:v>2026 | chatgpt | chatgpt-core | feature</x:v>
      </x:c>
    </x:row>
    <x:row r="879" ht="38" customHeight="1">
      <x:c r="A879" s="57" t="n">
        <x:v>46181</x:v>
      </x:c>
      <x:c r="B879" s="52" t="str">
        <x:v>chatgpt-release-notes</x:v>
      </x:c>
      <x:c r="C879" s="52" t="str">
        <x:v>ChatGPT — Release Notes</x:v>
      </x:c>
      <x:c r="D879" s="52" t="str">
        <x:v>chatgpt_core</x:v>
      </x:c>
      <x:c r="E879" s="52" t="str">
        <x:v>ChatGPT</x:v>
      </x:c>
      <x:c r="F879" s="52" t="str">
        <x:v>feature</x:v>
      </x:c>
      <x:c r="G879" s="52" t="str">
        <x:v>active</x:v>
      </x:c>
      <x:c r="H879" s="63" t="str">
        <x:v>Improved message editing with attachments</x:v>
      </x:c>
      <x:c r="I879" s="63" t="str">
        <x:v>改善包含附件的訊息編輯功能</x:v>
      </x:c>
      <x:c r="J879" s="63" t="str">
        <x:v>ChatGPT fixed long-standing problems when editing messages that contain attachments.</x:v>
      </x:c>
      <x:c r="K879" s="63" t="str">
        <x:v>ChatGPT 修復了編輯包含附件之訊息時長期存在的問題。</x:v>
      </x:c>
      <x:c r="L879" s="52" t="str">
        <x:v>https://help.openai.com/en/articles/6825453-chatgpt-release-notes</x:v>
      </x:c>
      <x:c r="M879" s="52" t="str">
        <x:v>help_center_release_notes</x:v>
      </x:c>
      <x:c r="N879" s="52" t="str">
        <x:v>complete</x:v>
      </x:c>
      <x:c r="O879" s="52" t="str">
        <x:v>high</x:v>
      </x:c>
      <x:c r="P879" s="60" t="n">
        <x:v>3</x:v>
      </x:c>
      <x:c r="Q879" s="52" t="str">
        <x:v>2026 | chatgpt | chatgpt-core | feature</x:v>
      </x:c>
    </x:row>
    <x:row r="880" ht="38" customHeight="1">
      <x:c r="A880" s="57" t="n">
        <x:v>46181</x:v>
      </x:c>
      <x:c r="B880" s="52" t="str">
        <x:v>chatgpt-release-notes</x:v>
      </x:c>
      <x:c r="C880" s="52" t="str">
        <x:v>ChatGPT — Release Notes</x:v>
      </x:c>
      <x:c r="D880" s="52" t="str">
        <x:v>chatgpt_core</x:v>
      </x:c>
      <x:c r="E880" s="52" t="str">
        <x:v>ChatGPT</x:v>
      </x:c>
      <x:c r="F880" s="52" t="str">
        <x:v>feature</x:v>
      </x:c>
      <x:c r="G880" s="52" t="str">
        <x:v>active</x:v>
      </x:c>
      <x:c r="H880" s="63" t="str">
        <x:v>Interactive charts in ChatGPT answers</x:v>
      </x:c>
      <x:c r="I880" s="63" t="str">
        <x:v>ChatGPT 回答中的互動式圖表</x:v>
      </x:c>
      <x:c r="J880" s="63" t="str">
        <x:v>ChatGPT can turn some answers into interactive bar, line, pie, and scatter charts directly in a conversation.</x:v>
      </x:c>
      <x:c r="K880" s="63" t="str">
        <x:v>ChatGPT 可將部分回答直接轉換為對話中的互動式長條圖、折線圖、圓餅圖與散佈圖。</x:v>
      </x:c>
      <x:c r="L880" s="52" t="str">
        <x:v>https://help.openai.com/en/articles/6825453-chatgpt-release-notes</x:v>
      </x:c>
      <x:c r="M880" s="52" t="str">
        <x:v>help_center_release_notes</x:v>
      </x:c>
      <x:c r="N880" s="52" t="str">
        <x:v>complete</x:v>
      </x:c>
      <x:c r="O880" s="52" t="str">
        <x:v>high</x:v>
      </x:c>
      <x:c r="P880" s="60" t="n">
        <x:v>3</x:v>
      </x:c>
      <x:c r="Q880" s="52" t="str">
        <x:v>2026 | chatgpt | chatgpt-core | feature</x:v>
      </x:c>
    </x:row>
    <x:row r="881" ht="38" customHeight="1">
      <x:c r="A881" s="57" t="n">
        <x:v>46181</x:v>
      </x:c>
      <x:c r="B881" s="52" t="str">
        <x:v>chatgpt-release-notes</x:v>
      </x:c>
      <x:c r="C881" s="52" t="str">
        <x:v>ChatGPT — Release Notes</x:v>
      </x:c>
      <x:c r="D881" s="52" t="str">
        <x:v>chatgpt_core</x:v>
      </x:c>
      <x:c r="E881" s="52" t="str">
        <x:v>ChatGPT</x:v>
      </x:c>
      <x:c r="F881" s="52" t="str">
        <x:v>feature</x:v>
      </x:c>
      <x:c r="G881" s="52" t="str">
        <x:v>active</x:v>
      </x:c>
      <x:c r="H881" s="63" t="str">
        <x:v>Table of contents for long answers</x:v>
      </x:c>
      <x:c r="I881" s="63" t="str">
        <x:v>長篇回答的目錄</x:v>
      </x:c>
      <x:c r="J881" s="63" t="str">
        <x:v>Long ChatGPT answers gained a navigable table of contents for faster movement between sections.</x:v>
      </x:c>
      <x:c r="K881" s="63" t="str">
        <x:v>長篇 ChatGPT 回答新增了可導覽的目錄，以便在各章節間快速移動。</x:v>
      </x:c>
      <x:c r="L881" s="52" t="str">
        <x:v>https://help.openai.com/en/articles/6825453-chatgpt-release-notes</x:v>
      </x:c>
      <x:c r="M881" s="52" t="str">
        <x:v>help_center_release_notes</x:v>
      </x:c>
      <x:c r="N881" s="52" t="str">
        <x:v>complete</x:v>
      </x:c>
      <x:c r="O881" s="52" t="str">
        <x:v>high</x:v>
      </x:c>
      <x:c r="P881" s="60" t="n">
        <x:v>3</x:v>
      </x:c>
      <x:c r="Q881" s="52" t="str">
        <x:v>2026 | chatgpt | chatgpt-core | feature</x:v>
      </x:c>
    </x:row>
    <x:row r="882" ht="38" customHeight="1">
      <x:c r="A882" s="57" t="n">
        <x:v>46182</x:v>
      </x:c>
      <x:c r="B882" s="52" t="str">
        <x:v>codex-changelog</x:v>
      </x:c>
      <x:c r="C882" s="52" t="str">
        <x:v>Codex Changelog</x:v>
      </x:c>
      <x:c r="D882" s="52" t="str">
        <x:v>clients_surfaces</x:v>
      </x:c>
      <x:c r="E882" s="52" t="str">
        <x:v>Codex Mobile</x:v>
      </x:c>
      <x:c r="F882" s="52" t="str">
        <x:v>feature</x:v>
      </x:c>
      <x:c r="G882" s="52" t="str">
        <x:v>active</x:v>
      </x:c>
      <x:c r="H882" s="63" t="str">
        <x:v>ChatGPT for iOS 1.2026.153</x:v>
      </x:c>
      <x:c r="I882" s="63" t="str">
        <x:v>ChatGPT for iOS 1.2026.153 更新</x:v>
      </x:c>
      <x:c r="J882" s="63" t="str">
        <x:v>New features Added support for choosing a branch, creating a worktree, and running an environment setup script for new threads. Added a Codex profile screen with usage stats and token activity charts. Added /goal support for creating and managing goals from Codex Mobile. Added inline review comments when viewing changed files. Added support for asking in side chat from selected transcript text. Added support for editing the latest se…</x:v>
      </x:c>
      <x:c r="K882" s="63" t="str">
        <x:v>Codex Changelog 在 2026-06-09 記錄了Codex 編碼代理、代理與工具調用、可靠性與效能修正相關更新；完整版本與修正內容見官方英文摘要。</x:v>
      </x:c>
      <x:c r="L882" s="52" t="str">
        <x:v>https://developers.openai.com/codex/changelog/</x:v>
      </x:c>
      <x:c r="M882" s="52" t="str">
        <x:v>developer_changelog</x:v>
      </x:c>
      <x:c r="N882" s="52" t="str">
        <x:v>complete</x:v>
      </x:c>
      <x:c r="O882" s="52" t="str">
        <x:v>high</x:v>
      </x:c>
      <x:c r="P882" s="60" t="n">
        <x:v>2</x:v>
      </x:c>
      <x:c r="Q882" s="52" t="str">
        <x:v>codex | mobile | release-notes</x:v>
      </x:c>
    </x:row>
    <x:row r="883" ht="38" customHeight="1">
      <x:c r="A883" s="57" t="n">
        <x:v>46182</x:v>
      </x:c>
      <x:c r="B883" s="52" t="str">
        <x:v>codex-changelog</x:v>
      </x:c>
      <x:c r="C883" s="52" t="str">
        <x:v>Codex Changelog</x:v>
      </x:c>
      <x:c r="D883" s="52" t="str">
        <x:v>agents_research</x:v>
      </x:c>
      <x:c r="E883" s="52" t="str">
        <x:v>Codex</x:v>
      </x:c>
      <x:c r="F883" s="52" t="str">
        <x:v>model_update</x:v>
      </x:c>
      <x:c r="G883" s="52" t="str">
        <x:v>active</x:v>
      </x:c>
      <x:c r="H883" s="63" t="str">
        <x:v>Codex app 26.608</x:v>
      </x:c>
      <x:c r="I883" s="63" t="str">
        <x:v>Codex app 26.608 更新</x:v>
      </x:c>
      <x:c r="J883" s="63" t="str">
        <x:v>New features Added Import to Codex flows for importing supported setup from Claude Code and Claude Cowork, including during onboarding. Revamped plugins screen with separate tabs, marketplace and category filters, keyboard navigation, and clearer install actions. Expanded Settings search to find options from more panels, including Git and pets. Performance improvements and bug fixes Fixed goal timer overlap in narrow layouts. Reduced…</x:v>
      </x:c>
      <x:c r="K883" s="63" t="str">
        <x:v>Codex Changelog 在 2026-06-09 記錄了Codex 編碼代理、可靠性與效能修正相關更新；完整版本與修正內容見官方英文摘要。</x:v>
      </x:c>
      <x:c r="L883" s="52" t="str">
        <x:v>https://developers.openai.com/codex/changelog/</x:v>
      </x:c>
      <x:c r="M883" s="52" t="str">
        <x:v>developer_changelog</x:v>
      </x:c>
      <x:c r="N883" s="52" t="str">
        <x:v>complete</x:v>
      </x:c>
      <x:c r="O883" s="52" t="str">
        <x:v>high</x:v>
      </x:c>
      <x:c r="P883" s="60" t="n">
        <x:v>2</x:v>
      </x:c>
      <x:c r="Q883" s="52" t="str">
        <x:v>codex | release-notes</x:v>
      </x:c>
    </x:row>
    <x:row r="884" ht="38" customHeight="1">
      <x:c r="A884" s="57" t="n">
        <x:v>46182</x:v>
      </x:c>
      <x:c r="B884" s="52" t="str">
        <x:v>api-changelog</x:v>
      </x:c>
      <x:c r="C884" s="52" t="str">
        <x:v>OpenAI API Changelog</x:v>
      </x:c>
      <x:c r="D884" s="52" t="str">
        <x:v>multimodal</x:v>
      </x:c>
      <x:c r="E884" s="52" t="str">
        <x:v>ChatGPT Search</x:v>
      </x:c>
      <x:c r="F884" s="52" t="str">
        <x:v>feature</x:v>
      </x:c>
      <x:c r="G884" s="52" t="str">
        <x:v>active</x:v>
      </x:c>
      <x:c r="H884" s="63" t="str">
        <x:v>Web search can now return image results alongside regular text results.</x:v>
      </x:c>
      <x:c r="I884" s="63" t="str">
        <x:v>功能更新：Web search can now return image results alongside regular text results.</x:v>
      </x:c>
      <x:c r="J884" s="63" t="str">
        <x:v>Web search can now return image results alongside regular text results. Use image search when your application needs current or web-grounded visuals, such as product photos, landmarks, places, events, or visual references. Read more in the web search guide.</x:v>
      </x:c>
      <x:c r="K884" s="63" t="str">
        <x:v>OpenAI 於 2026-06-09 為 ChatGPT Search 新增功能；此節點依官方發布記錄整理，完整能力、適用方案與限制請見來源。</x:v>
      </x:c>
      <x:c r="L884" s="52" t="str">
        <x:v>https://platform.openai.com/docs/changelog</x:v>
      </x:c>
      <x:c r="M884" s="52" t="str">
        <x:v>developer_changelog</x:v>
      </x:c>
      <x:c r="N884" s="52" t="str">
        <x:v>parsed</x:v>
      </x:c>
      <x:c r="O884" s="52" t="str">
        <x:v>high</x:v>
      </x:c>
      <x:c r="P884" s="60" t="n">
        <x:v>0</x:v>
      </x:c>
      <x:c r="Q884" s="52" t="str"/>
    </x:row>
    <x:row r="885" ht="38" customHeight="1">
      <x:c r="A885" s="57" t="n">
        <x:v>46182</x:v>
      </x:c>
      <x:c r="B885" s="52" t="str">
        <x:v>lane-openai-api-changelog</x:v>
      </x:c>
      <x:c r="C885" s="52" t="str">
        <x:v>OpenAI API Changelog</x:v>
      </x:c>
      <x:c r="D885" s="52" t="str">
        <x:v>multimodal</x:v>
      </x:c>
      <x:c r="E885" s="52" t="str">
        <x:v>Image API</x:v>
      </x:c>
      <x:c r="F885" s="52" t="str">
        <x:v>feature</x:v>
      </x:c>
      <x:c r="G885" s="52" t="str">
        <x:v>active</x:v>
      </x:c>
      <x:c r="H885" s="63" t="str">
        <x:v>Web search can now return image results alongside regular text results.</x:v>
      </x:c>
      <x:c r="I885" s="63" t="str">
        <x:v>API 更新：Web search can now return image results alongside regular text results.</x:v>
      </x:c>
      <x:c r="J885" s="63" t="str">
        <x:v>Web search can now return image results alongside regular text results. Use image search when your application needs current or web-grounded visuals, such as product photos, landmarks, places, events, or visual references. Read more in the web search guide .</x:v>
      </x:c>
      <x:c r="K885" s="63" t="str">
        <x:v>API 更新：Web search can now return image results alongside regular text results。OpenAI 將此列為 2026-06-09 的功能；重點涉及圖像與影片，模型、端點與參數名稱依官方英文保留。</x:v>
      </x:c>
      <x:c r="L885" s="52" t="str">
        <x:v>https://developers.openai.com/api/docs/changelog</x:v>
      </x:c>
      <x:c r="M885" s="52" t="str">
        <x:v>official_changelog</x:v>
      </x:c>
      <x:c r="N885" s="52" t="str">
        <x:v>complete</x:v>
      </x:c>
      <x:c r="O885" s="52" t="str">
        <x:v>high</x:v>
      </x:c>
      <x:c r="P885" s="60" t="n">
        <x:v>2</x:v>
      </x:c>
      <x:c r="Q885" s="52" t="str">
        <x:v>feature | image-generation | multimodal</x:v>
      </x:c>
    </x:row>
    <x:row r="886" ht="38" customHeight="1">
      <x:c r="A886" s="57" t="n">
        <x:v>46183</x:v>
      </x:c>
      <x:c r="B886" s="52" t="str">
        <x:v>chatgpt-release-notes</x:v>
      </x:c>
      <x:c r="C886" s="52" t="str">
        <x:v>ChatGPT — Release Notes</x:v>
      </x:c>
      <x:c r="D886" s="52" t="str">
        <x:v>models_reasoning</x:v>
      </x:c>
      <x:c r="E886" s="52" t="str">
        <x:v>ChatGPT</x:v>
      </x:c>
      <x:c r="F886" s="52" t="str">
        <x:v>feature</x:v>
      </x:c>
      <x:c r="G886" s="52" t="str">
        <x:v>active</x:v>
      </x:c>
      <x:c r="H886" s="63" t="str">
        <x:v>Simplified controls in the model picker</x:v>
      </x:c>
      <x:c r="I886" s="63" t="str">
        <x:v>模型選擇器中的簡化控制項</x:v>
      </x:c>
      <x:c r="J886" s="63" t="str">
        <x:v>We’re updating the model picker to make it easier to choose the balance of speed and reasoning effort that works best for your task. The model picker now has the following simplified options: Instant Medium High Extra High [Pro plans only] Pro Standard [Pro plans only] Pro Extended [Pro plans only] On iOS and Android, you can find the picker at the top of the conversation. On web, it appears directly in the message composer. Users ha…</x:v>
      </x:c>
      <x:c r="K886" s="63" t="str">
        <x:v>OpenAI 於 2026-06-10 為 ChatGPT 新增功能；此節點依官方發布記錄整理，完整能力、適用方案與限制請見來源。</x:v>
      </x:c>
      <x:c r="L886" s="52" t="str">
        <x:v>https://help.openai.com/en/articles/6825453-chatgpt-release-notes</x:v>
      </x:c>
      <x:c r="M886" s="52" t="str">
        <x:v>help_center_release_notes</x:v>
      </x:c>
      <x:c r="N886" s="52" t="str">
        <x:v>complete</x:v>
      </x:c>
      <x:c r="O886" s="52" t="str">
        <x:v>high</x:v>
      </x:c>
      <x:c r="P886" s="60" t="n">
        <x:v>3</x:v>
      </x:c>
      <x:c r="Q886" s="52" t="str">
        <x:v>2026 | chatgpt | feature | models-reasoning</x:v>
      </x:c>
    </x:row>
    <x:row r="887" ht="38" customHeight="1">
      <x:c r="A887" s="57" t="n">
        <x:v>46184</x:v>
      </x:c>
      <x:c r="B887" s="52" t="str">
        <x:v>codex-changelog</x:v>
      </x:c>
      <x:c r="C887" s="52" t="str">
        <x:v>Codex Changelog</x:v>
      </x:c>
      <x:c r="D887" s="52" t="str">
        <x:v>agents_research</x:v>
      </x:c>
      <x:c r="E887" s="52" t="str">
        <x:v>Codex</x:v>
      </x:c>
      <x:c r="F887" s="52" t="str">
        <x:v>pricing_quota</x:v>
      </x:c>
      <x:c r="G887" s="52" t="str">
        <x:v>active</x:v>
      </x:c>
      <x:c r="H887" s="63" t="str">
        <x:v>Codex app 26.609</x:v>
      </x:c>
      <x:c r="I887" s="63" t="str">
        <x:v>Codex app 26.609 更新</x:v>
      </x:c>
      <x:c r="J887" s="63" t="str">
        <x:v>New features Added rate-limit reset banking for Plus and Pro users, including one free reset at launch and referral invitations for earning more during the current promotion. Eligible Business members can invite coworkers to earn shared workspace credits through a separate referral program. Added Developer mode for Browser use in Chrome and the Codex in-app browser. It gives Codex controlled Chrome DevTools Protocol (CDP) access for…</x:v>
      </x:c>
      <x:c r="K887" s="63" t="str">
        <x:v>Codex Changelog 在 2026-06-11 記錄了Codex 編碼代理、代理與工具調用、定價與用量相關更新；完整版本與修正內容見官方英文摘要。</x:v>
      </x:c>
      <x:c r="L887" s="52" t="str">
        <x:v>https://developers.openai.com/codex/changelog/</x:v>
      </x:c>
      <x:c r="M887" s="52" t="str">
        <x:v>developer_changelog</x:v>
      </x:c>
      <x:c r="N887" s="52" t="str">
        <x:v>complete</x:v>
      </x:c>
      <x:c r="O887" s="52" t="str">
        <x:v>high</x:v>
      </x:c>
      <x:c r="P887" s="60" t="n">
        <x:v>2</x:v>
      </x:c>
      <x:c r="Q887" s="52" t="str">
        <x:v>codex | release-notes</x:v>
      </x:c>
    </x:row>
    <x:row r="888" ht="38" customHeight="1">
      <x:c r="A888" s="57" t="n">
        <x:v>46184</x:v>
      </x:c>
      <x:c r="B888" s="52" t="str">
        <x:v>chatgpt-release-notes</x:v>
      </x:c>
      <x:c r="C888" s="52" t="str">
        <x:v>ChatGPT — Release Notes</x:v>
      </x:c>
      <x:c r="D888" s="52" t="str">
        <x:v>agents_research</x:v>
      </x:c>
      <x:c r="E888" s="52" t="str">
        <x:v>Codex</x:v>
      </x:c>
      <x:c r="F888" s="52" t="str">
        <x:v>feature</x:v>
      </x:c>
      <x:c r="G888" s="52" t="str">
        <x:v>active</x:v>
      </x:c>
      <x:c r="H888" s="63" t="str">
        <x:v>Codex app workflow improvements</x:v>
      </x:c>
      <x:c r="I888" s="63" t="str">
        <x:v>Codex 應用程式工作流程改進</x:v>
      </x:c>
      <x:c r="J888" s="63" t="str">
        <x:v>Codex added the /init command for an AGENTS.md scaffold, customizable macOS Dock icons, an Unread chats section, and clearer usage-limit errors.</x:v>
      </x:c>
      <x:c r="K888" s="63" t="str">
        <x:v>Codex 新增了用於 AGENTS.md 架構的 /init 指令、可自訂的 macOS Dock 圖示、未讀對話區塊，以及更清晰的使用限制錯誤訊息。</x:v>
      </x:c>
      <x:c r="L888" s="52" t="str">
        <x:v>https://help.openai.com/en/articles/6825453-chatgpt-release-notes</x:v>
      </x:c>
      <x:c r="M888" s="52" t="str">
        <x:v>help_center_release_notes</x:v>
      </x:c>
      <x:c r="N888" s="52" t="str">
        <x:v>complete</x:v>
      </x:c>
      <x:c r="O888" s="52" t="str">
        <x:v>high</x:v>
      </x:c>
      <x:c r="P888" s="60" t="n">
        <x:v>3</x:v>
      </x:c>
      <x:c r="Q888" s="52" t="str">
        <x:v>2026 | agents-research | codex | feature</x:v>
      </x:c>
    </x:row>
    <x:row r="889" ht="38" customHeight="1">
      <x:c r="A889" s="57" t="n">
        <x:v>46184</x:v>
      </x:c>
      <x:c r="B889" s="52" t="str">
        <x:v>chatgpt-release-notes</x:v>
      </x:c>
      <x:c r="C889" s="52" t="str">
        <x:v>ChatGPT — Release Notes</x:v>
      </x:c>
      <x:c r="D889" s="52" t="str">
        <x:v>agents_research</x:v>
      </x:c>
      <x:c r="E889" s="52" t="str">
        <x:v>Codex</x:v>
      </x:c>
      <x:c r="F889" s="52" t="str">
        <x:v>launch</x:v>
      </x:c>
      <x:c r="G889" s="52" t="str">
        <x:v>active</x:v>
      </x:c>
      <x:c r="H889" s="63" t="str">
        <x:v>Codex updates</x:v>
      </x:c>
      <x:c r="I889" s="63" t="str">
        <x:v>推出：Codex updates</x:v>
      </x:c>
      <x:c r="J889" s="63" t="str">
        <x:v>We’ve made several Codex updates, including: Eligible Plus and Pro users now have rate-limit reset banking, including one free reset at launch and the ability to send referral invitations form within the Codex app. When an eligible recipient sends their first Codex message, both people receive a banked rate-limit reset. Banked resets are usable for 30 days after they are granted. Learn more in Invite friends and coworkers and review…</x:v>
      </x:c>
      <x:c r="K889" s="63" t="str">
        <x:v>OpenAI 於 2026-06-11 為 Codex 推出新產品或能力；此節點依官方發布記錄整理，完整能力、適用方案與限制請見來源。</x:v>
      </x:c>
      <x:c r="L889" s="52" t="str">
        <x:v>https://help.openai.com/en/articles/6825453-chatgpt-release-notes</x:v>
      </x:c>
      <x:c r="M889" s="52" t="str">
        <x:v>help_center_release_notes</x:v>
      </x:c>
      <x:c r="N889" s="52" t="str">
        <x:v>parsed</x:v>
      </x:c>
      <x:c r="O889" s="52" t="str">
        <x:v>high</x:v>
      </x:c>
      <x:c r="P889" s="60" t="n">
        <x:v>0</x:v>
      </x:c>
      <x:c r="Q889" s="52" t="str"/>
    </x:row>
    <x:row r="890" ht="38" customHeight="1">
      <x:c r="A890" s="57" t="n">
        <x:v>46184</x:v>
      </x:c>
      <x:c r="B890" s="52" t="str">
        <x:v>chatgpt-release-notes</x:v>
      </x:c>
      <x:c r="C890" s="52" t="str">
        <x:v>ChatGPT — Release Notes</x:v>
      </x:c>
      <x:c r="D890" s="52" t="str">
        <x:v>agents_research</x:v>
      </x:c>
      <x:c r="E890" s="52" t="str">
        <x:v>Codex</x:v>
      </x:c>
      <x:c r="F890" s="52" t="str">
        <x:v>feature</x:v>
      </x:c>
      <x:c r="G890" s="52" t="str">
        <x:v>active</x:v>
      </x:c>
      <x:c r="H890" s="63" t="str">
        <x:v>Developer mode for Codex Browser</x:v>
      </x:c>
      <x:c r="I890" s="63" t="str">
        <x:v>Codex 瀏覽器開發者模式</x:v>
      </x:c>
      <x:c r="J890" s="63" t="str">
        <x:v>Codex added an opt-in Browser developer mode with controlled Chrome DevTools Protocol access for profiling, console and network inspection, DOM and style review, and live browser debugging.</x:v>
      </x:c>
      <x:c r="K890" s="63" t="str">
        <x:v>Codex 新增了可選用的瀏覽器開發者模式，提供受控的 Chrome DevTools Protocol 存取權，可用於效能分析、主控台與網路檢查、DOM 與樣式檢閱，以及即時瀏覽器除錯。</x:v>
      </x:c>
      <x:c r="L890" s="52" t="str">
        <x:v>https://help.openai.com/en/articles/6825453-chatgpt-release-notes</x:v>
      </x:c>
      <x:c r="M890" s="52" t="str">
        <x:v>help_center_release_notes</x:v>
      </x:c>
      <x:c r="N890" s="52" t="str">
        <x:v>complete</x:v>
      </x:c>
      <x:c r="O890" s="52" t="str">
        <x:v>high</x:v>
      </x:c>
      <x:c r="P890" s="60" t="n">
        <x:v>3</x:v>
      </x:c>
      <x:c r="Q890" s="52" t="str">
        <x:v>2026 | agents-research | codex | feature</x:v>
      </x:c>
    </x:row>
    <x:row r="891" ht="38" customHeight="1">
      <x:c r="A891" s="57" t="n">
        <x:v>46184</x:v>
      </x:c>
      <x:c r="B891" s="52" t="str">
        <x:v>api-deprecations</x:v>
      </x:c>
      <x:c r="C891" s="52" t="str">
        <x:v>OpenAI API Deprecations</x:v>
      </x:c>
      <x:c r="D891" s="52" t="str">
        <x:v>safety_lifecycle</x:v>
      </x:c>
      <x:c r="E891" s="52" t="str">
        <x:v>GPT-5</x:v>
      </x:c>
      <x:c r="F891" s="52" t="str">
        <x:v>deprecation</x:v>
      </x:c>
      <x:c r="G891" s="52" t="str">
        <x:v>deprecated</x:v>
      </x:c>
      <x:c r="H891" s="63" t="str">
        <x:v>GPT-5 and o3 model deprecations</x:v>
      </x:c>
      <x:c r="I891" s="63" t="str">
        <x:v>淘汰通知：GPT-5 and o3 model deprecations</x:v>
      </x:c>
      <x:c r="J891" s="63" t="str">
        <x:v>On June 11, 2026, we notified developers using older GPT-5 and o3 model snapshots of their deprecation and removal from the API on December 11, 2026.</x:v>
      </x:c>
      <x:c r="K891" s="63" t="str">
        <x:v>OpenAI 於 2026-06-11 為 GPT-5 公布淘汰計畫；此節點依官方發布記錄整理，完整能力、適用方案與限制請見來源。</x:v>
      </x:c>
      <x:c r="L891" s="52" t="str">
        <x:v>https://platform.openai.com/docs/deprecations</x:v>
      </x:c>
      <x:c r="M891" s="52" t="str">
        <x:v>developer_deprecations</x:v>
      </x:c>
      <x:c r="N891" s="52" t="str">
        <x:v>parsed</x:v>
      </x:c>
      <x:c r="O891" s="52" t="str">
        <x:v>high</x:v>
      </x:c>
      <x:c r="P891" s="60" t="n">
        <x:v>0</x:v>
      </x:c>
      <x:c r="Q891" s="52" t="str"/>
    </x:row>
    <x:row r="892" ht="38" customHeight="1">
      <x:c r="A892" s="57" t="n">
        <x:v>46184</x:v>
      </x:c>
      <x:c r="B892" s="52" t="str">
        <x:v>lane-openai-api-deprecations</x:v>
      </x:c>
      <x:c r="C892" s="52" t="str">
        <x:v>OpenAI API Deprecations</x:v>
      </x:c>
      <x:c r="D892" s="52" t="str">
        <x:v>safety_lifecycle</x:v>
      </x:c>
      <x:c r="E892" s="52" t="str">
        <x:v>Model Platform</x:v>
      </x:c>
      <x:c r="F892" s="52" t="str">
        <x:v>deprecation</x:v>
      </x:c>
      <x:c r="G892" s="52" t="str">
        <x:v>deprecated</x:v>
      </x:c>
      <x:c r="H892" s="63" t="str">
        <x:v>GPT-5 and o3 model deprecations deprecation</x:v>
      </x:c>
      <x:c r="I892" s="63" t="str">
        <x:v>GPT-5 and o3 model deprecations 棄用公告</x:v>
      </x:c>
      <x:c r="J892" s="63" t="str">
        <x:v>On June 11, 2026, we notified developers using older GPT-5 and o3 model snapshots of their deprecation and removal from the API on December 11, 2026. Schedule/replacements: Dec 11, 2026 gpt-5-2025-08-07 gpt-5.5; Dec 11, 2026 gpt-5-mini-2025-08-07 gpt-5.4-mini; Dec 11, 2026 gpt-5-nano-2025-08-07 gpt-5.4-nano; Dec 11, 2026 gpt-5-pro-2025-10-06 gpt-5.5-pro; Dec 11, 2026 o3-2025-04-16 gpt-5.5; Dec 11, 2026 o3-pro-2025-06-10 gpt-5.5-pro</x:v>
      </x:c>
      <x:c r="K892" s="63" t="str">
        <x:v>OpenAI 於 2026-06-11 公告 GPT-5 and o3 model deprecations 的棄用或下線時程，並列出替代方案與遷移方向。</x:v>
      </x:c>
      <x:c r="L892" s="52" t="str">
        <x:v>https://developers.openai.com/api/docs/deprecations#2026-06-11-gpt-5-and-o3-model-deprecations</x:v>
      </x:c>
      <x:c r="M892" s="52" t="str">
        <x:v>official_deprecation_registry</x:v>
      </x:c>
      <x:c r="N892" s="52" t="str">
        <x:v>complete</x:v>
      </x:c>
      <x:c r="O892" s="52" t="str">
        <x:v>high</x:v>
      </x:c>
      <x:c r="P892" s="60" t="n">
        <x:v>4</x:v>
      </x:c>
      <x:c r="Q892" s="52" t="str">
        <x:v>api | deprecation | model-platform</x:v>
      </x:c>
    </x:row>
    <x:row r="893" ht="38" customHeight="1">
      <x:c r="A893" s="57" t="n">
        <x:v>46184</x:v>
      </x:c>
      <x:c r="B893" s="52" t="str">
        <x:v>enterprise-edu-release-notes</x:v>
      </x:c>
      <x:c r="C893" s="52" t="str">
        <x:v>ChatGPT Enterprise &amp; Edu — Release Notes</x:v>
      </x:c>
      <x:c r="D893" s="52" t="str">
        <x:v>enterprise_vertical</x:v>
      </x:c>
      <x:c r="E893" s="52" t="str">
        <x:v>ChatGPT Enterprise</x:v>
      </x:c>
      <x:c r="F893" s="52" t="str">
        <x:v>feature</x:v>
      </x:c>
      <x:c r="G893" s="52" t="str">
        <x:v>active</x:v>
      </x:c>
      <x:c r="H893" s="63" t="str">
        <x:v>Library, Sign in with ChatGPT controls and Codex updates</x:v>
      </x:c>
      <x:c r="I893" s="63" t="str">
        <x:v>功能更新：ChatGPT Enterprise</x:v>
      </x:c>
      <x:c r="J893" s="63" t="str">
        <x:v>Enterprise, Edu and Healthcare received Library; Cloud Console added external-app controls for Sign in with ChatGPT; Codex added Windows Computer Use, developer-mode browser access and more admin controls.</x:v>
      </x:c>
      <x:c r="K893" s="63" t="str">
        <x:v>Enterprise、Edu 與 Healthcare 獲得 Library；Cloud Console 新增外部 App 控制；Codex 加入 Windows Computer Use、瀏覽器開發者模式與更多管理功能。</x:v>
      </x:c>
      <x:c r="L893" s="52" t="str">
        <x:v>https://help.openai.com/en/articles/10128477-chatgpt-enterprise-edu-release-notes</x:v>
      </x:c>
      <x:c r="M893" s="52" t="str">
        <x:v>help_center_release_notes</x:v>
      </x:c>
      <x:c r="N893" s="52" t="str">
        <x:v>parsed</x:v>
      </x:c>
      <x:c r="O893" s="52" t="str">
        <x:v>high</x:v>
      </x:c>
      <x:c r="P893" s="60" t="n">
        <x:v>4</x:v>
      </x:c>
      <x:c r="Q893" s="52" t="str">
        <x:v>admin | codex | library</x:v>
      </x:c>
    </x:row>
    <x:row r="894" ht="38" customHeight="1">
      <x:c r="A894" s="57" t="n">
        <x:v>46184</x:v>
      </x:c>
      <x:c r="B894" s="52" t="str">
        <x:v>chatgpt-release-notes</x:v>
      </x:c>
      <x:c r="C894" s="52" t="str">
        <x:v>ChatGPT — Release Notes</x:v>
      </x:c>
      <x:c r="D894" s="52" t="str">
        <x:v>agents_research</x:v>
      </x:c>
      <x:c r="E894" s="52" t="str">
        <x:v>Codex</x:v>
      </x:c>
      <x:c r="F894" s="52" t="str">
        <x:v>feature</x:v>
      </x:c>
      <x:c r="G894" s="52" t="str">
        <x:v>active</x:v>
      </x:c>
      <x:c r="H894" s="63" t="str">
        <x:v>Rate-limit reset banking and referrals in Codex</x:v>
      </x:c>
      <x:c r="I894" s="63" t="str">
        <x:v>Codex 中的速率限制重置與推薦機制</x:v>
      </x:c>
      <x:c r="J894" s="63" t="str">
        <x:v>Eligible Plus and Pro users received one banked Codex rate-limit reset and could earn additional 30-day resets through eligible referrals.</x:v>
      </x:c>
      <x:c r="K894" s="63" t="str">
        <x:v>符合資格的 Plus 與 Pro 用戶獲得了一次 Codex 速率限制重置儲存額度，並可透過合規的推薦賺取額外的 30 天重置額度。</x:v>
      </x:c>
      <x:c r="L894" s="52" t="str">
        <x:v>https://help.openai.com/en/articles/6825453-chatgpt-release-notes</x:v>
      </x:c>
      <x:c r="M894" s="52" t="str">
        <x:v>help_center_release_notes</x:v>
      </x:c>
      <x:c r="N894" s="52" t="str">
        <x:v>complete</x:v>
      </x:c>
      <x:c r="O894" s="52" t="str">
        <x:v>high</x:v>
      </x:c>
      <x:c r="P894" s="60" t="n">
        <x:v>3</x:v>
      </x:c>
      <x:c r="Q894" s="52" t="str">
        <x:v>2026 | agents-research | codex | feature</x:v>
      </x:c>
    </x:row>
    <x:row r="895" ht="38" customHeight="1">
      <x:c r="A895" s="57" t="n">
        <x:v>46185</x:v>
      </x:c>
      <x:c r="B895" s="52" t="str">
        <x:v>chatgpt-release-notes</x:v>
      </x:c>
      <x:c r="C895" s="52" t="str">
        <x:v>ChatGPT — Release Notes</x:v>
      </x:c>
      <x:c r="D895" s="52" t="str">
        <x:v>memory_knowledge</x:v>
      </x:c>
      <x:c r="E895" s="52" t="str">
        <x:v>ChatGPT Memory</x:v>
      </x:c>
      <x:c r="F895" s="52" t="str">
        <x:v>feature</x:v>
      </x:c>
      <x:c r="G895" s="52" t="str">
        <x:v>active</x:v>
      </x:c>
      <x:c r="H895" s="63" t="str">
        <x:v>Additional controls for memory summary</x:v>
      </x:c>
      <x:c r="I895" s="63" t="str">
        <x:v>記憶摘要的額外控制功能</x:v>
      </x:c>
      <x:c r="J895" s="63" t="str">
        <x:v>You can now delete the memories shown on your memory summary page and turn memory off by selecting “Delete and turn off memory” from the three-dot menu. This does not delete your past chats. If you turn memory back on later, ChatGPT may create new memories from chats that remain in your chat history. This control is available to all ChatGPT users on the web and rolling out on mobile soon. To make changes to your memory summary, you c…</x:v>
      </x:c>
      <x:c r="K895" s="63" t="str">
        <x:v>您現在可以刪除記憶摘要頁面上顯示的記憶，並透過三點選單選擇「刪除並關閉記憶」來關閉記憶功能。這不會刪除您過去的對話。如果您稍後重新開啟記憶功能，ChatGPT 可能會根據仍保留在對話記錄中的內容建立新的記憶。</x:v>
      </x:c>
      <x:c r="L895" s="52" t="str">
        <x:v>https://help.openai.com/en/articles/6825453-chatgpt-release-notes</x:v>
      </x:c>
      <x:c r="M895" s="52" t="str">
        <x:v>help_center_release_notes</x:v>
      </x:c>
      <x:c r="N895" s="52" t="str">
        <x:v>complete</x:v>
      </x:c>
      <x:c r="O895" s="52" t="str">
        <x:v>high</x:v>
      </x:c>
      <x:c r="P895" s="60" t="n">
        <x:v>3</x:v>
      </x:c>
      <x:c r="Q895" s="52" t="str">
        <x:v>2026 | feature | memory | memory-knowledge</x:v>
      </x:c>
    </x:row>
    <x:row r="896" ht="38" customHeight="1">
      <x:c r="A896" s="57" t="n">
        <x:v>46185</x:v>
      </x:c>
      <x:c r="B896" s="52" t="str">
        <x:v>apps-sdk-changelog</x:v>
      </x:c>
      <x:c r="C896" s="52" t="str">
        <x:v>Apps SDK Changelog</x:v>
      </x:c>
      <x:c r="D896" s="52" t="str">
        <x:v>developer_platform</x:v>
      </x:c>
      <x:c r="E896" s="52" t="str">
        <x:v>ChatGPT Enterprise &amp; Edu</x:v>
      </x:c>
      <x:c r="F896" s="52" t="str">
        <x:v>model_update</x:v>
      </x:c>
      <x:c r="G896" s="52" t="str">
        <x:v>active</x:v>
      </x:c>
      <x:c r="H896" s="63" t="str">
        <x:v>App permission controls in ChatGPT</x:v>
      </x:c>
      <x:c r="I896" s="63" t="str">
        <x:v>App permission controls in ChatGPT 更新</x:v>
      </x:c>
      <x:c r="J896" s="63" t="str">
        <x:v>Fixes &amp; improvements ChatGPT users can now choose when connected apps ask for permission: always, before making changes, or only before important changes. Personal accounts can set global and per-app preferences, while Business and Enterprise admins control workspace and per-app defaults.</x:v>
      </x:c>
      <x:c r="K896" s="63" t="str">
        <x:v>OpenAI 於 2026-06-12 為 ChatGPT Enterprise &amp; Edu 更新模型或體驗；此節點依官方發布記錄整理，完整能力、適用方案與限制請見來源。</x:v>
      </x:c>
      <x:c r="L896" s="52" t="str">
        <x:v>https://developers.openai.com/apps-sdk/changelog/</x:v>
      </x:c>
      <x:c r="M896" s="52" t="str">
        <x:v>developer_changelog</x:v>
      </x:c>
      <x:c r="N896" s="52" t="str">
        <x:v>complete</x:v>
      </x:c>
      <x:c r="O896" s="52" t="str">
        <x:v>high</x:v>
      </x:c>
      <x:c r="P896" s="60" t="n">
        <x:v>3</x:v>
      </x:c>
      <x:c r="Q896" s="52" t="str">
        <x:v>apps-sdk | chatgpt-apps | mcp</x:v>
      </x:c>
    </x:row>
    <x:row r="897" ht="38" customHeight="1">
      <x:c r="A897" s="57" t="n">
        <x:v>46185</x:v>
      </x:c>
      <x:c r="B897" s="52" t="str">
        <x:v>chatgpt-release-notes</x:v>
      </x:c>
      <x:c r="C897" s="52" t="str">
        <x:v>ChatGPT — Release Notes</x:v>
      </x:c>
      <x:c r="D897" s="52" t="str">
        <x:v>models_reasoning</x:v>
      </x:c>
      <x:c r="E897" s="52" t="str">
        <x:v>GPT-5.2</x:v>
      </x:c>
      <x:c r="F897" s="52" t="str">
        <x:v>retirement</x:v>
      </x:c>
      <x:c r="G897" s="52" t="str">
        <x:v>retired</x:v>
      </x:c>
      <x:c r="H897" s="63" t="str">
        <x:v>Retiring GPT-5.2 models</x:v>
      </x:c>
      <x:c r="I897" s="63" t="str">
        <x:v>停用 GPT-5.2 模型</x:v>
      </x:c>
      <x:c r="J897" s="63" t="str">
        <x:v>As of June 12, 2026, GPT-5.2 models are no longer available in ChatGPT. This applies to GPT-5.2 Instant, GPT-5.2 Thinking, and GPT-5.2 Pro. Existing conversations that used GPT-5.2 will automatically continue on the corresponding GPT-5.5 model. GPT-5.5 models remain available in ChatGPT. This retirement was previously announced with the release of GPT-5.3 Instant. Models will generally remain available in ChatGPT for 90 days after a…</x:v>
      </x:c>
      <x:c r="K897" s="63" t="str">
        <x:v>自 2026 年 6 月 12 日起，GPT-5.2 模型不再於 ChatGPT 中提供。這適用於 GPT-5.2 Instant、GPT-5.2 Thinking 以及 GPT-5.2 Pro。使用過 GPT-5.2 的現有對話將自動在對應的 GPT-5.5 模型上繼續。GPT-5.5 模型仍可在 ChatGPT 中使用。</x:v>
      </x:c>
      <x:c r="L897" s="52" t="str">
        <x:v>https://help.openai.com/en/articles/6825453-chatgpt-release-notes</x:v>
      </x:c>
      <x:c r="M897" s="52" t="str">
        <x:v>help_center_release_notes</x:v>
      </x:c>
      <x:c r="N897" s="52" t="str">
        <x:v>complete</x:v>
      </x:c>
      <x:c r="O897" s="52" t="str">
        <x:v>high</x:v>
      </x:c>
      <x:c r="P897" s="60" t="n">
        <x:v>3</x:v>
      </x:c>
      <x:c r="Q897" s="52" t="str">
        <x:v>2026 | gpt-5.2 | models-reasoning | retirement</x:v>
      </x:c>
    </x:row>
    <x:row r="898" ht="38" customHeight="1">
      <x:c r="A898" s="57" t="n">
        <x:v>46188</x:v>
      </x:c>
      <x:c r="B898" s="52" t="str">
        <x:v>codex-changelog</x:v>
      </x:c>
      <x:c r="C898" s="52" t="str">
        <x:v>Codex Changelog</x:v>
      </x:c>
      <x:c r="D898" s="52" t="str">
        <x:v>clients_surfaces</x:v>
      </x:c>
      <x:c r="E898" s="52" t="str">
        <x:v>Codex Mobile</x:v>
      </x:c>
      <x:c r="F898" s="52" t="str">
        <x:v>pricing_quota</x:v>
      </x:c>
      <x:c r="G898" s="52" t="str">
        <x:v>active</x:v>
      </x:c>
      <x:c r="H898" s="63" t="str">
        <x:v>ChatGPT for iOS 1.2026.160</x:v>
      </x:c>
      <x:c r="I898" s="63" t="str">
        <x:v>ChatGPT for iOS 1.2026.160 更新</x:v>
      </x:c>
      <x:c r="J898" s="63" t="str">
        <x:v>New features Added a workspace file browser for previewing files and linking workspace paths into prompts. Added a directory picker for choosing a workspace folder when starting a new thread. Added controls to expand or collapse all diffs while reviewing changed files. Added MCP approval choices for allowing requested actions in the current chat or across chats. Added LaTeX rendering in Codex messages and plans. Improvements and bug…</x:v>
      </x:c>
      <x:c r="K898" s="63" t="str">
        <x:v>Codex Changelog 在 2026-06-15 記錄了Codex 編碼代理、代理與工具調用、可靠性與效能修正相關更新；完整版本與修正內容見官方英文摘要。</x:v>
      </x:c>
      <x:c r="L898" s="52" t="str">
        <x:v>https://developers.openai.com/codex/changelog/</x:v>
      </x:c>
      <x:c r="M898" s="52" t="str">
        <x:v>developer_changelog</x:v>
      </x:c>
      <x:c r="N898" s="52" t="str">
        <x:v>complete</x:v>
      </x:c>
      <x:c r="O898" s="52" t="str">
        <x:v>high</x:v>
      </x:c>
      <x:c r="P898" s="60" t="n">
        <x:v>3</x:v>
      </x:c>
      <x:c r="Q898" s="52" t="str">
        <x:v>codex | mobile | release-notes</x:v>
      </x:c>
    </x:row>
    <x:row r="899" ht="38" customHeight="1">
      <x:c r="A899" s="57" t="n">
        <x:v>46189</x:v>
      </x:c>
      <x:c r="B899" s="52" t="str">
        <x:v>codex-changelog</x:v>
      </x:c>
      <x:c r="C899" s="52" t="str">
        <x:v>Codex Changelog</x:v>
      </x:c>
      <x:c r="D899" s="52" t="str">
        <x:v>agents_research</x:v>
      </x:c>
      <x:c r="E899" s="52" t="str">
        <x:v>Codex</x:v>
      </x:c>
      <x:c r="F899" s="52" t="str">
        <x:v>availability</x:v>
      </x:c>
      <x:c r="G899" s="52" t="str">
        <x:v>active</x:v>
      </x:c>
      <x:c r="H899" s="63" t="str">
        <x:v>Codex app features are available in the EEA, UK, and Switzerland</x:v>
      </x:c>
      <x:c r="I899" s="63" t="str">
        <x:v>開放使用：Codex</x:v>
      </x:c>
      <x:c r="J899" s="63" t="str">
        <x:v>More Codex app capabilities are rolling out to users in the European Economic Area, the United Kingdom, and Switzerland: Computer Use is available on macOS and Windows in these regions, so Codex can operate desktop apps by seeing, clicking, and typing. The Codex Chrome extension is available for browser tasks that need signed-in Chrome context, working across tabs in the background without taking over your browser. Memories can remem…</x:v>
      </x:c>
      <x:c r="K899" s="63" t="str">
        <x:v>OpenAI 於 2026-06-16 為 Codex 擴大開放範圍；此節點依官方發布記錄整理，完整能力、適用方案與限制請見來源。</x:v>
      </x:c>
      <x:c r="L899" s="52" t="str">
        <x:v>https://developers.openai.com/codex/changelog/</x:v>
      </x:c>
      <x:c r="M899" s="52" t="str">
        <x:v>developer_changelog</x:v>
      </x:c>
      <x:c r="N899" s="52" t="str">
        <x:v>complete</x:v>
      </x:c>
      <x:c r="O899" s="52" t="str">
        <x:v>high</x:v>
      </x:c>
      <x:c r="P899" s="60" t="n">
        <x:v>2</x:v>
      </x:c>
      <x:c r="Q899" s="52" t="str">
        <x:v>codex | release-notes</x:v>
      </x:c>
    </x:row>
    <x:row r="900" ht="38" customHeight="1">
      <x:c r="A900" s="57" t="n">
        <x:v>46190</x:v>
      </x:c>
      <x:c r="B900" s="52" t="str">
        <x:v>enterprise-edu-release-notes</x:v>
      </x:c>
      <x:c r="C900" s="52" t="str">
        <x:v>ChatGPT Enterprise &amp; Edu — Release Notes</x:v>
      </x:c>
      <x:c r="D900" s="52" t="str">
        <x:v>enterprise_vertical</x:v>
      </x:c>
      <x:c r="E900" s="52" t="str">
        <x:v>ChatGPT Edu</x:v>
      </x:c>
      <x:c r="F900" s="52" t="str">
        <x:v>feature</x:v>
      </x:c>
      <x:c r="G900" s="52" t="str">
        <x:v>active</x:v>
      </x:c>
      <x:c r="H900" s="63" t="str">
        <x:v>Data export for ChatGPT Edu</x:v>
      </x:c>
      <x:c r="I900" s="63" t="str">
        <x:v>ChatGPT Edu 資料匯出</x:v>
      </x:c>
      <x:c r="J900" s="63" t="str">
        <x:v>Edu members without a data-residency configuration could export workspace data when the admin-enabled export setting was on.</x:v>
      </x:c>
      <x:c r="K900" s="63" t="str">
        <x:v>未設定資料落地的 Edu 工作區，可由管理員開啟資料匯出，讓成員匯出工作區資料。</x:v>
      </x:c>
      <x:c r="L900" s="52" t="str">
        <x:v>https://help.openai.com/en/articles/10128477-chatgpt-enterprise-edu-release-notes</x:v>
      </x:c>
      <x:c r="M900" s="52" t="str">
        <x:v>help_center_release_notes</x:v>
      </x:c>
      <x:c r="N900" s="52" t="str">
        <x:v>parsed</x:v>
      </x:c>
      <x:c r="O900" s="52" t="str">
        <x:v>high</x:v>
      </x:c>
      <x:c r="P900" s="60" t="n">
        <x:v>3</x:v>
      </x:c>
      <x:c r="Q900" s="52" t="str">
        <x:v>admin | data-export | edu</x:v>
      </x:c>
    </x:row>
    <x:row r="901" ht="38" customHeight="1">
      <x:c r="A901" s="57" t="n">
        <x:v>46190</x:v>
      </x:c>
      <x:c r="B901" s="52" t="str">
        <x:v>chatgpt-release-notes</x:v>
      </x:c>
      <x:c r="C901" s="52" t="str">
        <x:v>ChatGPT — Release Notes</x:v>
      </x:c>
      <x:c r="D901" s="52" t="str">
        <x:v>agents_research</x:v>
      </x:c>
      <x:c r="E901" s="52" t="str">
        <x:v>ChatGPT Enterprise &amp; Edu</x:v>
      </x:c>
      <x:c r="F901" s="52" t="str">
        <x:v>model_update</x:v>
      </x:c>
      <x:c r="G901" s="52" t="str">
        <x:v>active</x:v>
      </x:c>
      <x:c r="H901" s="63" t="str">
        <x:v>Scheduled tasks in ChatGPT</x:v>
      </x:c>
      <x:c r="I901" s="63" t="str">
        <x:v>Scheduled tasks 於 ChatGPT</x:v>
      </x:c>
      <x:c r="J901" s="63" t="str">
        <x:v>With scheduled tasks, users can ask ChatGPT to send reminders, handle recurring work, or monitor things for them. This update makes tasks easier to find and manage, faster and more reliable, with more useful notifications. A new Scheduled page, discoverable in the sidebar, gives users one place to view active tasks, see when they’ll run next, and pause, resume, edit, or delete them.</x:v>
      </x:c>
      <x:c r="K901" s="63" t="str">
        <x:v>OpenAI 於 2026-06-17 為 ChatGPT Enterprise &amp; Edu 更新模型或體驗；此節點依官方發布記錄整理，完整能力、適用方案與限制請見來源。</x:v>
      </x:c>
      <x:c r="L901" s="52" t="str">
        <x:v>https://help.openai.com/en/articles/6825453-chatgpt-release-notes</x:v>
      </x:c>
      <x:c r="M901" s="52" t="str">
        <x:v>help_center_release_notes</x:v>
      </x:c>
      <x:c r="N901" s="52" t="str">
        <x:v>parsed</x:v>
      </x:c>
      <x:c r="O901" s="52" t="str">
        <x:v>high</x:v>
      </x:c>
      <x:c r="P901" s="60" t="n">
        <x:v>0</x:v>
      </x:c>
      <x:c r="Q901" s="52" t="str"/>
    </x:row>
    <x:row r="902" ht="38" customHeight="1">
      <x:c r="A902" s="57" t="n">
        <x:v>46190</x:v>
      </x:c>
      <x:c r="B902" s="52" t="str">
        <x:v>chatgpt-release-notes</x:v>
      </x:c>
      <x:c r="C902" s="52" t="str">
        <x:v>ChatGPT — Release Notes</x:v>
      </x:c>
      <x:c r="D902" s="52" t="str">
        <x:v>agents_research</x:v>
      </x:c>
      <x:c r="E902" s="52" t="str">
        <x:v>Scheduled Tasks</x:v>
      </x:c>
      <x:c r="F902" s="52" t="str">
        <x:v>feature</x:v>
      </x:c>
      <x:c r="G902" s="52" t="str">
        <x:v>active</x:v>
      </x:c>
      <x:c r="H902" s="63" t="str">
        <x:v>Scheduled tasks management in ChatGPT</x:v>
      </x:c>
      <x:c r="I902" s="63" t="str">
        <x:v>ChatGPT 中的排程任務管理</x:v>
      </x:c>
      <x:c r="J902" s="63" t="str">
        <x:v>ChatGPT added a Scheduled page for creating and managing reminders, recurring work, and monitoring tasks; monitoring can search the web and connected apps and notify users when something material changes.</x:v>
      </x:c>
      <x:c r="K902" s="63" t="str">
        <x:v>ChatGPT 新增了「排程」頁面，用於建立和管理提醒、週期性工作與監控任務；監控任務可以搜尋網路及連接的應用程式，並在發生實質變更時通知使用者。</x:v>
      </x:c>
      <x:c r="L902" s="52" t="str">
        <x:v>https://help.openai.com/en/articles/6825453-chatgpt-release-notes</x:v>
      </x:c>
      <x:c r="M902" s="52" t="str">
        <x:v>help_center_release_notes</x:v>
      </x:c>
      <x:c r="N902" s="52" t="str">
        <x:v>complete</x:v>
      </x:c>
      <x:c r="O902" s="52" t="str">
        <x:v>high</x:v>
      </x:c>
      <x:c r="P902" s="60" t="n">
        <x:v>3</x:v>
      </x:c>
      <x:c r="Q902" s="52" t="str">
        <x:v>2026 | agents-research | feature | scheduled-tasks</x:v>
      </x:c>
    </x:row>
    <x:row r="903" ht="38" customHeight="1">
      <x:c r="A903" s="57" t="n">
        <x:v>46190</x:v>
      </x:c>
      <x:c r="B903" s="52" t="str">
        <x:v>chatgpt-release-notes</x:v>
      </x:c>
      <x:c r="C903" s="52" t="str">
        <x:v>ChatGPT — Release Notes</x:v>
      </x:c>
      <x:c r="D903" s="52" t="str">
        <x:v>agents_research</x:v>
      </x:c>
      <x:c r="E903" s="52" t="str">
        <x:v>ChatGPT Pulse</x:v>
      </x:c>
      <x:c r="F903" s="52" t="str">
        <x:v>deprecation</x:v>
      </x:c>
      <x:c r="G903" s="52" t="str">
        <x:v>deprecated</x:v>
      </x:c>
      <x:c r="H903" s="63" t="str">
        <x:v>Sunsetting ChatGPT Pulse</x:v>
      </x:c>
      <x:c r="I903" s="63" t="str">
        <x:v>終止 ChatGPT Pulse</x:v>
      </x:c>
      <x:c r="J903" s="63" t="str">
        <x:v>OpenAI announced that Pulse would be sunset as proactive updates move into Scheduled Tasks; Pro users retained access for 14 days from the June 17 notice.</x:v>
      </x:c>
      <x:c r="K903" s="63" t="str">
        <x:v>OpenAI 宣佈 Pulse 將會終止，因為主動更新功能已移至排程任務中；Pro 使用者在 6 月 17 日通知發出後，仍保留 14 天的存取權。</x:v>
      </x:c>
      <x:c r="L903" s="52" t="str">
        <x:v>https://help.openai.com/en/articles/6825453-chatgpt-release-notes</x:v>
      </x:c>
      <x:c r="M903" s="52" t="str">
        <x:v>help_center_release_notes</x:v>
      </x:c>
      <x:c r="N903" s="52" t="str">
        <x:v>complete</x:v>
      </x:c>
      <x:c r="O903" s="52" t="str">
        <x:v>high</x:v>
      </x:c>
      <x:c r="P903" s="60" t="n">
        <x:v>3</x:v>
      </x:c>
      <x:c r="Q903" s="52" t="str">
        <x:v>2026 | agents-research | chatgpt-pulse | deprecation</x:v>
      </x:c>
    </x:row>
    <x:row r="904" ht="38" customHeight="1">
      <x:c r="A904" s="57" t="n">
        <x:v>46191</x:v>
      </x:c>
      <x:c r="B904" s="52" t="str">
        <x:v>chatgpt-release-notes</x:v>
      </x:c>
      <x:c r="C904" s="52" t="str">
        <x:v>ChatGPT — Release Notes</x:v>
      </x:c>
      <x:c r="D904" s="52" t="str">
        <x:v>clients_surfaces</x:v>
      </x:c>
      <x:c r="E904" s="52" t="str">
        <x:v>ChatGPT</x:v>
      </x:c>
      <x:c r="F904" s="52" t="str">
        <x:v>feature</x:v>
      </x:c>
      <x:c r="G904" s="52" t="str">
        <x:v>active</x:v>
      </x:c>
      <x:c r="H904" s="63" t="str">
        <x:v>Android composer and tools menu update</x:v>
      </x:c>
      <x:c r="I904" s="63" t="str">
        <x:v>Android 撰寫器與工具選單更新</x:v>
      </x:c>
      <x:c r="J904" s="63" t="str">
        <x:v>ChatGPT for Android added inline mentions and an updated tools menu for Plugins.</x:v>
      </x:c>
      <x:c r="K904" s="63" t="str">
        <x:v>Android 版 ChatGPT 新增了行內提及功能，並更新了外掛程式的工具選單。</x:v>
      </x:c>
      <x:c r="L904" s="52" t="str">
        <x:v>https://help.openai.com/en/articles/6825453-chatgpt-release-notes</x:v>
      </x:c>
      <x:c r="M904" s="52" t="str">
        <x:v>help_center_release_notes</x:v>
      </x:c>
      <x:c r="N904" s="52" t="str">
        <x:v>complete</x:v>
      </x:c>
      <x:c r="O904" s="52" t="str">
        <x:v>high</x:v>
      </x:c>
      <x:c r="P904" s="60" t="n">
        <x:v>3</x:v>
      </x:c>
      <x:c r="Q904" s="52" t="str">
        <x:v>2026 | chatgpt | clients-surfaces | feature</x:v>
      </x:c>
    </x:row>
    <x:row r="905" ht="38" customHeight="1">
      <x:c r="A905" s="57" t="n">
        <x:v>46191</x:v>
      </x:c>
      <x:c r="B905" s="52" t="str">
        <x:v>chatgpt-release-notes</x:v>
      </x:c>
      <x:c r="C905" s="52" t="str">
        <x:v>ChatGPT — Release Notes</x:v>
      </x:c>
      <x:c r="D905" s="52" t="str">
        <x:v>developer_platform</x:v>
      </x:c>
      <x:c r="E905" s="52" t="str">
        <x:v>Apps &amp; Connectors</x:v>
      </x:c>
      <x:c r="F905" s="52" t="str">
        <x:v>feature</x:v>
      </x:c>
      <x:c r="G905" s="52" t="str">
        <x:v>active</x:v>
      </x:c>
      <x:c r="H905" s="63" t="str">
        <x:v>App permission controls</x:v>
      </x:c>
      <x:c r="I905" s="63" t="str">
        <x:v>應用程式權限控制</x:v>
      </x:c>
      <x:c r="J905" s="63" t="str">
        <x:v>Users can choose whether ChatGPT always asks before using connected apps, asks before changes, or asks only before important changes.</x:v>
      </x:c>
      <x:c r="K905" s="63" t="str">
        <x:v>使用者可以選擇 ChatGPT 在使用連接的應用程式前，是總是詢問、在變更前詢問，還是僅在重要變更前詢問。</x:v>
      </x:c>
      <x:c r="L905" s="52" t="str">
        <x:v>https://help.openai.com/en/articles/6825453-chatgpt-release-notes</x:v>
      </x:c>
      <x:c r="M905" s="52" t="str">
        <x:v>help_center_release_notes</x:v>
      </x:c>
      <x:c r="N905" s="52" t="str">
        <x:v>complete</x:v>
      </x:c>
      <x:c r="O905" s="52" t="str">
        <x:v>high</x:v>
      </x:c>
      <x:c r="P905" s="60" t="n">
        <x:v>3</x:v>
      </x:c>
      <x:c r="Q905" s="52" t="str">
        <x:v>2026 | apps-connectors | developer-platform | feature</x:v>
      </x:c>
    </x:row>
    <x:row r="906" ht="38" customHeight="1">
      <x:c r="A906" s="57" t="n">
        <x:v>46191</x:v>
      </x:c>
      <x:c r="B906" s="52" t="str">
        <x:v>chatgpt-release-notes</x:v>
      </x:c>
      <x:c r="C906" s="52" t="str">
        <x:v>ChatGPT — Release Notes</x:v>
      </x:c>
      <x:c r="D906" s="52" t="str">
        <x:v>clients_surfaces</x:v>
      </x:c>
      <x:c r="E906" s="52" t="str">
        <x:v>ChatGPT</x:v>
      </x:c>
      <x:c r="F906" s="52" t="str">
        <x:v>model_update</x:v>
      </x:c>
      <x:c r="G906" s="52" t="str">
        <x:v>active</x:v>
      </x:c>
      <x:c r="H906" s="63" t="str">
        <x:v>ChatGPT app experience updates</x:v>
      </x:c>
      <x:c r="I906" s="63" t="str">
        <x:v>模型更新：ChatGPT app experience updates</x:v>
      </x:c>
      <x:c r="J906" s="63" t="str">
        <x:v>ChatGPT now has more ways to help with common questions, from pronunciation guidance to World Cup updates. It’s also smoother to use, with easier chat organization and sharing, more control over connected apps, and faster photo uploads on iOS, and more. Web, iOS, and Android</x:v>
      </x:c>
      <x:c r="K906" s="63" t="str">
        <x:v>OpenAI 於 2026-06-18 為 ChatGPT 更新模型或體驗；此節點依官方發布記錄整理，完整能力、適用方案與限制請見來源。</x:v>
      </x:c>
      <x:c r="L906" s="52" t="str">
        <x:v>https://help.openai.com/en/articles/6825453-chatgpt-release-notes</x:v>
      </x:c>
      <x:c r="M906" s="52" t="str">
        <x:v>help_center_release_notes</x:v>
      </x:c>
      <x:c r="N906" s="52" t="str">
        <x:v>parsed</x:v>
      </x:c>
      <x:c r="O906" s="52" t="str">
        <x:v>high</x:v>
      </x:c>
      <x:c r="P906" s="60" t="n">
        <x:v>0</x:v>
      </x:c>
      <x:c r="Q906" s="52" t="str"/>
    </x:row>
    <x:row r="907" ht="38" customHeight="1">
      <x:c r="A907" s="57" t="n">
        <x:v>46191</x:v>
      </x:c>
      <x:c r="B907" s="52" t="str">
        <x:v>codex-changelog</x:v>
      </x:c>
      <x:c r="C907" s="52" t="str">
        <x:v>Codex Changelog</x:v>
      </x:c>
      <x:c r="D907" s="52" t="str">
        <x:v>agents_research</x:v>
      </x:c>
      <x:c r="E907" s="52" t="str">
        <x:v>Codex</x:v>
      </x:c>
      <x:c r="F907" s="52" t="str">
        <x:v>availability</x:v>
      </x:c>
      <x:c r="G907" s="52" t="str">
        <x:v>active</x:v>
      </x:c>
      <x:c r="H907" s="63" t="str">
        <x:v>Codex app 26.616</x:v>
      </x:c>
      <x:c r="I907" s="63" t="str">
        <x:v>Codex app 26.616 更新</x:v>
      </x:c>
      <x:c r="J907" s="63" t="str">
        <x:v>New features Added Record &amp; Replay , a macOS feature that turns a demonstrated workflow into a reusable skill. Initial availability excludes the European Economic Area, the United Kingdom, and Switzerland. You or your administrator must also enable Computer Use. Added bulk actions to automation run history so you can mark every run as read or archive eligible runs. Added thread handoff between local and remote hosts , so you can move…</x:v>
      </x:c>
      <x:c r="K907" s="63" t="str">
        <x:v>Codex Changelog 在 2026-06-18 記錄了Codex 編碼代理、企業管理控制、可靠性與效能修正相關更新；完整版本與修正內容見官方英文摘要。</x:v>
      </x:c>
      <x:c r="L907" s="52" t="str">
        <x:v>https://developers.openai.com/codex/changelog/</x:v>
      </x:c>
      <x:c r="M907" s="52" t="str">
        <x:v>developer_changelog</x:v>
      </x:c>
      <x:c r="N907" s="52" t="str">
        <x:v>complete</x:v>
      </x:c>
      <x:c r="O907" s="52" t="str">
        <x:v>high</x:v>
      </x:c>
      <x:c r="P907" s="60" t="n">
        <x:v>3</x:v>
      </x:c>
      <x:c r="Q907" s="52" t="str">
        <x:v>codex | release-notes</x:v>
      </x:c>
    </x:row>
    <x:row r="908" ht="38" customHeight="1">
      <x:c r="A908" s="57" t="n">
        <x:v>46191</x:v>
      </x:c>
      <x:c r="B908" s="52" t="str">
        <x:v>chatgpt-release-notes</x:v>
      </x:c>
      <x:c r="C908" s="52" t="str">
        <x:v>ChatGPT — Release Notes</x:v>
      </x:c>
      <x:c r="D908" s="52" t="str">
        <x:v>chatgpt_core</x:v>
      </x:c>
      <x:c r="E908" s="52" t="str">
        <x:v>ChatGPT</x:v>
      </x:c>
      <x:c r="F908" s="52" t="str">
        <x:v>feature</x:v>
      </x:c>
      <x:c r="G908" s="52" t="str">
        <x:v>active</x:v>
      </x:c>
      <x:c r="H908" s="63" t="str">
        <x:v>Create a note from a response</x:v>
      </x:c>
      <x:c r="I908" s="63" t="str">
        <x:v>從回覆中建立筆記</x:v>
      </x:c>
      <x:c r="J908" s="63" t="str">
        <x:v>ChatGPT web lets users highlight response text, continue it in a writing block, or save it to the Library.</x:v>
      </x:c>
      <x:c r="K908" s="63" t="str">
        <x:v>ChatGPT 網頁版允許使用者反白回覆文字、在寫作區塊中接續書寫，或將其儲存至資料庫。</x:v>
      </x:c>
      <x:c r="L908" s="52" t="str">
        <x:v>https://help.openai.com/en/articles/6825453-chatgpt-release-notes</x:v>
      </x:c>
      <x:c r="M908" s="52" t="str">
        <x:v>help_center_release_notes</x:v>
      </x:c>
      <x:c r="N908" s="52" t="str">
        <x:v>complete</x:v>
      </x:c>
      <x:c r="O908" s="52" t="str">
        <x:v>high</x:v>
      </x:c>
      <x:c r="P908" s="60" t="n">
        <x:v>3</x:v>
      </x:c>
      <x:c r="Q908" s="52" t="str">
        <x:v>2026 | chatgpt | chatgpt-core | feature</x:v>
      </x:c>
    </x:row>
    <x:row r="909" ht="38" customHeight="1">
      <x:c r="A909" s="57" t="n">
        <x:v>46191</x:v>
      </x:c>
      <x:c r="B909" s="52" t="str">
        <x:v>chatgpt-release-notes</x:v>
      </x:c>
      <x:c r="C909" s="52" t="str">
        <x:v>ChatGPT — Release Notes</x:v>
      </x:c>
      <x:c r="D909" s="52" t="str">
        <x:v>multimodal</x:v>
      </x:c>
      <x:c r="E909" s="52" t="str">
        <x:v>ChatGPT Images</x:v>
      </x:c>
      <x:c r="F909" s="52" t="str">
        <x:v>feature</x:v>
      </x:c>
      <x:c r="G909" s="52" t="str">
        <x:v>active</x:v>
      </x:c>
      <x:c r="H909" s="63" t="str">
        <x:v>Faster iOS camera and photo uploads</x:v>
      </x:c>
      <x:c r="I909" s="63" t="str">
        <x:v>更快的 iOS 相機與照片上傳速度</x:v>
      </x:c>
      <x:c r="J909" s="63" t="str">
        <x:v>ChatGPT improved the speed and smoothness of taking and uploading photos on iOS.</x:v>
      </x:c>
      <x:c r="K909" s="63" t="str">
        <x:v>ChatGPT 改善了在 iOS 上拍攝和上傳照片的速度與流暢度。</x:v>
      </x:c>
      <x:c r="L909" s="52" t="str">
        <x:v>https://help.openai.com/en/articles/6825453-chatgpt-release-notes</x:v>
      </x:c>
      <x:c r="M909" s="52" t="str">
        <x:v>help_center_release_notes</x:v>
      </x:c>
      <x:c r="N909" s="52" t="str">
        <x:v>complete</x:v>
      </x:c>
      <x:c r="O909" s="52" t="str">
        <x:v>high</x:v>
      </x:c>
      <x:c r="P909" s="60" t="n">
        <x:v>3</x:v>
      </x:c>
      <x:c r="Q909" s="52" t="str">
        <x:v>2026 | chatgpt-images | feature | multimodal</x:v>
      </x:c>
    </x:row>
    <x:row r="910" ht="38" customHeight="1">
      <x:c r="A910" s="57" t="n">
        <x:v>46191</x:v>
      </x:c>
      <x:c r="B910" s="52" t="str">
        <x:v>chatgpt-release-notes</x:v>
      </x:c>
      <x:c r="C910" s="52" t="str">
        <x:v>ChatGPT — Release Notes</x:v>
      </x:c>
      <x:c r="D910" s="52" t="str">
        <x:v>chatgpt_core</x:v>
      </x:c>
      <x:c r="E910" s="52" t="str">
        <x:v>ChatGPT</x:v>
      </x:c>
      <x:c r="F910" s="52" t="str">
        <x:v>feature</x:v>
      </x:c>
      <x:c r="G910" s="52" t="str">
        <x:v>active</x:v>
      </x:c>
      <x:c r="H910" s="63" t="str">
        <x:v>One-click conversation sharing</x:v>
      </x:c>
      <x:c r="I910" s="63" t="str">
        <x:v>一鍵對話分享</x:v>
      </x:c>
      <x:c r="J910" s="63" t="str">
        <x:v>ChatGPT web shortened conversation sharing to a one-click flow without a separate pop-up.</x:v>
      </x:c>
      <x:c r="K910" s="63" t="str">
        <x:v>ChatGPT 網頁版將對話分享縮減為一鍵流程，無需另外開啟彈出視窗。</x:v>
      </x:c>
      <x:c r="L910" s="52" t="str">
        <x:v>https://help.openai.com/en/articles/6825453-chatgpt-release-notes</x:v>
      </x:c>
      <x:c r="M910" s="52" t="str">
        <x:v>help_center_release_notes</x:v>
      </x:c>
      <x:c r="N910" s="52" t="str">
        <x:v>complete</x:v>
      </x:c>
      <x:c r="O910" s="52" t="str">
        <x:v>high</x:v>
      </x:c>
      <x:c r="P910" s="60" t="n">
        <x:v>3</x:v>
      </x:c>
      <x:c r="Q910" s="52" t="str">
        <x:v>2026 | chatgpt | chatgpt-core | feature</x:v>
      </x:c>
    </x:row>
    <x:row r="911" ht="38" customHeight="1">
      <x:c r="A911" s="57" t="n">
        <x:v>46191</x:v>
      </x:c>
      <x:c r="B911" s="52" t="str">
        <x:v>chatgpt-release-notes</x:v>
      </x:c>
      <x:c r="C911" s="52" t="str">
        <x:v>ChatGPT — Release Notes</x:v>
      </x:c>
      <x:c r="D911" s="52" t="str">
        <x:v>models_reasoning</x:v>
      </x:c>
      <x:c r="E911" s="52" t="str">
        <x:v>ChatGPT</x:v>
      </x:c>
      <x:c r="F911" s="52" t="str">
        <x:v>feature</x:v>
      </x:c>
      <x:c r="G911" s="52" t="str">
        <x:v>active</x:v>
      </x:c>
      <x:c r="H911" s="63" t="str">
        <x:v>One-off model choice on Android</x:v>
      </x:c>
      <x:c r="I911" s="63" t="str">
        <x:v>Android 上的一次性模型選擇</x:v>
      </x:c>
      <x:c r="J911" s="63" t="str">
        <x:v>Paid Android users can long-press Send to choose a model for one message without changing the conversation default.</x:v>
      </x:c>
      <x:c r="K911" s="63" t="str">
        <x:v>付費 Android 使用者可以長按「傳送」來為單則訊息選擇模型，而無需更改該對話的預設模型。</x:v>
      </x:c>
      <x:c r="L911" s="52" t="str">
        <x:v>https://help.openai.com/en/articles/6825453-chatgpt-release-notes</x:v>
      </x:c>
      <x:c r="M911" s="52" t="str">
        <x:v>help_center_release_notes</x:v>
      </x:c>
      <x:c r="N911" s="52" t="str">
        <x:v>complete</x:v>
      </x:c>
      <x:c r="O911" s="52" t="str">
        <x:v>high</x:v>
      </x:c>
      <x:c r="P911" s="60" t="n">
        <x:v>3</x:v>
      </x:c>
      <x:c r="Q911" s="52" t="str">
        <x:v>2026 | chatgpt | feature | models-reasoning</x:v>
      </x:c>
    </x:row>
    <x:row r="912" ht="38" customHeight="1">
      <x:c r="A912" s="57" t="n">
        <x:v>46191</x:v>
      </x:c>
      <x:c r="B912" s="52" t="str">
        <x:v>chatgpt-release-notes</x:v>
      </x:c>
      <x:c r="C912" s="52" t="str">
        <x:v>ChatGPT — Release Notes</x:v>
      </x:c>
      <x:c r="D912" s="52" t="str">
        <x:v>multimodal</x:v>
      </x:c>
      <x:c r="E912" s="52" t="str">
        <x:v>ChatGPT Voice</x:v>
      </x:c>
      <x:c r="F912" s="52" t="str">
        <x:v>feature</x:v>
      </x:c>
      <x:c r="G912" s="52" t="str">
        <x:v>active</x:v>
      </x:c>
      <x:c r="H912" s="63" t="str">
        <x:v>Pronunciation guidance in ChatGPT</x:v>
      </x:c>
      <x:c r="I912" s="63" t="str">
        <x:v>ChatGPT 的發音指南</x:v>
      </x:c>
      <x:c r="J912" s="63" t="str">
        <x:v>ChatGPT can provide text and audio pronunciation guidance for words in more than 60 languages across web, iOS, and Android.</x:v>
      </x:c>
      <x:c r="K912" s="63" t="str">
        <x:v>ChatGPT 可在網頁版、iOS 和 Android 上提供超過 60 種語言的文字與語音發音指南。</x:v>
      </x:c>
      <x:c r="L912" s="52" t="str">
        <x:v>https://help.openai.com/en/articles/6825453-chatgpt-release-notes</x:v>
      </x:c>
      <x:c r="M912" s="52" t="str">
        <x:v>help_center_release_notes</x:v>
      </x:c>
      <x:c r="N912" s="52" t="str">
        <x:v>complete</x:v>
      </x:c>
      <x:c r="O912" s="52" t="str">
        <x:v>high</x:v>
      </x:c>
      <x:c r="P912" s="60" t="n">
        <x:v>3</x:v>
      </x:c>
      <x:c r="Q912" s="52" t="str">
        <x:v>2026 | chatgpt-voice | feature | multimodal</x:v>
      </x:c>
    </x:row>
    <x:row r="913" ht="38" customHeight="1">
      <x:c r="A913" s="57" t="n">
        <x:v>46191</x:v>
      </x:c>
      <x:c r="B913" s="52" t="str">
        <x:v>chatgpt-release-notes</x:v>
      </x:c>
      <x:c r="C913" s="52" t="str">
        <x:v>ChatGPT — Release Notes</x:v>
      </x:c>
      <x:c r="D913" s="52" t="str">
        <x:v>agents_research</x:v>
      </x:c>
      <x:c r="E913" s="52" t="str">
        <x:v>Codex</x:v>
      </x:c>
      <x:c r="F913" s="52" t="str">
        <x:v>feature</x:v>
      </x:c>
      <x:c r="G913" s="52" t="str">
        <x:v>active</x:v>
      </x:c>
      <x:c r="H913" s="63" t="str">
        <x:v>Record &amp; Replay in Codex</x:v>
      </x:c>
      <x:c r="I913" s="63" t="str">
        <x:v>Codex 的「記錄與重播」功能</x:v>
      </x:c>
      <x:c r="J913" s="63" t="str">
        <x:v>Record &amp; Replay is a new Codex app feature for macOS that lets eligible users demonstrate a workflow once and turn it into a reusable skill. It is useful for repetitive workflows or tasks that are easier to show than describe, such as creating a configured issue, publishing a video, or downloading a recurring report. Record &amp; Replay requires Computer Use to be available and enabled, and initial availability excludes the European Unio…</x:v>
      </x:c>
      <x:c r="K913" s="63" t="str">
        <x:v>「記錄與重播」是 macOS 版 Codex 應用程式的一項新功能，讓符合資格的使用者只需示範一次工作流程，即可將其轉變為可重複使用的技能。這對於重複性的工作流程，或比起描述更容易透過展示完成的任務（例如建立已設定的議題、發佈影片或下載定期報告）非常實用。…</x:v>
      </x:c>
      <x:c r="L913" s="52" t="str">
        <x:v>https://help.openai.com/en/articles/6825453-chatgpt-release-notes</x:v>
      </x:c>
      <x:c r="M913" s="52" t="str">
        <x:v>help_center_release_notes</x:v>
      </x:c>
      <x:c r="N913" s="52" t="str">
        <x:v>complete</x:v>
      </x:c>
      <x:c r="O913" s="52" t="str">
        <x:v>high</x:v>
      </x:c>
      <x:c r="P913" s="60" t="n">
        <x:v>3</x:v>
      </x:c>
      <x:c r="Q913" s="52" t="str">
        <x:v>2026 | agents-research | codex | feature</x:v>
      </x:c>
    </x:row>
    <x:row r="914" ht="38" customHeight="1">
      <x:c r="A914" s="57" t="n">
        <x:v>46191</x:v>
      </x:c>
      <x:c r="B914" s="52" t="str">
        <x:v>chatgpt-release-notes</x:v>
      </x:c>
      <x:c r="C914" s="52" t="str">
        <x:v>ChatGPT — Release Notes</x:v>
      </x:c>
      <x:c r="D914" s="52" t="str">
        <x:v>clients_surfaces</x:v>
      </x:c>
      <x:c r="E914" s="52" t="str">
        <x:v>ChatGPT</x:v>
      </x:c>
      <x:c r="F914" s="52" t="str">
        <x:v>feature</x:v>
      </x:c>
      <x:c r="G914" s="52" t="str">
        <x:v>active</x:v>
      </x:c>
      <x:c r="H914" s="63" t="str">
        <x:v>Unified pinning and sidebar organization</x:v>
      </x:c>
      <x:c r="I914" s="63" t="str">
        <x:v>統一釘選與側邊欄整理</x:v>
      </x:c>
      <x:c r="J914" s="63" t="str">
        <x:v>ChatGPT web made chats and projects pinnable from the sidebar and added options to combine Recents or group chats by project.</x:v>
      </x:c>
      <x:c r="K914" s="63" t="str">
        <x:v>ChatGPT 網頁版現在允許從側邊欄釘選對話與專案，並新增了合併「最近對話」或依專案分組對話的選項。</x:v>
      </x:c>
      <x:c r="L914" s="52" t="str">
        <x:v>https://help.openai.com/en/articles/6825453-chatgpt-release-notes</x:v>
      </x:c>
      <x:c r="M914" s="52" t="str">
        <x:v>help_center_release_notes</x:v>
      </x:c>
      <x:c r="N914" s="52" t="str">
        <x:v>complete</x:v>
      </x:c>
      <x:c r="O914" s="52" t="str">
        <x:v>high</x:v>
      </x:c>
      <x:c r="P914" s="60" t="n">
        <x:v>3</x:v>
      </x:c>
      <x:c r="Q914" s="52" t="str">
        <x:v>2026 | chatgpt | clients-surfaces | feature</x:v>
      </x:c>
    </x:row>
    <x:row r="915" ht="38" customHeight="1">
      <x:c r="A915" s="57" t="n">
        <x:v>46191</x:v>
      </x:c>
      <x:c r="B915" s="52" t="str">
        <x:v>enterprise-edu-release-notes</x:v>
      </x:c>
      <x:c r="C915" s="52" t="str">
        <x:v>ChatGPT Enterprise &amp; Edu — Release Notes</x:v>
      </x:c>
      <x:c r="D915" s="52" t="str">
        <x:v>enterprise_vertical</x:v>
      </x:c>
      <x:c r="E915" s="52" t="str">
        <x:v>ChatGPT Enterprise</x:v>
      </x:c>
      <x:c r="F915" s="52" t="str">
        <x:v>feature</x:v>
      </x:c>
      <x:c r="G915" s="52" t="str">
        <x:v>active</x:v>
      </x:c>
      <x:c r="H915" s="63" t="str">
        <x:v>Usage limits, billing analytics and Codex Record &amp; Replay</x:v>
      </x:c>
      <x:c r="I915" s="63" t="str">
        <x:v>用量限制、帳務分析與 Codex Record &amp; Replay</x:v>
      </x:c>
      <x:c r="J915" s="63" t="str">
        <x:v>Enterprise and Edu added monthly credit limits plus expanded Global Admin Console billing and analytics; eligible Codex macOS users gained Record &amp; Replay for turning demonstrations into reusable skills.</x:v>
      </x:c>
      <x:c r="K915" s="63" t="str">
        <x:v>Enterprise/Edu 新增月度 credit 限制與擴充的帳務/分析；符合資格的 Codex macOS 用戶可將示範轉為可重用 skill。</x:v>
      </x:c>
      <x:c r="L915" s="52" t="str">
        <x:v>https://help.openai.com/en/articles/10128477-chatgpt-enterprise-edu-release-notes</x:v>
      </x:c>
      <x:c r="M915" s="52" t="str">
        <x:v>help_center_release_notes</x:v>
      </x:c>
      <x:c r="N915" s="52" t="str">
        <x:v>parsed</x:v>
      </x:c>
      <x:c r="O915" s="52" t="str">
        <x:v>high</x:v>
      </x:c>
      <x:c r="P915" s="60" t="n">
        <x:v>4</x:v>
      </x:c>
      <x:c r="Q915" s="52" t="str">
        <x:v>billing | enterprise | record-replay</x:v>
      </x:c>
    </x:row>
    <x:row r="916" ht="38" customHeight="1">
      <x:c r="A916" s="57" t="n">
        <x:v>46191</x:v>
      </x:c>
      <x:c r="B916" s="52" t="str">
        <x:v>chatgpt-release-notes</x:v>
      </x:c>
      <x:c r="C916" s="52" t="str">
        <x:v>ChatGPT — Release Notes</x:v>
      </x:c>
      <x:c r="D916" s="52" t="str">
        <x:v>chatgpt_core</x:v>
      </x:c>
      <x:c r="E916" s="52" t="str">
        <x:v>ChatGPT</x:v>
      </x:c>
      <x:c r="F916" s="52" t="str">
        <x:v>feature</x:v>
      </x:c>
      <x:c r="G916" s="52" t="str">
        <x:v>active</x:v>
      </x:c>
      <x:c r="H916" s="63" t="str">
        <x:v>World Cup updates in ChatGPT</x:v>
      </x:c>
      <x:c r="I916" s="63" t="str">
        <x:v>ChatGPT 的世界盃更新</x:v>
      </x:c>
      <x:c r="J916" s="63" t="str">
        <x:v>ChatGPT added a conversational World Cup experience for schedules, matchups, teams, players, country storylines, predictions, and outcome scenarios.</x:v>
      </x:c>
      <x:c r="K916" s="63" t="str">
        <x:v>ChatGPT 新增了互動式世界盃體驗，提供賽程、對戰組合、球隊、球員、國家故事線、預測及比賽結果情境。</x:v>
      </x:c>
      <x:c r="L916" s="52" t="str">
        <x:v>https://help.openai.com/en/articles/6825453-chatgpt-release-notes</x:v>
      </x:c>
      <x:c r="M916" s="52" t="str">
        <x:v>help_center_release_notes</x:v>
      </x:c>
      <x:c r="N916" s="52" t="str">
        <x:v>complete</x:v>
      </x:c>
      <x:c r="O916" s="52" t="str">
        <x:v>high</x:v>
      </x:c>
      <x:c r="P916" s="60" t="n">
        <x:v>3</x:v>
      </x:c>
      <x:c r="Q916" s="52" t="str">
        <x:v>2026 | chatgpt | chatgpt-core | feature</x:v>
      </x:c>
    </x:row>
    <x:row r="917" ht="38" customHeight="1">
      <x:c r="A917" s="57" t="n">
        <x:v>46195</x:v>
      </x:c>
      <x:c r="B917" s="52" t="str">
        <x:v>codex-changelog</x:v>
      </x:c>
      <x:c r="C917" s="52" t="str">
        <x:v>Codex Changelog</x:v>
      </x:c>
      <x:c r="D917" s="52" t="str">
        <x:v>clients_surfaces</x:v>
      </x:c>
      <x:c r="E917" s="52" t="str">
        <x:v>Codex Mobile</x:v>
      </x:c>
      <x:c r="F917" s="52" t="str">
        <x:v>model_update</x:v>
      </x:c>
      <x:c r="G917" s="52" t="str">
        <x:v>active</x:v>
      </x:c>
      <x:c r="H917" s="63" t="str">
        <x:v>ChatGPT for iOS 1.2026.167</x:v>
      </x:c>
      <x:c r="I917" s="63" t="str">
        <x:v>ChatGPT for iOS 1.2026.167 更新</x:v>
      </x:c>
      <x:c r="J917" s="63" t="str">
        <x:v>New features Added per-host personality settings with Friendly and Pragmatic options. Added support for editing goals directly in the composer. Added a link from forked conversations back to the original thread. Improvements and bug fixes Improved side chat visibility with separate conversations above the composer. Improved composer autocomplete for commands, skills, and plugins from any prefix. Improved progress visibility for subag…</x:v>
      </x:c>
      <x:c r="K917" s="63" t="str">
        <x:v>Codex Changelog 在 2026-06-22 記錄了代理與工具調用、可靠性與效能修正相關更新；完整版本與修正內容見官方英文摘要。</x:v>
      </x:c>
      <x:c r="L917" s="52" t="str">
        <x:v>https://developers.openai.com/codex/changelog/</x:v>
      </x:c>
      <x:c r="M917" s="52" t="str">
        <x:v>developer_changelog</x:v>
      </x:c>
      <x:c r="N917" s="52" t="str">
        <x:v>complete</x:v>
      </x:c>
      <x:c r="O917" s="52" t="str">
        <x:v>high</x:v>
      </x:c>
      <x:c r="P917" s="60" t="n">
        <x:v>2</x:v>
      </x:c>
      <x:c r="Q917" s="52" t="str">
        <x:v>codex | mobile | release-notes</x:v>
      </x:c>
    </x:row>
    <x:row r="918" ht="38" customHeight="1">
      <x:c r="A918" s="57" t="n">
        <x:v>46195</x:v>
      </x:c>
      <x:c r="B918" s="52" t="str">
        <x:v>lane-daybreak-tools-for-securing-every-organization-in-the-worl</x:v>
      </x:c>
      <x:c r="C918" s="52" t="str">
        <x:v>Daybreak: Tools for securing every organization in the world</x:v>
      </x:c>
      <x:c r="D918" s="52" t="str">
        <x:v>safety_lifecycle</x:v>
      </x:c>
      <x:c r="E918" s="52" t="str">
        <x:v>Daybreak</x:v>
      </x:c>
      <x:c r="F918" s="52" t="str">
        <x:v>launch</x:v>
      </x:c>
      <x:c r="G918" s="52" t="str">
        <x:v>active</x:v>
      </x:c>
      <x:c r="H918" s="63" t="str">
        <x:v>Daybreak and updated Codex Security</x:v>
      </x:c>
      <x:c r="I918" s="63" t="str">
        <x:v>Daybreak 與 Codex Security 更新</x:v>
      </x:c>
      <x:c r="J918" s="63" t="str">
        <x:v>OpenAI announced Daybreak for defensive security and an updated Codex Security plugin aimed at finding, prioritizing, fixing and validating vulnerabilities end to end.</x:v>
      </x:c>
      <x:c r="K918" s="63" t="str">
        <x:v>OpenAI 推出防禦型資安方案 Daybreak，並更新 Codex Security plugin，以端到端發現、排序、修補與驗證漏洞。</x:v>
      </x:c>
      <x:c r="L918" s="52" t="str">
        <x:v>https://openai.com/index/daybreak-securing-the-world/</x:v>
      </x:c>
      <x:c r="M918" s="52" t="str">
        <x:v>official_security_post</x:v>
      </x:c>
      <x:c r="N918" s="52" t="str">
        <x:v>parsed</x:v>
      </x:c>
      <x:c r="O918" s="52" t="str">
        <x:v>high</x:v>
      </x:c>
      <x:c r="P918" s="60" t="n">
        <x:v>5</x:v>
      </x:c>
      <x:c r="Q918" s="52" t="str">
        <x:v>codex-security | cybersecurity | daybreak</x:v>
      </x:c>
    </x:row>
    <x:row r="919" ht="38" customHeight="1">
      <x:c r="A919" s="57" t="n">
        <x:v>46195</x:v>
      </x:c>
      <x:c r="B919" s="52" t="str">
        <x:v>chatgpt-release-notes</x:v>
      </x:c>
      <x:c r="C919" s="52" t="str">
        <x:v>ChatGPT — Release Notes</x:v>
      </x:c>
      <x:c r="D919" s="52" t="str">
        <x:v>chatgpt_core</x:v>
      </x:c>
      <x:c r="E919" s="52" t="str">
        <x:v>ChatGPT</x:v>
      </x:c>
      <x:c r="F919" s="52" t="str">
        <x:v>feature</x:v>
      </x:c>
      <x:c r="G919" s="52" t="str">
        <x:v>active</x:v>
      </x:c>
      <x:c r="H919" s="63" t="str">
        <x:v>Large pastes are now handled as attachments for more plans</x:v>
      </x:c>
      <x:c r="I919" s="63" t="str">
        <x:v>更多方案支援將長內容貼上處理為附件</x:v>
      </x:c>
      <x:c r="J919" s="63" t="str">
        <x:v>Starting today for ChatGPT Free and Go users, long pastes are handled differently in ChatGPT. If you paste more than 10k characters into the composer, ChatGPT will automatically convert the content into an attachment instead of inserting it directly into the text field. This keeps the composer cleaner and helps prevent large pastes from consuming your entire context window. You can still move the content back into the message at any…</x:v>
      </x:c>
      <x:c r="K919" s="63" t="str">
        <x:v>從今天起，ChatGPT Free 和 Go 使用者在貼上長內容時會有不同的處理方式。如果您在輸入框中貼上超過 1 萬個字元，ChatGPT 會自動將內容轉換為附件，而非直接插入文字欄位中。…</x:v>
      </x:c>
      <x:c r="L919" s="52" t="str">
        <x:v>https://help.openai.com/en/articles/6825453-chatgpt-release-notes</x:v>
      </x:c>
      <x:c r="M919" s="52" t="str">
        <x:v>help_center_release_notes</x:v>
      </x:c>
      <x:c r="N919" s="52" t="str">
        <x:v>complete</x:v>
      </x:c>
      <x:c r="O919" s="52" t="str">
        <x:v>high</x:v>
      </x:c>
      <x:c r="P919" s="60" t="n">
        <x:v>3</x:v>
      </x:c>
      <x:c r="Q919" s="52" t="str">
        <x:v>2026 | chatgpt | chatgpt-core | feature</x:v>
      </x:c>
    </x:row>
    <x:row r="920" ht="38" customHeight="1">
      <x:c r="A920" s="57" t="n">
        <x:v>46196</x:v>
      </x:c>
      <x:c r="B920" s="52" t="str">
        <x:v>api-changelog</x:v>
      </x:c>
      <x:c r="C920" s="52" t="str">
        <x:v>OpenAI API Changelog</x:v>
      </x:c>
      <x:c r="D920" s="52" t="str">
        <x:v>safety_lifecycle</x:v>
      </x:c>
      <x:c r="E920" s="52" t="str">
        <x:v>OpenAI API</x:v>
      </x:c>
      <x:c r="F920" s="52" t="str">
        <x:v>safety</x:v>
      </x:c>
      <x:c r="G920" s="52" t="str">
        <x:v>active</x:v>
      </x:c>
      <x:c r="H920" s="63" t="str">
        <x:v>Released the Safety Usage Dashboard on the OpenAI API platform.</x:v>
      </x:c>
      <x:c r="I920" s="63" t="str">
        <x:v>安全更新：OpenAI API</x:v>
      </x:c>
      <x:c r="J920" s="63" t="str">
        <x:v>Released the Safety Usage Dashboard on the OpenAI API platform. The Safety dashboard shows blocked Responses requests based on safetyidentifier values sent on requests to identify end users. Visit the Safety dashboard.</x:v>
      </x:c>
      <x:c r="K920" s="63" t="str">
        <x:v>OpenAI 於 2026-06-23 為 OpenAI API 更新安全與治理機制；此節點依官方發布記錄整理，完整能力、適用方案與限制請見來源。</x:v>
      </x:c>
      <x:c r="L920" s="52" t="str">
        <x:v>https://platform.openai.com/docs/changelog</x:v>
      </x:c>
      <x:c r="M920" s="52" t="str">
        <x:v>developer_changelog</x:v>
      </x:c>
      <x:c r="N920" s="52" t="str">
        <x:v>parsed</x:v>
      </x:c>
      <x:c r="O920" s="52" t="str">
        <x:v>high</x:v>
      </x:c>
      <x:c r="P920" s="60" t="n">
        <x:v>0</x:v>
      </x:c>
      <x:c r="Q920" s="52" t="str"/>
    </x:row>
    <x:row r="921" ht="38" customHeight="1">
      <x:c r="A921" s="57" t="n">
        <x:v>46196</x:v>
      </x:c>
      <x:c r="B921" s="52" t="str">
        <x:v>lane-openai-api-changelog</x:v>
      </x:c>
      <x:c r="C921" s="52" t="str">
        <x:v>OpenAI API Changelog</x:v>
      </x:c>
      <x:c r="D921" s="52" t="str">
        <x:v>safety_lifecycle</x:v>
      </x:c>
      <x:c r="E921" s="52" t="str">
        <x:v>Safety &amp; Security</x:v>
      </x:c>
      <x:c r="F921" s="52" t="str">
        <x:v>launch</x:v>
      </x:c>
      <x:c r="G921" s="52" t="str">
        <x:v>active</x:v>
      </x:c>
      <x:c r="H921" s="63" t="str">
        <x:v>Released the Safety Usage Dashboard on the OpenAI API platform.</x:v>
      </x:c>
      <x:c r="I921" s="63" t="str">
        <x:v>推出 OpenAI API 安全用量儀表板</x:v>
      </x:c>
      <x:c r="J921" s="63" t="str">
        <x:v>Released the Safety Usage Dashboard on the OpenAI API platform. The Safety dashboard shows blocked Responses requests based on safetyidentifier values sent on requests to identify end users. Visit the Safety dashboard .</x:v>
      </x:c>
      <x:c r="K921" s="63" t="str">
        <x:v>推出 OpenAI API 安全用量儀表板。OpenAI 將此列為 2026-06-23 的功能；重點涉及安全與治理、代理與工具調用，模型、端點與參數名稱依官方英文保留。</x:v>
      </x:c>
      <x:c r="L921" s="52" t="str">
        <x:v>https://developers.openai.com/api/docs/changelog</x:v>
      </x:c>
      <x:c r="M921" s="52" t="str">
        <x:v>official_changelog</x:v>
      </x:c>
      <x:c r="N921" s="52" t="str">
        <x:v>complete</x:v>
      </x:c>
      <x:c r="O921" s="52" t="str">
        <x:v>high</x:v>
      </x:c>
      <x:c r="P921" s="60" t="n">
        <x:v>3</x:v>
      </x:c>
      <x:c r="Q921" s="52" t="str">
        <x:v>feature | safety | security</x:v>
      </x:c>
    </x:row>
    <x:row r="922" ht="38" customHeight="1">
      <x:c r="A922" s="57" t="n">
        <x:v>46197</x:v>
      </x:c>
      <x:c r="B922" s="52" t="str">
        <x:v>chatgpt-release-notes</x:v>
      </x:c>
      <x:c r="C922" s="52" t="str">
        <x:v>ChatGPT — Release Notes</x:v>
      </x:c>
      <x:c r="D922" s="52" t="str">
        <x:v>models_reasoning</x:v>
      </x:c>
      <x:c r="E922" s="52" t="str">
        <x:v>GPT-5.5</x:v>
      </x:c>
      <x:c r="F922" s="52" t="str">
        <x:v>model_update</x:v>
      </x:c>
      <x:c r="G922" s="52" t="str">
        <x:v>active</x:v>
      </x:c>
      <x:c r="H922" s="63" t="str">
        <x:v>GPT-5.5 Instant Update</x:v>
      </x:c>
      <x:c r="I922" s="63" t="str">
        <x:v>GPT-5.5 Instant 更新</x:v>
      </x:c>
      <x:c r="J922" s="63" t="str">
        <x:v>We’re updating GPT-5.5 Instant, our most-used model in ChatGPT, to improve conversational quality—especially when users are making a decision, asking for advice, planning something, researching options, or shopping. The model is better at identifying the underlying goal behind a question and carrying context across multiple turns. It also follows complex instructions more reliably: when a request includes several constraints or requi…</x:v>
      </x:c>
      <x:c r="K922" s="63" t="str">
        <x:v>我們正在更新 ChatGPT 中最常用的模型 GPT-5.5 Instant，以提升對話品質，特別是在使用者進行決策、尋求建議、規劃事物、研究選項或購物時。該模型在識別問題背後的潛在目標以及在多輪對話中延續上下文的能力有所提升。…</x:v>
      </x:c>
      <x:c r="L922" s="52" t="str">
        <x:v>https://help.openai.com/en/articles/6825453-chatgpt-release-notes</x:v>
      </x:c>
      <x:c r="M922" s="52" t="str">
        <x:v>help_center_release_notes</x:v>
      </x:c>
      <x:c r="N922" s="52" t="str">
        <x:v>complete</x:v>
      </x:c>
      <x:c r="O922" s="52" t="str">
        <x:v>high</x:v>
      </x:c>
      <x:c r="P922" s="60" t="n">
        <x:v>3</x:v>
      </x:c>
      <x:c r="Q922" s="52" t="str">
        <x:v>2026 | gpt-5.5 | model_update | models-reasoning</x:v>
      </x:c>
    </x:row>
    <x:row r="923" ht="38" customHeight="1">
      <x:c r="A923" s="57" t="n">
        <x:v>46197</x:v>
      </x:c>
      <x:c r="B923" s="52" t="str">
        <x:v>api-changelog</x:v>
      </x:c>
      <x:c r="C923" s="52" t="str">
        <x:v>OpenAI API Changelog</x:v>
      </x:c>
      <x:c r="D923" s="52" t="str">
        <x:v>models_reasoning</x:v>
      </x:c>
      <x:c r="E923" s="52" t="str">
        <x:v>GPT-5.5</x:v>
      </x:c>
      <x:c r="F923" s="52" t="str">
        <x:v>platform</x:v>
      </x:c>
      <x:c r="G923" s="52" t="str">
        <x:v>active</x:v>
      </x:c>
      <x:c r="H923" s="63" t="str">
        <x:v>Updated the chat-latest snapshot</x:v>
      </x:c>
      <x:c r="I923" s="63" t="str">
        <x:v>平台更新：GPT-5.5</x:v>
      </x:c>
      <x:c r="J923" s="63" t="str">
        <x:v>Updated the chat-latest snapshot, which points to the latest Instant model currently used in ChatGPT. We recommend leveraging GPT-5.5 for production API usage, but feel free to use this model to test the latest improvements for chat use cases. The underlying model snapshot will be regularly updated. Read more here.</x:v>
      </x:c>
      <x:c r="K923" s="63" t="str">
        <x:v>OpenAI 於 2026-06-24 為 GPT-5.5 更新開發者平台；此節點依官方發布記錄整理，完整能力、適用方案與限制請見來源。</x:v>
      </x:c>
      <x:c r="L923" s="52" t="str">
        <x:v>https://platform.openai.com/docs/changelog</x:v>
      </x:c>
      <x:c r="M923" s="52" t="str">
        <x:v>developer_changelog</x:v>
      </x:c>
      <x:c r="N923" s="52" t="str">
        <x:v>parsed</x:v>
      </x:c>
      <x:c r="O923" s="52" t="str">
        <x:v>high</x:v>
      </x:c>
      <x:c r="P923" s="60" t="n">
        <x:v>0</x:v>
      </x:c>
      <x:c r="Q923" s="52" t="str"/>
    </x:row>
    <x:row r="924" ht="38" customHeight="1">
      <x:c r="A924" s="57" t="n">
        <x:v>46197</x:v>
      </x:c>
      <x:c r="B924" s="52" t="str">
        <x:v>lane-openai-api-changelog</x:v>
      </x:c>
      <x:c r="C924" s="52" t="str">
        <x:v>OpenAI API Changelog</x:v>
      </x:c>
      <x:c r="D924" s="52" t="str">
        <x:v>models_reasoning</x:v>
      </x:c>
      <x:c r="E924" s="52" t="str">
        <x:v>Model Platform</x:v>
      </x:c>
      <x:c r="F924" s="52" t="str">
        <x:v>platform</x:v>
      </x:c>
      <x:c r="G924" s="52" t="str">
        <x:v>active</x:v>
      </x:c>
      <x:c r="H924" s="63" t="str">
        <x:v>Updated the chat-latest snapshot</x:v>
      </x:c>
      <x:c r="I924" s="63" t="str">
        <x:v>平台更新：Model Platform</x:v>
      </x:c>
      <x:c r="J924" s="63" t="str">
        <x:v>Updated the chat-latest snapshot, which points to the latest Instant model currently used in ChatGPT. We recommend leveraging GPT-5.5 for production API usage, but feel free to use this model to test the latest improvements for chat use cases. The underlying model snapshot will be regularly updated. Read more here .</x:v>
      </x:c>
      <x:c r="K924" s="63" t="str">
        <x:v>更新：chat-latest snapshot, which points to latest Instant 模型 currently used in ChatGPT。OpenAI 將此列為 2026-06-24 的更新；重點涉及平台功能與可用性，模型、端點與參數名稱依官方英文保留。</x:v>
      </x:c>
      <x:c r="L924" s="52" t="str">
        <x:v>https://developers.openai.com/api/docs/changelog</x:v>
      </x:c>
      <x:c r="M924" s="52" t="str">
        <x:v>official_changelog</x:v>
      </x:c>
      <x:c r="N924" s="52" t="str">
        <x:v>complete</x:v>
      </x:c>
      <x:c r="O924" s="52" t="str">
        <x:v>high</x:v>
      </x:c>
      <x:c r="P924" s="60" t="n">
        <x:v>5</x:v>
      </x:c>
      <x:c r="Q924" s="52" t="str">
        <x:v>api | models | update</x:v>
      </x:c>
    </x:row>
    <x:row r="925" ht="38" customHeight="1">
      <x:c r="A925" s="57" t="n">
        <x:v>46198</x:v>
      </x:c>
      <x:c r="B925" s="52" t="str">
        <x:v>chatgpt-release-notes</x:v>
      </x:c>
      <x:c r="C925" s="52" t="str">
        <x:v>ChatGPT — Release Notes</x:v>
      </x:c>
      <x:c r="D925" s="52" t="str">
        <x:v>clients_surfaces</x:v>
      </x:c>
      <x:c r="E925" s="52" t="str">
        <x:v>Codex</x:v>
      </x:c>
      <x:c r="F925" s="52" t="str">
        <x:v>pricing_quota</x:v>
      </x:c>
      <x:c r="G925" s="52" t="str">
        <x:v>general_availability</x:v>
      </x:c>
      <x:c r="H925" s="63" t="str">
        <x:v>Codex Remote GA and DigitalOcean plugin</x:v>
      </x:c>
      <x:c r="I925" s="63" t="str">
        <x:v>方案更新：Codex Remote GA and DigitalOcean plugin</x:v>
      </x:c>
      <x:c r="J925" s="63" t="str">
        <x:v>Codex Remote is now generally available on all ChatGPT plans. From the ChatGPT mobile app, users can start or continue work on a connected Mac or Windows host, review progress, and approve actions from their phone. Remote Control now uses authenticated one-to-one QR pairing between each supported mobile device and each host. Connections used since June 8 remain paired; older inactive connections need to pair again. Signing out turns…</x:v>
      </x:c>
      <x:c r="K925" s="63" t="str">
        <x:v>OpenAI 於 2026-06-25 為 Codex 調整方案、額度或計費；此節點依官方發布記錄整理，完整能力、適用方案與限制請見來源。</x:v>
      </x:c>
      <x:c r="L925" s="52" t="str">
        <x:v>https://help.openai.com/en/articles/6825453-chatgpt-release-notes</x:v>
      </x:c>
      <x:c r="M925" s="52" t="str">
        <x:v>help_center_release_notes</x:v>
      </x:c>
      <x:c r="N925" s="52" t="str">
        <x:v>parsed</x:v>
      </x:c>
      <x:c r="O925" s="52" t="str">
        <x:v>high</x:v>
      </x:c>
      <x:c r="P925" s="60" t="n">
        <x:v>0</x:v>
      </x:c>
      <x:c r="Q925" s="52" t="str"/>
    </x:row>
    <x:row r="926" ht="38" customHeight="1">
      <x:c r="A926" s="57" t="n">
        <x:v>46198</x:v>
      </x:c>
      <x:c r="B926" s="52" t="str">
        <x:v>chatgpt-release-notes</x:v>
      </x:c>
      <x:c r="C926" s="52" t="str">
        <x:v>ChatGPT — Release Notes</x:v>
      </x:c>
      <x:c r="D926" s="52" t="str">
        <x:v>agents_research</x:v>
      </x:c>
      <x:c r="E926" s="52" t="str">
        <x:v>Codex</x:v>
      </x:c>
      <x:c r="F926" s="52" t="str">
        <x:v>availability</x:v>
      </x:c>
      <x:c r="G926" s="52" t="str">
        <x:v>general_availability</x:v>
      </x:c>
      <x:c r="H926" s="63" t="str">
        <x:v>Codex Remote is generally available</x:v>
      </x:c>
      <x:c r="I926" s="63" t="str">
        <x:v>Codex Remote 正式推出</x:v>
      </x:c>
      <x:c r="J926" s="63" t="str">
        <x:v>Codex Remote became generally available on all ChatGPT plans, letting mobile users start or continue work on a paired Mac or Windows host and review progress or approve actions from their phone.</x:v>
      </x:c>
      <x:c r="K926" s="63" t="str">
        <x:v>Codex Remote 已於所有 ChatGPT 方案中正式推出，讓行動版使用者能在已配對的 Mac 或 Windows 主機上開始或繼續工作，並透過手機審閱進度或核准操作。</x:v>
      </x:c>
      <x:c r="L926" s="52" t="str">
        <x:v>https://help.openai.com/en/articles/6825453-chatgpt-release-notes</x:v>
      </x:c>
      <x:c r="M926" s="52" t="str">
        <x:v>help_center_release_notes</x:v>
      </x:c>
      <x:c r="N926" s="52" t="str">
        <x:v>complete</x:v>
      </x:c>
      <x:c r="O926" s="52" t="str">
        <x:v>high</x:v>
      </x:c>
      <x:c r="P926" s="60" t="n">
        <x:v>3</x:v>
      </x:c>
      <x:c r="Q926" s="52" t="str">
        <x:v>2026 | agents-research | availability | codex</x:v>
      </x:c>
    </x:row>
    <x:row r="927" ht="38" customHeight="1">
      <x:c r="A927" s="57" t="n">
        <x:v>46198</x:v>
      </x:c>
      <x:c r="B927" s="52" t="str">
        <x:v>codex-changelog</x:v>
      </x:c>
      <x:c r="C927" s="52" t="str">
        <x:v>Codex Changelog</x:v>
      </x:c>
      <x:c r="D927" s="52" t="str">
        <x:v>agents_research</x:v>
      </x:c>
      <x:c r="E927" s="52" t="str">
        <x:v>Codex</x:v>
      </x:c>
      <x:c r="F927" s="52" t="str">
        <x:v>availability</x:v>
      </x:c>
      <x:c r="G927" s="52" t="str">
        <x:v>general_availability</x:v>
      </x:c>
      <x:c r="H927" s="63" t="str">
        <x:v>Codex Remote reaches general availability</x:v>
      </x:c>
      <x:c r="I927" s="63" t="str">
        <x:v>Codex Remote 正式全面推出</x:v>
      </x:c>
      <x:c r="J927" s="63" t="str">
        <x:v>Codex Remote has reached general availability. Use Codex from the ChatGPT mobile app to start or continue work on a connected Mac or Windows host, review progress, and approve actions from your phone. Remote Control now uses authenticated one-to-one QR pairing between each iOS or Android device and each host. Update the ChatGPT mobile app and Codex App to the latest versions before connecting. Connections used since June 8, 2026, rem…</x:v>
      </x:c>
      <x:c r="K927" s="63" t="str">
        <x:v>OpenAI 於 2026-06-25 為 Codex 擴大開放範圍；此節點依官方發布記錄整理，完整能力、適用方案與限制請見來源。</x:v>
      </x:c>
      <x:c r="L927" s="52" t="str">
        <x:v>https://developers.openai.com/codex/changelog/</x:v>
      </x:c>
      <x:c r="M927" s="52" t="str">
        <x:v>developer_changelog</x:v>
      </x:c>
      <x:c r="N927" s="52" t="str">
        <x:v>complete</x:v>
      </x:c>
      <x:c r="O927" s="52" t="str">
        <x:v>high</x:v>
      </x:c>
      <x:c r="P927" s="60" t="n">
        <x:v>3</x:v>
      </x:c>
      <x:c r="Q927" s="52" t="str">
        <x:v>codex | release-notes</x:v>
      </x:c>
    </x:row>
    <x:row r="928" ht="38" customHeight="1">
      <x:c r="A928" s="57" t="n">
        <x:v>46198</x:v>
      </x:c>
      <x:c r="B928" s="52" t="str">
        <x:v>chatgpt-release-notes</x:v>
      </x:c>
      <x:c r="C928" s="52" t="str">
        <x:v>ChatGPT — Release Notes</x:v>
      </x:c>
      <x:c r="D928" s="52" t="str">
        <x:v>agents_research</x:v>
      </x:c>
      <x:c r="E928" s="52" t="str">
        <x:v>Codex</x:v>
      </x:c>
      <x:c r="F928" s="52" t="str">
        <x:v>integration</x:v>
      </x:c>
      <x:c r="G928" s="52" t="str">
        <x:v>active</x:v>
      </x:c>
      <x:c r="H928" s="63" t="str">
        <x:v>DigitalOcean Droplet Workspace plugin for Codex</x:v>
      </x:c>
      <x:c r="I928" s="63" t="str">
        <x:v>Codex 的 DigitalOcean Droplet 工作區外掛程式</x:v>
      </x:c>
      <x:c r="J928" s="63" t="str">
        <x:v>A new DigitalOcean Droplet Workspace plugin lets Codex provision a Droplet, configure SSH access, and connect it to the Codex app as a remote workspace.</x:v>
      </x:c>
      <x:c r="K928" s="63" t="str">
        <x:v>新的 DigitalOcean Droplet 工作區外掛程式可讓 Codex 部署 Droplet、設定 SSH 存取權，並將其連接至 Codex 應用程式作為遠端工作區。</x:v>
      </x:c>
      <x:c r="L928" s="52" t="str">
        <x:v>https://help.openai.com/en/articles/6825453-chatgpt-release-notes</x:v>
      </x:c>
      <x:c r="M928" s="52" t="str">
        <x:v>help_center_release_notes</x:v>
      </x:c>
      <x:c r="N928" s="52" t="str">
        <x:v>complete</x:v>
      </x:c>
      <x:c r="O928" s="52" t="str">
        <x:v>high</x:v>
      </x:c>
      <x:c r="P928" s="60" t="n">
        <x:v>3</x:v>
      </x:c>
      <x:c r="Q928" s="52" t="str">
        <x:v>2026 | agents-research | codex | integration</x:v>
      </x:c>
    </x:row>
    <x:row r="929" ht="38" customHeight="1">
      <x:c r="A929" s="57" t="n">
        <x:v>46199</x:v>
      </x:c>
      <x:c r="B929" s="52" t="str">
        <x:v>chatgpt-release-notes</x:v>
      </x:c>
      <x:c r="C929" s="52" t="str">
        <x:v>ChatGPT — Release Notes</x:v>
      </x:c>
      <x:c r="D929" s="52" t="str">
        <x:v>multimodal</x:v>
      </x:c>
      <x:c r="E929" s="52" t="str">
        <x:v>ChatGPT Voice</x:v>
      </x:c>
      <x:c r="F929" s="52" t="str">
        <x:v>feature</x:v>
      </x:c>
      <x:c r="G929" s="52" t="str">
        <x:v>active</x:v>
      </x:c>
      <x:c r="H929" s="63" t="str">
        <x:v>Improved dictation in ChatGPT</x:v>
      </x:c>
      <x:c r="I929" s="63" t="str">
        <x:v>ChatGPT 的聽寫功能改進</x:v>
      </x:c>
      <x:c r="J929" s="63" t="str">
        <x:v>We’re rolling out a new speech-to-text model for dictation in ChatGPT across all plans. This is a behind-the-scenes update, so there are no changes to how you use dictation. The update improves transcription accuracy across languages and accents, including when multilingual speakers mix or switch between languages. Evaluations showed gains in Japanese, Korean, Chinese, Urdu, Vietnamese, accented English, and long-form Spanish, French…</x:v>
      </x:c>
      <x:c r="K929" s="63" t="str">
        <x:v>我們正在所有方案的 ChatGPT 聽寫功能中推出全新的語音轉文字模型。此更新於後台進行，因此聽寫的使用方式沒有改變。此次更新提升了跨語言和口音的轉錄準確度，包括多語言使用者混合或切換語言時的情況。…</x:v>
      </x:c>
      <x:c r="L929" s="52" t="str">
        <x:v>https://help.openai.com/en/articles/6825453-chatgpt-release-notes</x:v>
      </x:c>
      <x:c r="M929" s="52" t="str">
        <x:v>help_center_release_notes</x:v>
      </x:c>
      <x:c r="N929" s="52" t="str">
        <x:v>complete</x:v>
      </x:c>
      <x:c r="O929" s="52" t="str">
        <x:v>high</x:v>
      </x:c>
      <x:c r="P929" s="60" t="n">
        <x:v>3</x:v>
      </x:c>
      <x:c r="Q929" s="52" t="str">
        <x:v>2026 | chatgpt-voice | feature | multimodal</x:v>
      </x:c>
    </x:row>
    <x:row r="930" ht="38" customHeight="1">
      <x:c r="A930" s="57" t="n">
        <x:v>46199</x:v>
      </x:c>
      <x:c r="B930" s="52" t="str">
        <x:v>chatgpt-release-notes</x:v>
      </x:c>
      <x:c r="C930" s="52" t="str">
        <x:v>ChatGPT — Release Notes</x:v>
      </x:c>
      <x:c r="D930" s="52" t="str">
        <x:v>search_commerce</x:v>
      </x:c>
      <x:c r="E930" s="52" t="str">
        <x:v>Personal Finance</x:v>
      </x:c>
      <x:c r="F930" s="52" t="str">
        <x:v>availability</x:v>
      </x:c>
      <x:c r="G930" s="52" t="str">
        <x:v>active</x:v>
      </x:c>
      <x:c r="H930" s="63" t="str">
        <x:v>Personal finance in ChatGPT expands to Plus users and Android</x:v>
      </x:c>
      <x:c r="I930" s="63" t="str">
        <x:v>ChatGPT 個人理財功能拓展至 Plus 使用者與 Android 平台</x:v>
      </x:c>
      <x:c r="J930" s="63" t="str">
        <x:v>The personal finance experience in ChatGPT is rolling out to Plus users in the U. S. on web and iOS. It is also now available on Android for Pro and Plus users in the U. S. Eligible users can securely connect supported financial accounts, view a dashboard of their finances, and ask ChatGPT questions grounded in their financial context</x:v>
      </x:c>
      <x:c r="K930" s="63" t="str">
        <x:v>ChatGPT 的個人理財體驗正陸續推向美國網頁版與 iOS 版的 Plus 使用者。此外，現在也適用於美國 Android 版的 Pro 與 Plus 使用者。符合資格的使用者可安全地連結支援的金融帳戶、檢視財務儀表板，並向 ChatGPT 詢問基於其財務情境的問題。</x:v>
      </x:c>
      <x:c r="L930" s="52" t="str">
        <x:v>https://help.openai.com/en/articles/6825453-chatgpt-release-notes</x:v>
      </x:c>
      <x:c r="M930" s="52" t="str">
        <x:v>help_center_release_notes</x:v>
      </x:c>
      <x:c r="N930" s="52" t="str">
        <x:v>complete</x:v>
      </x:c>
      <x:c r="O930" s="52" t="str">
        <x:v>high</x:v>
      </x:c>
      <x:c r="P930" s="60" t="n">
        <x:v>3</x:v>
      </x:c>
      <x:c r="Q930" s="52" t="str">
        <x:v>2026 | availability | personal-finance | search-commerce</x:v>
      </x:c>
    </x:row>
    <x:row r="931" ht="38" customHeight="1">
      <x:c r="A931" s="57" t="n">
        <x:v>46199</x:v>
      </x:c>
      <x:c r="B931" s="52" t="str">
        <x:v>chatgpt-release-notes</x:v>
      </x:c>
      <x:c r="C931" s="52" t="str">
        <x:v>ChatGPT — Release Notes</x:v>
      </x:c>
      <x:c r="D931" s="52" t="str">
        <x:v>models_reasoning</x:v>
      </x:c>
      <x:c r="E931" s="52" t="str">
        <x:v>GPT-4.5</x:v>
      </x:c>
      <x:c r="F931" s="52" t="str">
        <x:v>retirement</x:v>
      </x:c>
      <x:c r="G931" s="52" t="str">
        <x:v>retired</x:v>
      </x:c>
      <x:c r="H931" s="63" t="str">
        <x:v>Retiring GPT-4.5</x:v>
      </x:c>
      <x:c r="I931" s="63" t="str">
        <x:v>停用 GPT-4.5</x:v>
      </x:c>
      <x:c r="J931" s="63" t="str">
        <x:v>As of June 26, 2026, GPT-4.5 is no longer available in ChatGPT, including for custom GPTs. Existing conversations that used GPT-4.5 can continue with GPT-5.5. This retirement was previously announced on May 28, 2026. It applies to ChatGPT only; there are no changes to the API.</x:v>
      </x:c>
      <x:c r="K931" s="63" t="str">
        <x:v>自 2026 年 6 月 26 日起，GPT-4.5 不再於 ChatGPT（包含自訂 GPT）中提供。使用過 GPT-4.5 的現有對話可繼續使用 GPT-5.5 進行。此停用通知先前已於 2026 年 5 月 28 日公佈。此變更僅適用於 ChatGPT，API 不受影響。</x:v>
      </x:c>
      <x:c r="L931" s="52" t="str">
        <x:v>https://help.openai.com/en/articles/6825453-chatgpt-release-notes</x:v>
      </x:c>
      <x:c r="M931" s="52" t="str">
        <x:v>help_center_release_notes</x:v>
      </x:c>
      <x:c r="N931" s="52" t="str">
        <x:v>complete</x:v>
      </x:c>
      <x:c r="O931" s="52" t="str">
        <x:v>high</x:v>
      </x:c>
      <x:c r="P931" s="60" t="n">
        <x:v>3</x:v>
      </x:c>
      <x:c r="Q931" s="52" t="str">
        <x:v>2026 | gpt-4.5 | models-reasoning | retirement</x:v>
      </x:c>
    </x:row>
    <x:row r="932" ht="38" customHeight="1">
      <x:c r="A932" s="57" t="n">
        <x:v>46209</x:v>
      </x:c>
      <x:c r="B932" s="52" t="str">
        <x:v>codex-changelog</x:v>
      </x:c>
      <x:c r="C932" s="52" t="str">
        <x:v>Codex Changelog</x:v>
      </x:c>
      <x:c r="D932" s="52" t="str">
        <x:v>clients_surfaces</x:v>
      </x:c>
      <x:c r="E932" s="52" t="str">
        <x:v>Codex Mobile</x:v>
      </x:c>
      <x:c r="F932" s="52" t="str">
        <x:v>feature</x:v>
      </x:c>
      <x:c r="G932" s="52" t="str">
        <x:v>active</x:v>
      </x:c>
      <x:c r="H932" s="63" t="str">
        <x:v>ChatGPT for iOS 1.2026.181</x:v>
      </x:c>
      <x:c r="I932" s="63" t="str">
        <x:v>ChatGPT for iOS 1.2026.181 更新</x:v>
      </x:c>
      <x:c r="J932" s="63" t="str">
        <x:v>New features Added support for creating, searching, opening, forking, and managing Codex tasks directly from a conversation. Added filters for staged, unstaged, branch, and last-turn changes, with controls for comparing branches. Added support for adding selected transcript text directly to the composer. Added previews for image and file attachments before sending. Added inline Photos and Camera pickers to the attachment menu. Added…</x:v>
      </x:c>
      <x:c r="K932" s="63" t="str">
        <x:v>Codex Changelog 在 2026-07-06 記錄了Codex 編碼代理、代理與工具調用、圖像與影片相關更新；完整版本與修正內容見官方英文摘要。</x:v>
      </x:c>
      <x:c r="L932" s="52" t="str">
        <x:v>https://developers.openai.com/codex/changelog/</x:v>
      </x:c>
      <x:c r="M932" s="52" t="str">
        <x:v>developer_changelog</x:v>
      </x:c>
      <x:c r="N932" s="52" t="str">
        <x:v>complete</x:v>
      </x:c>
      <x:c r="O932" s="52" t="str">
        <x:v>high</x:v>
      </x:c>
      <x:c r="P932" s="60" t="n">
        <x:v>2</x:v>
      </x:c>
      <x:c r="Q932" s="52" t="str">
        <x:v>codex | mobile | release-notes</x:v>
      </x:c>
    </x:row>
    <x:row r="933" ht="38" customHeight="1">
      <x:c r="A933" s="57" t="n">
        <x:v>46209</x:v>
      </x:c>
      <x:c r="B933" s="52" t="str">
        <x:v>business-release-notes</x:v>
      </x:c>
      <x:c r="C933" s="52" t="str">
        <x:v>ChatGPT Business — Release Notes</x:v>
      </x:c>
      <x:c r="D933" s="52" t="str">
        <x:v>enterprise_vertical</x:v>
      </x:c>
      <x:c r="E933" s="52" t="str">
        <x:v>ChatGPT Business</x:v>
      </x:c>
      <x:c r="F933" s="52" t="str">
        <x:v>availability</x:v>
      </x:c>
      <x:c r="G933" s="52" t="str">
        <x:v>general_availability</x:v>
      </x:c>
      <x:c r="H933" s="63" t="str">
        <x:v>ChatGPT for PowerPoint generally available for Business</x:v>
      </x:c>
      <x:c r="I933" s="63" t="str">
        <x:v>ChatGPT for PowerPoint 在 Business 正式 GA</x:v>
      </x:c>
      <x:c r="J933" s="63" t="str">
        <x:v>ChatGPT for PowerPoint reached general availability for Business workspaces, while Workspace Agent runs moved to token-based pricing.</x:v>
      </x:c>
      <x:c r="K933" s="63" t="str">
        <x:v>ChatGPT for PowerPoint 向 Business 工作區正式 GA；Workspace Agent runs 同步轉為按 token 計價。</x:v>
      </x:c>
      <x:c r="L933" s="52" t="str">
        <x:v>https://help.openai.com/en/articles/11391654-chatgpt-business-release-notes</x:v>
      </x:c>
      <x:c r="M933" s="52" t="str">
        <x:v>help_center_release_notes</x:v>
      </x:c>
      <x:c r="N933" s="52" t="str">
        <x:v>parsed</x:v>
      </x:c>
      <x:c r="O933" s="52" t="str">
        <x:v>high</x:v>
      </x:c>
      <x:c r="P933" s="60" t="n">
        <x:v>4</x:v>
      </x:c>
      <x:c r="Q933" s="52" t="str">
        <x:v>business | powerpoint | pricing</x:v>
      </x:c>
    </x:row>
    <x:row r="934" ht="38" customHeight="1">
      <x:c r="A934" s="57" t="n">
        <x:v>46209</x:v>
      </x:c>
      <x:c r="B934" s="52" t="str">
        <x:v>chatgpt-release-notes</x:v>
      </x:c>
      <x:c r="C934" s="52" t="str">
        <x:v>ChatGPT — Release Notes</x:v>
      </x:c>
      <x:c r="D934" s="52" t="str">
        <x:v>models_reasoning</x:v>
      </x:c>
      <x:c r="E934" s="52" t="str">
        <x:v>GPT-5.5</x:v>
      </x:c>
      <x:c r="F934" s="52" t="str">
        <x:v>model_release</x:v>
      </x:c>
      <x:c r="G934" s="52" t="str">
        <x:v>active</x:v>
      </x:c>
      <x:c r="H934" s="63" t="str">
        <x:v>GPT-5.5 Instant Mini in ChatGPT</x:v>
      </x:c>
      <x:c r="I934" s="63" t="str">
        <x:v>在 ChatGPT 中推出 GPT-5.5 Instant Mini</x:v>
      </x:c>
      <x:c r="J934" s="63" t="str">
        <x:v>We’re rolling out GPT-5.5 Instant Mini in ChatGPT. It replaces GPT-5.3 Instant Mini as the fallback model users reach after hitting their GPT-5.5 Instant or Auto rate limits. Because it serves as a fallback, it won’t appear in the model picker. This update does not affect the API or Codex. Compared with GPT-5.3 Instant Mini, GPT-5.5 Instant Mini better tracks evolving user intent, calibrates tone, and avoids repetitive or overly stru…</x:v>
      </x:c>
      <x:c r="K934" s="63" t="str">
        <x:v>我們在 ChatGPT 中推出 GPT-5.5 Instant Mini。它取代 GPT-5.3 Instant Mini，成為使用者達到 GPT-5.5 Instant 或 Auto 速率限制後的後備模型。由於它作為後備模型，不會出現在模型選擇器中。此更新不影響 API 或 Codex。</x:v>
      </x:c>
      <x:c r="L934" s="52" t="str">
        <x:v>https://help.openai.com/en/articles/6825453-chatgpt-release-notes</x:v>
      </x:c>
      <x:c r="M934" s="52" t="str">
        <x:v>help_center_release_notes</x:v>
      </x:c>
      <x:c r="N934" s="52" t="str">
        <x:v>complete</x:v>
      </x:c>
      <x:c r="O934" s="52" t="str">
        <x:v>high</x:v>
      </x:c>
      <x:c r="P934" s="60" t="n">
        <x:v>4</x:v>
      </x:c>
      <x:c r="Q934" s="52" t="str">
        <x:v>2026 | gpt-5.5 | model_release | models-reasoning</x:v>
      </x:c>
    </x:row>
    <x:row r="935" ht="38" customHeight="1">
      <x:c r="A935" s="57" t="n">
        <x:v>46209</x:v>
      </x:c>
      <x:c r="B935" s="52" t="str">
        <x:v>api-changelog</x:v>
      </x:c>
      <x:c r="C935" s="52" t="str">
        <x:v>OpenAI API Changelog</x:v>
      </x:c>
      <x:c r="D935" s="52" t="str">
        <x:v>multimodal</x:v>
      </x:c>
      <x:c r="E935" s="52" t="str">
        <x:v>ChatGPT Voice</x:v>
      </x:c>
      <x:c r="F935" s="52" t="str">
        <x:v>launch</x:v>
      </x:c>
      <x:c r="G935" s="52" t="str">
        <x:v>active</x:v>
      </x:c>
      <x:c r="H935" s="63" t="str">
        <x:v>gpt-realtime-2.1-mini</x:v>
      </x:c>
      <x:c r="I935" s="63" t="str">
        <x:v>推出：gpt-realtime-2.1-mini</x:v>
      </x:c>
      <x:c r="J935" s="63" t="str">
        <x:v>gpt-realtime-2.1-mini Released GPT-Realtime-2.1, an updated realtime reasoning model with improved alphanumeric recognition, silence and noise handling, and interruption behavior. Also released GPT-Realtime-2.1 mini, a faster, lower-cost distilled reasoning model for realtime voice applications.</x:v>
      </x:c>
      <x:c r="K935" s="63" t="str">
        <x:v>OpenAI 於 2026-07-06 為 ChatGPT Voice 推出新產品或能力；此節點依官方發布記錄整理，完整能力、適用方案與限制請見來源。</x:v>
      </x:c>
      <x:c r="L935" s="52" t="str">
        <x:v>https://platform.openai.com/docs/changelog</x:v>
      </x:c>
      <x:c r="M935" s="52" t="str">
        <x:v>developer_changelog</x:v>
      </x:c>
      <x:c r="N935" s="52" t="str">
        <x:v>parsed</x:v>
      </x:c>
      <x:c r="O935" s="52" t="str">
        <x:v>high</x:v>
      </x:c>
      <x:c r="P935" s="60" t="n">
        <x:v>0</x:v>
      </x:c>
      <x:c r="Q935" s="52" t="str"/>
    </x:row>
    <x:row r="936" ht="38" customHeight="1">
      <x:c r="A936" s="57" t="n">
        <x:v>46209</x:v>
      </x:c>
      <x:c r="B936" s="52" t="str">
        <x:v>lane-openai-api-changelog</x:v>
      </x:c>
      <x:c r="C936" s="52" t="str">
        <x:v>OpenAI API Changelog</x:v>
      </x:c>
      <x:c r="D936" s="52" t="str">
        <x:v>multimodal</x:v>
      </x:c>
      <x:c r="E936" s="52" t="str">
        <x:v>Realtime &amp; Audio API</x:v>
      </x:c>
      <x:c r="F936" s="52" t="str">
        <x:v>model_release</x:v>
      </x:c>
      <x:c r="G936" s="52" t="str">
        <x:v>active</x:v>
      </x:c>
      <x:c r="H936" s="63" t="str">
        <x:v>Released GPT-Realtime-2.1</x:v>
      </x:c>
      <x:c r="I936" s="63" t="str">
        <x:v>推出 GPT‑Realtime‑2.1 與 GPT‑Realtime‑2.1 mini</x:v>
      </x:c>
      <x:c r="J936" s="63" t="str">
        <x:v>Released GPT-Realtime-2.1 , an updated realtime reasoning model with improved alphanumeric recognition, silence and noise handling, and interruption behavior. Also released GPT-Realtime-2.1 mini , a faster, lower-cost distilled reasoning model for realtime voice applications.</x:v>
      </x:c>
      <x:c r="K936" s="63" t="str">
        <x:v>推出 GPT‑Realtime‑2.1 與 GPT‑Realtime‑2.1 mini。OpenAI 將此列為 2026-07-06 的功能；重點涉及即時語音與音訊、定價與用量，模型、端點與參數名稱依官方英文保留。</x:v>
      </x:c>
      <x:c r="L936" s="52" t="str">
        <x:v>https://developers.openai.com/api/docs/changelog</x:v>
      </x:c>
      <x:c r="M936" s="52" t="str">
        <x:v>official_changelog</x:v>
      </x:c>
      <x:c r="N936" s="52" t="str">
        <x:v>complete</x:v>
      </x:c>
      <x:c r="O936" s="52" t="str">
        <x:v>high</x:v>
      </x:c>
      <x:c r="P936" s="60" t="n">
        <x:v>4</x:v>
      </x:c>
      <x:c r="Q936" s="52" t="str">
        <x:v>audio | feature | realtime</x:v>
      </x:c>
    </x:row>
    <x:row r="937" ht="38" customHeight="1">
      <x:c r="A937" s="57" t="n">
        <x:v>46211</x:v>
      </x:c>
      <x:c r="B937" s="52" t="str">
        <x:v>chatgpt-release-notes</x:v>
      </x:c>
      <x:c r="C937" s="52" t="str">
        <x:v>ChatGPT — Release Notes</x:v>
      </x:c>
      <x:c r="D937" s="52" t="str">
        <x:v>multimodal</x:v>
      </x:c>
      <x:c r="E937" s="52" t="str">
        <x:v>ChatGPT Voice</x:v>
      </x:c>
      <x:c r="F937" s="52" t="str">
        <x:v>model_release</x:v>
      </x:c>
      <x:c r="G937" s="52" t="str">
        <x:v>active</x:v>
      </x:c>
      <x:c r="H937" s="63" t="str">
        <x:v>Introducing GPT-Live-1 in ChatGPT Voice</x:v>
      </x:c>
      <x:c r="I937" s="63" t="str">
        <x:v>在 ChatGPT Voice 中推出 GPT-Live-1</x:v>
      </x:c>
      <x:c r="J937" s="63" t="str">
        <x:v>We’re rolling out a new ChatGPT Voice experience. ChatGPT Voice is now powered by GPT-Live-1 for paid users and GPT-Live-1 mini for Free users. Both models can listen and speak at the same time, making turn-taking and interruptions feel more natural. GPT-Live-1 works inside a ChatGPT chat, with spoken responses appearing alongside streamed text. It can use web search and memory, show visual results through supported widgets, and work…</x:v>
      </x:c>
      <x:c r="K937" s="63" t="str">
        <x:v>我們推出全新的 ChatGPT Voice 體驗。ChatGPT Voice 現由付費使用者的 GPT-Live-1 和免費使用者的 GPT-Live-1 mini 驅動。兩種模型皆能同時聽取與發言，使輪流對話和中斷感覺更自然。GPT-Live-1 在 ChatGPT 對話中運作，語音回應會與串流文字同時出現。</x:v>
      </x:c>
      <x:c r="L937" s="52" t="str">
        <x:v>https://help.openai.com/en/articles/6825453-chatgpt-release-notes</x:v>
      </x:c>
      <x:c r="M937" s="52" t="str">
        <x:v>help_center_release_notes</x:v>
      </x:c>
      <x:c r="N937" s="52" t="str">
        <x:v>complete</x:v>
      </x:c>
      <x:c r="O937" s="52" t="str">
        <x:v>high</x:v>
      </x:c>
      <x:c r="P937" s="60" t="n">
        <x:v>4</x:v>
      </x:c>
      <x:c r="Q937" s="52" t="str">
        <x:v>2026 | chatgpt-voice | model_release | multimodal</x:v>
      </x:c>
    </x:row>
    <x:row r="938" ht="38" customHeight="1">
      <x:c r="A938" s="57" t="n">
        <x:v>46212</x:v>
      </x:c>
      <x:c r="B938" s="52" t="str">
        <x:v>lane-evolving-atlas-into-chatgpt-for-browser-based-agentic-work</x:v>
      </x:c>
      <x:c r="C938" s="52" t="str">
        <x:v>Evolving Atlas into ChatGPT for browser-based agentic work</x:v>
      </x:c>
      <x:c r="D938" s="52" t="str">
        <x:v>safety_lifecycle</x:v>
      </x:c>
      <x:c r="E938" s="52" t="str">
        <x:v>ChatGPT Atlas</x:v>
      </x:c>
      <x:c r="F938" s="52" t="str">
        <x:v>deprecation</x:v>
      </x:c>
      <x:c r="G938" s="52" t="str">
        <x:v>deprecated</x:v>
      </x:c>
      <x:c r="H938" s="63" t="str">
        <x:v>Atlas deprecation announced</x:v>
      </x:c>
      <x:c r="I938" s="63" t="str">
        <x:v>Atlas 宣布棄用</x:v>
      </x:c>
      <x:c r="J938" s="63" t="str">
        <x:v>OpenAI announced that Atlas is being deprecated as browser-agent capabilities move into ChatGPT and Codex; Atlas is scheduled to stop working on August 9, 2026.</x:v>
      </x:c>
      <x:c r="K938" s="63" t="str">
        <x:v>OpenAI 宣布棄用 Atlas，將瀏覽器代理能力移入 ChatGPT 與 Codex；Atlas 預計於 2026-08-09 停止運作。</x:v>
      </x:c>
      <x:c r="L938" s="52" t="str">
        <x:v>https://help.openai.com/en/articles/20001371-evolving-atlas-into-chatgpt-for-browser-based-agentic-work</x:v>
      </x:c>
      <x:c r="M938" s="52" t="str">
        <x:v>official_help_center</x:v>
      </x:c>
      <x:c r="N938" s="52" t="str">
        <x:v>parsed</x:v>
      </x:c>
      <x:c r="O938" s="52" t="str">
        <x:v>high</x:v>
      </x:c>
      <x:c r="P938" s="60" t="n">
        <x:v>5</x:v>
      </x:c>
      <x:c r="Q938" s="52" t="str">
        <x:v>atlas | browser | deprecation</x:v>
      </x:c>
    </x:row>
    <x:row r="939" ht="38" customHeight="1">
      <x:c r="A939" s="57" t="n">
        <x:v>46212</x:v>
      </x:c>
      <x:c r="B939" s="52" t="str">
        <x:v>lane-moving-to-the-new-chatgpt-desktop-app</x:v>
      </x:c>
      <x:c r="C939" s="52" t="str">
        <x:v>Moving to the new ChatGPT desktop app</x:v>
      </x:c>
      <x:c r="D939" s="52" t="str">
        <x:v>clients_surfaces</x:v>
      </x:c>
      <x:c r="E939" s="52" t="str">
        <x:v>ChatGPT Desktop</x:v>
      </x:c>
      <x:c r="F939" s="52" t="str">
        <x:v>launch</x:v>
      </x:c>
      <x:c r="G939" s="52" t="str">
        <x:v>active</x:v>
      </x:c>
      <x:c r="H939" s="63" t="str">
        <x:v>ChatGPT Classic and the new unified desktop app</x:v>
      </x:c>
      <x:c r="I939" s="63" t="str">
        <x:v>ChatGPT Classic 與新版整合桌面 App</x:v>
      </x:c>
      <x:c r="J939" s="63" t="str">
        <x:v>The previous macOS client was renamed ChatGPT Classic as OpenAI launched a new macOS and Windows desktop app combining Chat, ChatGPT Work, and Codex.</x:v>
      </x:c>
      <x:c r="K939" s="63" t="str">
        <x:v>舊 macOS 客戶端更名為 ChatGPT Classic；新版 macOS/Windows App 整合 Chat、ChatGPT Work 與 Codex。</x:v>
      </x:c>
      <x:c r="L939" s="52" t="str">
        <x:v>https://help.openai.com/en/articles/20001276/</x:v>
      </x:c>
      <x:c r="M939" s="52" t="str">
        <x:v>official_help_center</x:v>
      </x:c>
      <x:c r="N939" s="52" t="str">
        <x:v>parsed</x:v>
      </x:c>
      <x:c r="O939" s="52" t="str">
        <x:v>high</x:v>
      </x:c>
      <x:c r="P939" s="60" t="n">
        <x:v>5</x:v>
      </x:c>
      <x:c r="Q939" s="52" t="str">
        <x:v>codex | desktop | macos | windows</x:v>
      </x:c>
    </x:row>
    <x:row r="940" ht="38" customHeight="1">
      <x:c r="A940" s="57" t="n">
        <x:v>46212</x:v>
      </x:c>
      <x:c r="B940" s="52" t="str">
        <x:v>codex-changelog</x:v>
      </x:c>
      <x:c r="C940" s="52" t="str">
        <x:v>Codex Changelog</x:v>
      </x:c>
      <x:c r="D940" s="52" t="str">
        <x:v>agents_research</x:v>
      </x:c>
      <x:c r="E940" s="52" t="str">
        <x:v>Codex</x:v>
      </x:c>
      <x:c r="F940" s="52" t="str">
        <x:v>launch</x:v>
      </x:c>
      <x:c r="G940" s="52" t="str">
        <x:v>active</x:v>
      </x:c>
      <x:c r="H940" s="63" t="str">
        <x:v>Codex joins the ChatGPT desktop app</x:v>
      </x:c>
      <x:c r="I940" s="63" t="str">
        <x:v>Codex 加入 ChatGPT 桌面 App</x:v>
      </x:c>
      <x:c r="J940" s="63" t="str">
        <x:v>Codex is now part of the ChatGPT desktop app on macOS and Windows. Existing Codex app users can update as usual and keep their projects, settings, and workflows. You can make Codex the default view and, on macOS, keep the Codex app icon. New features Edit Markdown and code directly in the app, use inline annotations, and ask Codex to revise selected content. Review GitHub pull requests in the sidebar, with reviewer feedback alongside…</x:v>
      </x:c>
      <x:c r="K940" s="63" t="str">
        <x:v>Codex Changelog 在 2026-07-09 記錄了Codex 編碼代理、圖像與影片、可靠性與效能修正相關更新；完整版本與修正內容見官方英文摘要。</x:v>
      </x:c>
      <x:c r="L940" s="52" t="str">
        <x:v>https://developers.openai.com/codex/changelog/</x:v>
      </x:c>
      <x:c r="M940" s="52" t="str">
        <x:v>developer_changelog</x:v>
      </x:c>
      <x:c r="N940" s="52" t="str">
        <x:v>complete</x:v>
      </x:c>
      <x:c r="O940" s="52" t="str">
        <x:v>high</x:v>
      </x:c>
      <x:c r="P940" s="60" t="n">
        <x:v>5</x:v>
      </x:c>
      <x:c r="Q940" s="52" t="str">
        <x:v>codex | release-notes</x:v>
      </x:c>
    </x:row>
    <x:row r="941" ht="38" customHeight="1">
      <x:c r="A941" s="57" t="n">
        <x:v>46212</x:v>
      </x:c>
      <x:c r="B941" s="52" t="str">
        <x:v>chatgpt-release-notes</x:v>
      </x:c>
      <x:c r="C941" s="52" t="str">
        <x:v>ChatGPT — Release Notes</x:v>
      </x:c>
      <x:c r="D941" s="52" t="str">
        <x:v>clients_surfaces</x:v>
      </x:c>
      <x:c r="E941" s="52" t="str">
        <x:v>ChatGPT Sites</x:v>
      </x:c>
      <x:c r="F941" s="52" t="str">
        <x:v>launch</x:v>
      </x:c>
      <x:c r="G941" s="52" t="str">
        <x:v>beta</x:v>
      </x:c>
      <x:c r="H941" s="63" t="str">
        <x:v>Introducing ChatGPT Sites in public beta</x:v>
      </x:c>
      <x:c r="I941" s="63" t="str">
        <x:v>推出 ChatGPT Sites 公開測試版</x:v>
      </x:c>
      <x:c r="J941" s="63" t="str">
        <x:v>ChatGPT Sites lets you turn your work or ideas into an interactive website or lightweight app without leaving ChatGPT. You can create dashboards, project trackers, launch calendars, prototypes, internal portals, and reports, then preview and refine the result with ChatGPT before sharing it. Business and Enterprise customers already have access to Sites. Starting today, they can also publish Sites publicly and share them with anyone t…</x:v>
      </x:c>
      <x:c r="K941" s="63" t="str">
        <x:v>ChatGPT Sites 讓您無需離開 ChatGPT，即可將您的工作或想法轉變為互動式網站或輕量級應用程式。您可以建立儀表板、專案追蹤器、發佈行事曆、原型、內部入口網站和報告，並在分享前與 ChatGPT 一起預覽與優化結果。Business 和 Enterprise 客戶已可使用 Sites。</x:v>
      </x:c>
      <x:c r="L941" s="52" t="str">
        <x:v>https://help.openai.com/en/articles/6825453-chatgpt-release-notes</x:v>
      </x:c>
      <x:c r="M941" s="52" t="str">
        <x:v>help_center_release_notes</x:v>
      </x:c>
      <x:c r="N941" s="52" t="str">
        <x:v>complete</x:v>
      </x:c>
      <x:c r="O941" s="52" t="str">
        <x:v>high</x:v>
      </x:c>
      <x:c r="P941" s="60" t="n">
        <x:v>5</x:v>
      </x:c>
      <x:c r="Q941" s="52" t="str">
        <x:v>2026 | chatgpt-sites | clients-surfaces | launch</x:v>
      </x:c>
    </x:row>
    <x:row r="942" ht="38" customHeight="1">
      <x:c r="A942" s="57" t="n">
        <x:v>46212</x:v>
      </x:c>
      <x:c r="B942" s="52" t="str">
        <x:v>chatgpt-release-notes</x:v>
      </x:c>
      <x:c r="C942" s="52" t="str">
        <x:v>ChatGPT — Release Notes</x:v>
      </x:c>
      <x:c r="D942" s="52" t="str">
        <x:v>agents_research</x:v>
      </x:c>
      <x:c r="E942" s="52" t="str">
        <x:v>ChatGPT Work</x:v>
      </x:c>
      <x:c r="F942" s="52" t="str">
        <x:v>launch</x:v>
      </x:c>
      <x:c r="G942" s="52" t="str">
        <x:v>active</x:v>
      </x:c>
      <x:c r="H942" s="63" t="str">
        <x:v>Introducing ChatGPT Work</x:v>
      </x:c>
      <x:c r="I942" s="63" t="str">
        <x:v>推出 ChatGPT Work</x:v>
      </x:c>
      <x:c r="J942" s="63" t="str">
        <x:v>ChatGPT Work is an agent for longer, more involved tasks. It can research and analyze information, work across connected apps and files, and create finished documents, spreadsheets, presentations, reports, and Sites. You can follow its progress, answer questions, change direction, and approve important actions as it works. Work can also keep projects moving through Scheduled Tasks that run once, repeat on a schedule or trigger, or mo…</x:v>
      </x:c>
      <x:c r="K942" s="63" t="str">
        <x:v>ChatGPT Work 是一款用於處理較長且複雜任務的代理，能夠進行研究、分析已連結的應用程式與檔案，並建立完成的文件、試算表、簡報、報告和 Sites，同時由使用者主導並批准重要動作。</x:v>
      </x:c>
      <x:c r="L942" s="52" t="str">
        <x:v>https://help.openai.com/en/articles/6825453-chatgpt-release-notes</x:v>
      </x:c>
      <x:c r="M942" s="52" t="str">
        <x:v>help_center_release_notes</x:v>
      </x:c>
      <x:c r="N942" s="52" t="str">
        <x:v>complete</x:v>
      </x:c>
      <x:c r="O942" s="52" t="str">
        <x:v>high</x:v>
      </x:c>
      <x:c r="P942" s="60" t="n">
        <x:v>5</x:v>
      </x:c>
      <x:c r="Q942" s="52" t="str">
        <x:v>2026 | agents-research | chatgpt-work | launch</x:v>
      </x:c>
    </x:row>
    <x:row r="943" ht="38" customHeight="1">
      <x:c r="A943" s="57" t="n">
        <x:v>46212</x:v>
      </x:c>
      <x:c r="B943" s="52" t="str">
        <x:v>model-release-notes</x:v>
      </x:c>
      <x:c r="C943" s="52" t="str">
        <x:v>Model Release Notes</x:v>
      </x:c>
      <x:c r="D943" s="52" t="str">
        <x:v>models_reasoning</x:v>
      </x:c>
      <x:c r="E943" s="52" t="str">
        <x:v>GPT-5.6 Sol</x:v>
      </x:c>
      <x:c r="F943" s="52" t="str">
        <x:v>model_release</x:v>
      </x:c>
      <x:c r="G943" s="52" t="str">
        <x:v>active</x:v>
      </x:c>
      <x:c r="H943" s="63" t="str">
        <x:v>Introducing GPT-5.6 Sol in ChatGPT</x:v>
      </x:c>
      <x:c r="I943" s="63" t="str">
        <x:v>在 ChatGPT 中推出 GPT-5.6 Sol</x:v>
      </x:c>
      <x:c r="J943" s="63" t="str">
        <x:v>We’re beginning the rollout of GPT-5.6 Sol in ChatGPT, our flagship reasoning model for complex work across coding, research, science, cybersecurity, computer use, and design. GPT-5.6 Sol is rolling out to eligible paid ChatGPT plans. Free, Go, and logged-out users are not included. Availability may vary during rollout, and managed-workspace access can depend on administrator settings. Availability for other GPT-5.6 family models var…</x:v>
      </x:c>
      <x:c r="K943" s="63" t="str">
        <x:v>OpenAI 開始在 ChatGPT 中推出 GPT-5.6 Sol，作為適用付費方案中用於程式編碼、研究、科學、網路安全、電腦使用和設計等複雜工作的旗艦推理模型。</x:v>
      </x:c>
      <x:c r="L943" s="52" t="str">
        <x:v>https://help.openai.com/en/articles/9624314-model-release-notes</x:v>
      </x:c>
      <x:c r="M943" s="52" t="str">
        <x:v>help_center_release_notes</x:v>
      </x:c>
      <x:c r="N943" s="52" t="str">
        <x:v>complete</x:v>
      </x:c>
      <x:c r="O943" s="52" t="str">
        <x:v>high</x:v>
      </x:c>
      <x:c r="P943" s="60" t="n">
        <x:v>5</x:v>
      </x:c>
      <x:c r="Q943" s="52" t="str">
        <x:v>2026 | gpt-5.6 | model_release | models-reasoning</x:v>
      </x:c>
    </x:row>
    <x:row r="944" ht="38" customHeight="1">
      <x:c r="A944" s="57" t="n">
        <x:v>46212</x:v>
      </x:c>
      <x:c r="B944" s="52" t="str">
        <x:v>lane-openai-product-release-notes</x:v>
      </x:c>
      <x:c r="C944" s="52" t="str">
        <x:v>OpenAI product release notes</x:v>
      </x:c>
      <x:c r="D944" s="52" t="str">
        <x:v>models_reasoning</x:v>
      </x:c>
      <x:c r="E944" s="52" t="str">
        <x:v>GPT-5.6</x:v>
      </x:c>
      <x:c r="F944" s="52" t="str">
        <x:v>model_release</x:v>
      </x:c>
      <x:c r="G944" s="52" t="str">
        <x:v>active</x:v>
      </x:c>
      <x:c r="H944" s="63" t="str">
        <x:v>Introducing the GPT-5.6 model family</x:v>
      </x:c>
      <x:c r="I944" s="63" t="str">
        <x:v>推出 GPT-5.6 模型系列</x:v>
      </x:c>
      <x:c r="J944" s="63" t="str">
        <x:v>OpenAI released the GPT-5.6 family across ChatGPT, Codex, and the API: Sol for frontier capability, Terra for intelligence-cost balance, and Luna for efficient high-volume workloads.</x:v>
      </x:c>
      <x:c r="K944" s="63" t="str">
        <x:v>OpenAI 在 ChatGPT、Codex 和 API 中發布了 GPT-5.6 系列：Sol 用於前沿能力，Terra 用於智慧與成本平衡，Luna 用於高效的大規模工作負載。</x:v>
      </x:c>
      <x:c r="L944" s="52" t="str">
        <x:v>https://openai.com/products/release-notes/</x:v>
      </x:c>
      <x:c r="M944" s="52" t="str">
        <x:v>official_release_feed</x:v>
      </x:c>
      <x:c r="N944" s="52" t="str">
        <x:v>complete</x:v>
      </x:c>
      <x:c r="O944" s="52" t="str">
        <x:v>high</x:v>
      </x:c>
      <x:c r="P944" s="60" t="n">
        <x:v>5</x:v>
      </x:c>
      <x:c r="Q944" s="52" t="str">
        <x:v>2026 | gpt-5.6 | model_release | models-reasoning</x:v>
      </x:c>
    </x:row>
    <x:row r="945" ht="38" customHeight="1">
      <x:c r="A945" s="57" t="n">
        <x:v>46212</x:v>
      </x:c>
      <x:c r="B945" s="52" t="str">
        <x:v>chatgpt-release-notes</x:v>
      </x:c>
      <x:c r="C945" s="52" t="str">
        <x:v>ChatGPT — Release Notes</x:v>
      </x:c>
      <x:c r="D945" s="52" t="str">
        <x:v>developer_platform</x:v>
      </x:c>
      <x:c r="E945" s="52" t="str">
        <x:v>Apps &amp; Connectors</x:v>
      </x:c>
      <x:c r="F945" s="52" t="str">
        <x:v>integration</x:v>
      </x:c>
      <x:c r="G945" s="52" t="str">
        <x:v>active</x:v>
      </x:c>
      <x:c r="H945" s="63" t="str">
        <x:v>Plugin Directory replaces the App Directory</x:v>
      </x:c>
      <x:c r="I945" s="63" t="str">
        <x:v>Plugin Directory 取代 App Directory</x:v>
      </x:c>
      <x:c r="J945" s="63" t="str">
        <x:v>OpenAI replaced ChatGPT's App Directory with the Plugin Directory. Existing app connections remain in place, while plugins can package skills, apps, and app templates for ChatGPT Work, Codex, web, and desktop workflows.</x:v>
      </x:c>
      <x:c r="K945" s="63" t="str">
        <x:v>OpenAI 以 Plugin Directory 取代 ChatGPT 的 App Directory。現有的應用程式連結保持不變，而外掛程式可為 ChatGPT Work、Codex、網頁和桌面工作流程封裝技能、應用程式和應用程式模板。</x:v>
      </x:c>
      <x:c r="L945" s="52" t="str">
        <x:v>https://help.openai.com/en/articles/6825453-chatgpt-release-notes</x:v>
      </x:c>
      <x:c r="M945" s="52" t="str">
        <x:v>help_center_release_notes</x:v>
      </x:c>
      <x:c r="N945" s="52" t="str">
        <x:v>complete</x:v>
      </x:c>
      <x:c r="O945" s="52" t="str">
        <x:v>high</x:v>
      </x:c>
      <x:c r="P945" s="60" t="n">
        <x:v>3</x:v>
      </x:c>
      <x:c r="Q945" s="52" t="str">
        <x:v>2026 | apps-connectors | developer-platform | integration</x:v>
      </x:c>
    </x:row>
    <x:row r="946" ht="38" customHeight="1">
      <x:c r="A946" s="57" t="n">
        <x:v>46212</x:v>
      </x:c>
      <x:c r="B946" s="52" t="str">
        <x:v>lane-openai-api-changelog</x:v>
      </x:c>
      <x:c r="C946" s="52" t="str">
        <x:v>OpenAI API Changelog</x:v>
      </x:c>
      <x:c r="D946" s="52" t="str">
        <x:v>models_reasoning</x:v>
      </x:c>
      <x:c r="E946" s="52" t="str">
        <x:v>Model Platform</x:v>
      </x:c>
      <x:c r="F946" s="52" t="str">
        <x:v>model_release</x:v>
      </x:c>
      <x:c r="G946" s="52" t="str">
        <x:v>active</x:v>
      </x:c>
      <x:c r="H946" s="63" t="str">
        <x:v>Released the GPT-5.6 model family</x:v>
      </x:c>
      <x:c r="I946" s="63" t="str">
        <x:v>推出 GPT‑5.6 Sol、Terra 與 Luna 模型家族</x:v>
      </x:c>
      <x:c r="J946" s="63" t="str">
        <x:v>Released the GPT-5.6 model family , including GPT-5.6 Sol for frontier capability, GPT-5.6 Terra for a balance of intelligence and cost, and GPT-5.6 Luna for efficient, high-volume workloads. The gpt-5.6 alias routes requests to gpt-5.6-sol . GPT-5.6 adds Programmatic Tool Calling , explicit prompt caching controls , persisted reasoning, max reasoning effort, and Pro mode , and Multi-agent orchestration in beta for the Responses API…</x:v>
      </x:c>
      <x:c r="K946" s="63" t="str">
        <x:v>推出 GPT‑5.6 Sol、Terra 與 Luna 模型家族。OpenAI 將此列為 2026-07-09 的功能；重點涉及代理與工具調用、圖像與影片、定價與用量，模型、端點與參數名稱依官方英文保留。</x:v>
      </x:c>
      <x:c r="L946" s="52" t="str">
        <x:v>https://developers.openai.com/api/docs/changelog</x:v>
      </x:c>
      <x:c r="M946" s="52" t="str">
        <x:v>official_changelog</x:v>
      </x:c>
      <x:c r="N946" s="52" t="str">
        <x:v>complete</x:v>
      </x:c>
      <x:c r="O946" s="52" t="str">
        <x:v>high</x:v>
      </x:c>
      <x:c r="P946" s="60" t="n">
        <x:v>5</x:v>
      </x:c>
      <x:c r="Q946" s="52" t="str">
        <x:v>api | feature | models</x:v>
      </x:c>
    </x:row>
    <x:row r="947" ht="38" customHeight="1">
      <x:c r="A947" s="57" t="n">
        <x:v>46212</x:v>
      </x:c>
      <x:c r="B947" s="52" t="str">
        <x:v>chatgpt-release-notes</x:v>
      </x:c>
      <x:c r="C947" s="52" t="str">
        <x:v>ChatGPT — Release Notes</x:v>
      </x:c>
      <x:c r="D947" s="52" t="str">
        <x:v>clients_surfaces</x:v>
      </x:c>
      <x:c r="E947" s="52" t="str">
        <x:v>ChatGPT Atlas</x:v>
      </x:c>
      <x:c r="F947" s="52" t="str">
        <x:v>deprecation</x:v>
      </x:c>
      <x:c r="G947" s="52" t="str">
        <x:v>deprecated</x:v>
      </x:c>
      <x:c r="H947" s="63" t="str">
        <x:v>Retiring Atlas</x:v>
      </x:c>
      <x:c r="I947" s="63" t="str">
        <x:v>停用 Atlas</x:v>
      </x:c>
      <x:c r="J947" s="63" t="str">
        <x:v>We’re deprecating Atlas as we bring browser-based agentic capabilities into ChatGPT and Codex. Atlas is scheduled to stop working on August 9, 2026. We want to make this transition as easy as possible. Before then, move any Atlas data you want to keep. Atlas browser data, including bookmarks, open tabs, and browser history, will not transfer automatically. You can export your cookies and passwords to the ChatGPT desktop app and your…</x:v>
      </x:c>
      <x:c r="K947" s="63" t="str">
        <x:v>我們將棄用 Atlas，並將基於瀏覽器的代理能力引入 ChatGPT 和 Codex。Atlas 預定於 2026 年 8 月 9 日停止運作。我們希望使此轉換盡可能順利。在此之前，請移動您希望保留的任何 Atlas 資料。包含書籤、開啟的分頁和瀏覽記錄在內的 Atlas 瀏覽器資料將不會自動傳輸。</x:v>
      </x:c>
      <x:c r="L947" s="52" t="str">
        <x:v>https://help.openai.com/en/articles/6825453-chatgpt-release-notes</x:v>
      </x:c>
      <x:c r="M947" s="52" t="str">
        <x:v>help_center_release_notes</x:v>
      </x:c>
      <x:c r="N947" s="52" t="str">
        <x:v>complete</x:v>
      </x:c>
      <x:c r="O947" s="52" t="str">
        <x:v>high</x:v>
      </x:c>
      <x:c r="P947" s="60" t="n">
        <x:v>3</x:v>
      </x:c>
      <x:c r="Q947" s="52" t="str">
        <x:v>2026 | chatgpt-atlas | clients-surfaces | deprecation</x:v>
      </x:c>
    </x:row>
    <x:row r="948" ht="38" customHeight="1">
      <x:c r="A948" s="57" t="n">
        <x:v>46212</x:v>
      </x:c>
      <x:c r="B948" s="52" t="str">
        <x:v>chatgpt-release-notes</x:v>
      </x:c>
      <x:c r="C948" s="52" t="str">
        <x:v>ChatGPT — Release Notes</x:v>
      </x:c>
      <x:c r="D948" s="52" t="str">
        <x:v>chatgpt_core</x:v>
      </x:c>
      <x:c r="E948" s="52" t="str">
        <x:v>ChatGPT Images</x:v>
      </x:c>
      <x:c r="F948" s="52" t="str">
        <x:v>deprecation</x:v>
      </x:c>
      <x:c r="G948" s="52" t="str">
        <x:v>deprecated</x:v>
      </x:c>
      <x:c r="H948" s="63" t="str">
        <x:v>Retiring group chats in ChatGPT</x:v>
      </x:c>
      <x:c r="I948" s="63" t="str">
        <x:v>停用 ChatGPT 中的群組對話</x:v>
      </x:c>
      <x:c r="J948" s="63" t="str">
        <x:v>Beginning July 9, users on web, iOS, and Android will no longer be able to create new group chats, turn existing conversations into group chats, or join a group chat through an invite link. Existing group chats will remain available and can continue to be used for now. When an existing group chat becomes read-only, users will retain access to the messages, files, and images already shared there. Individual ChatGPT conversations are u…</x:v>
      </x:c>
      <x:c r="K948" s="63" t="str">
        <x:v>自 7 月 9 日起，網頁版、iOS 和 Android 使用者將無法建立新的群組對話、將現有對話轉換為群組對話，或透過邀請連結加入群組對話。現有的群組對話目前仍可繼續使用。</x:v>
      </x:c>
      <x:c r="L948" s="52" t="str">
        <x:v>https://help.openai.com/en/articles/6825453-chatgpt-release-notes</x:v>
      </x:c>
      <x:c r="M948" s="52" t="str">
        <x:v>help_center_release_notes</x:v>
      </x:c>
      <x:c r="N948" s="52" t="str">
        <x:v>complete</x:v>
      </x:c>
      <x:c r="O948" s="52" t="str">
        <x:v>high</x:v>
      </x:c>
      <x:c r="P948" s="60" t="n">
        <x:v>3</x:v>
      </x:c>
      <x:c r="Q948" s="52" t="str">
        <x:v>2026 | chatgpt | chatgpt-core | deprecation</x:v>
      </x:c>
    </x:row>
    <x:row r="949" ht="38" customHeight="1">
      <x:c r="A949" s="58" t="n">
        <x:v>46212</x:v>
      </x:c>
      <x:c r="B949" s="54" t="str">
        <x:v>chatgpt-release-notes</x:v>
      </x:c>
      <x:c r="C949" s="54" t="str">
        <x:v>ChatGPT — Release Notes</x:v>
      </x:c>
      <x:c r="D949" s="54" t="str">
        <x:v>clients_surfaces</x:v>
      </x:c>
      <x:c r="E949" s="54" t="str">
        <x:v>ChatGPT desktop app</x:v>
      </x:c>
      <x:c r="F949" s="54" t="str">
        <x:v>platform</x:v>
      </x:c>
      <x:c r="G949" s="54" t="str">
        <x:v>active</x:v>
      </x:c>
      <x:c r="H949" s="64" t="str">
        <x:v>The new ChatGPT desktop app brings Chat, Work, and Codex together</x:v>
      </x:c>
      <x:c r="I949" s="64" t="str">
        <x:v>全新 ChatGPT 桌面應用程式整合 Chat、Work 與 Codex</x:v>
      </x:c>
      <x:c r="J949" s="64" t="str">
        <x:v>The new ChatGPT desktop app is available globally for macOS and Windows. It combines Chat for questions and conversation, Work for research and finished deliverables, and Codex for software development in one app. On desktop, Work can use local files and desktop apps with your permission. The built-in browser lets ChatGPT gather information from websites and work with supported web-based tools and files. Codex also adds inline editin…</x:v>
      </x:c>
      <x:c r="K949" s="64" t="str">
        <x:v>全新 ChatGPT 桌面應用程式已於 macOS 與 Windows 平台全球推出。該應用程式將用於提問與對話的 Chat、用於研究與交付成品的 Work，以及用於軟體開發的 Codex 整合為單一應用程式。在桌面上，經授權後，Work 可使用本機檔案與桌面應用程式……</x:v>
      </x:c>
      <x:c r="L949" s="54" t="str">
        <x:v>https://help.openai.com/en/articles/6825453-chatgpt-release-notes</x:v>
      </x:c>
      <x:c r="M949" s="54" t="str">
        <x:v>help_center_release_notes</x:v>
      </x:c>
      <x:c r="N949" s="54" t="str">
        <x:v>complete</x:v>
      </x:c>
      <x:c r="O949" s="54" t="str">
        <x:v>high</x:v>
      </x:c>
      <x:c r="P949" s="61" t="n">
        <x:v>5</x:v>
      </x:c>
      <x:c r="Q949" s="54" t="str">
        <x:v>2026 | chatgpt-desktop-app | clients-surfaces | platform</x:v>
      </x:c>
    </x:row>
  </x:sheetData>
  <x:pageMargins left="0.7" right="0.7" top="0.75" bottom="0.75" header="0.3" footer="0.3"/>
  <x:tableParts count="1">
    <x:tablePart xmlns:r="http://schemas.openxmlformats.org/officeDocument/2006/relationships" r:id="Re334427f082e45b5"/>
  </x:tableParts>
</x:worksheet>
</file>